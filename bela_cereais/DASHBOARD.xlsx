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 tabRatio="673" firstSheet="1" activeTab="1"/>
  </bookViews>
  <sheets>
    <sheet name="COMPARATIVO ANUAL" sheetId="1" state="hidden" r:id="rId1"/>
    <sheet name="BD_LUCRO" sheetId="2" r:id="rId2"/>
    <sheet name="BD_DESP" sheetId="3" r:id="rId3"/>
    <sheet name="BD_REC_FIN" sheetId="5" r:id="rId4"/>
    <sheet name="BD_DESP_COMPL" sheetId="6" r:id="rId5"/>
    <sheet name="HIST. MENSAL" sheetId="4" state="hidden" r:id="rId6"/>
    <sheet name="BD_FATURAMENTO" sheetId="7" r:id="rId7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61" i="7" l="1"/>
  <c r="G261" i="7"/>
  <c r="L261" i="7" l="1"/>
  <c r="C8" i="1" l="1"/>
  <c r="B8" i="1"/>
  <c r="J211" i="2"/>
  <c r="Q211" i="2" s="1"/>
  <c r="C3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2" i="1"/>
  <c r="B12" i="1"/>
  <c r="C11" i="1"/>
  <c r="B11" i="1"/>
  <c r="C7" i="1"/>
  <c r="B7" i="1"/>
  <c r="C6" i="1"/>
  <c r="B6" i="1"/>
  <c r="C5" i="1"/>
  <c r="B5" i="1"/>
  <c r="C4" i="1"/>
  <c r="B4" i="1"/>
  <c r="B3" i="1"/>
  <c r="J203" i="2" l="1"/>
  <c r="J204" i="2"/>
  <c r="J190" i="2" l="1"/>
  <c r="J191" i="2"/>
  <c r="J192" i="2"/>
  <c r="J193" i="2"/>
  <c r="J194" i="2"/>
  <c r="Q190" i="2"/>
  <c r="J195" i="2" l="1"/>
  <c r="J196" i="2"/>
  <c r="J197" i="2"/>
  <c r="J198" i="2"/>
  <c r="J199" i="2"/>
  <c r="J200" i="2"/>
  <c r="J201" i="2"/>
  <c r="J202" i="2"/>
  <c r="O212" i="2" l="1"/>
  <c r="N212" i="2"/>
  <c r="J206" i="2" l="1"/>
  <c r="Q206" i="2" s="1"/>
  <c r="J207" i="2"/>
  <c r="Q207" i="2" s="1"/>
  <c r="J208" i="2"/>
  <c r="Q208" i="2" s="1"/>
  <c r="J209" i="2"/>
  <c r="Q209" i="2" s="1"/>
  <c r="J210" i="2"/>
  <c r="Q210" i="2" s="1"/>
  <c r="J205" i="2"/>
  <c r="Q205" i="2" s="1"/>
  <c r="Q203" i="2"/>
  <c r="Q204" i="2"/>
  <c r="J3682" i="6"/>
  <c r="I1670" i="5"/>
  <c r="J2" i="2"/>
  <c r="Q2" i="2" s="1"/>
  <c r="J3" i="2"/>
  <c r="Q3" i="2" s="1"/>
  <c r="J4" i="2"/>
  <c r="Q4" i="2" s="1"/>
  <c r="J5" i="2"/>
  <c r="Q5" i="2" s="1"/>
  <c r="J6" i="2"/>
  <c r="Q6" i="2" s="1"/>
  <c r="J7" i="2"/>
  <c r="Q7" i="2" s="1"/>
  <c r="J8" i="2"/>
  <c r="Q8" i="2" s="1"/>
  <c r="J9" i="2"/>
  <c r="Q9" i="2" s="1"/>
  <c r="J10" i="2"/>
  <c r="Q10" i="2" s="1"/>
  <c r="J11" i="2"/>
  <c r="Q11" i="2" s="1"/>
  <c r="J12" i="2"/>
  <c r="Q12" i="2" s="1"/>
  <c r="J13" i="2"/>
  <c r="Q13" i="2" s="1"/>
  <c r="J14" i="2"/>
  <c r="Q14" i="2" s="1"/>
  <c r="J15" i="2"/>
  <c r="Q15" i="2" s="1"/>
  <c r="J16" i="2"/>
  <c r="Q16" i="2" s="1"/>
  <c r="J17" i="2"/>
  <c r="Q17" i="2" s="1"/>
  <c r="J18" i="2"/>
  <c r="Q18" i="2" s="1"/>
  <c r="J19" i="2"/>
  <c r="Q19" i="2" s="1"/>
  <c r="J20" i="2"/>
  <c r="Q20" i="2" s="1"/>
  <c r="J21" i="2"/>
  <c r="Q21" i="2" s="1"/>
  <c r="J22" i="2"/>
  <c r="Q22" i="2" s="1"/>
  <c r="J23" i="2"/>
  <c r="Q23" i="2" s="1"/>
  <c r="J24" i="2"/>
  <c r="Q24" i="2" s="1"/>
  <c r="J25" i="2"/>
  <c r="Q25" i="2" s="1"/>
  <c r="J26" i="2"/>
  <c r="Q26" i="2" s="1"/>
  <c r="J27" i="2"/>
  <c r="Q27" i="2" s="1"/>
  <c r="J28" i="2"/>
  <c r="Q28" i="2" s="1"/>
  <c r="J29" i="2"/>
  <c r="Q29" i="2" s="1"/>
  <c r="J30" i="2"/>
  <c r="Q30" i="2" s="1"/>
  <c r="J31" i="2"/>
  <c r="Q31" i="2" s="1"/>
  <c r="J32" i="2"/>
  <c r="Q32" i="2" s="1"/>
  <c r="J33" i="2"/>
  <c r="Q33" i="2" s="1"/>
  <c r="J34" i="2"/>
  <c r="Q34" i="2" s="1"/>
  <c r="J35" i="2"/>
  <c r="Q35" i="2" s="1"/>
  <c r="J36" i="2"/>
  <c r="Q36" i="2" s="1"/>
  <c r="J37" i="2"/>
  <c r="Q37" i="2" s="1"/>
  <c r="J38" i="2"/>
  <c r="Q38" i="2" s="1"/>
  <c r="J39" i="2"/>
  <c r="Q39" i="2" s="1"/>
  <c r="J40" i="2"/>
  <c r="Q40" i="2" s="1"/>
  <c r="J41" i="2"/>
  <c r="Q41" i="2" s="1"/>
  <c r="J42" i="2"/>
  <c r="Q42" i="2" s="1"/>
  <c r="J43" i="2"/>
  <c r="Q43" i="2" s="1"/>
  <c r="J44" i="2"/>
  <c r="Q44" i="2" s="1"/>
  <c r="J45" i="2"/>
  <c r="Q45" i="2" s="1"/>
  <c r="J46" i="2"/>
  <c r="Q46" i="2" s="1"/>
  <c r="J47" i="2"/>
  <c r="Q47" i="2" s="1"/>
  <c r="J48" i="2"/>
  <c r="Q48" i="2" s="1"/>
  <c r="J49" i="2"/>
  <c r="Q49" i="2" s="1"/>
  <c r="J50" i="2"/>
  <c r="Q50" i="2" s="1"/>
  <c r="J51" i="2"/>
  <c r="Q51" i="2" s="1"/>
  <c r="J52" i="2"/>
  <c r="Q52" i="2" s="1"/>
  <c r="J53" i="2"/>
  <c r="Q53" i="2" s="1"/>
  <c r="J54" i="2"/>
  <c r="Q54" i="2" s="1"/>
  <c r="J55" i="2"/>
  <c r="Q55" i="2" s="1"/>
  <c r="J56" i="2"/>
  <c r="Q56" i="2" s="1"/>
  <c r="J57" i="2"/>
  <c r="Q57" i="2" s="1"/>
  <c r="J58" i="2"/>
  <c r="Q58" i="2" s="1"/>
  <c r="J59" i="2"/>
  <c r="Q59" i="2" s="1"/>
  <c r="J60" i="2"/>
  <c r="Q60" i="2" s="1"/>
  <c r="J61" i="2"/>
  <c r="Q61" i="2" s="1"/>
  <c r="J62" i="2"/>
  <c r="Q62" i="2" s="1"/>
  <c r="J63" i="2"/>
  <c r="Q63" i="2" s="1"/>
  <c r="J64" i="2"/>
  <c r="Q64" i="2" s="1"/>
  <c r="J65" i="2"/>
  <c r="Q65" i="2" s="1"/>
  <c r="J66" i="2"/>
  <c r="Q66" i="2" s="1"/>
  <c r="J67" i="2"/>
  <c r="Q67" i="2" s="1"/>
  <c r="J68" i="2"/>
  <c r="Q68" i="2" s="1"/>
  <c r="J69" i="2"/>
  <c r="Q69" i="2" s="1"/>
  <c r="J70" i="2"/>
  <c r="Q70" i="2" s="1"/>
  <c r="J71" i="2"/>
  <c r="Q71" i="2" s="1"/>
  <c r="J72" i="2"/>
  <c r="Q72" i="2" s="1"/>
  <c r="J73" i="2"/>
  <c r="Q73" i="2" s="1"/>
  <c r="J74" i="2"/>
  <c r="Q74" i="2" s="1"/>
  <c r="J75" i="2"/>
  <c r="Q75" i="2" s="1"/>
  <c r="J76" i="2"/>
  <c r="Q76" i="2" s="1"/>
  <c r="J77" i="2"/>
  <c r="Q77" i="2" s="1"/>
  <c r="J78" i="2"/>
  <c r="Q78" i="2" s="1"/>
  <c r="J79" i="2"/>
  <c r="Q79" i="2" s="1"/>
  <c r="J80" i="2"/>
  <c r="Q80" i="2" s="1"/>
  <c r="J81" i="2"/>
  <c r="Q81" i="2" s="1"/>
  <c r="J82" i="2"/>
  <c r="Q82" i="2" s="1"/>
  <c r="J83" i="2"/>
  <c r="Q83" i="2" s="1"/>
  <c r="J84" i="2"/>
  <c r="Q84" i="2" s="1"/>
  <c r="J85" i="2"/>
  <c r="Q85" i="2" s="1"/>
  <c r="J86" i="2"/>
  <c r="Q86" i="2" s="1"/>
  <c r="J87" i="2"/>
  <c r="Q87" i="2" s="1"/>
  <c r="J88" i="2"/>
  <c r="Q88" i="2" s="1"/>
  <c r="J89" i="2"/>
  <c r="Q89" i="2" s="1"/>
  <c r="J90" i="2"/>
  <c r="Q90" i="2" s="1"/>
  <c r="J91" i="2"/>
  <c r="Q91" i="2" s="1"/>
  <c r="J92" i="2"/>
  <c r="Q92" i="2" s="1"/>
  <c r="J93" i="2"/>
  <c r="Q93" i="2" s="1"/>
  <c r="J94" i="2"/>
  <c r="Q94" i="2" s="1"/>
  <c r="J95" i="2"/>
  <c r="Q95" i="2" s="1"/>
  <c r="J96" i="2"/>
  <c r="Q96" i="2" s="1"/>
  <c r="J97" i="2"/>
  <c r="Q97" i="2" s="1"/>
  <c r="J98" i="2"/>
  <c r="Q98" i="2" s="1"/>
  <c r="J99" i="2"/>
  <c r="Q99" i="2" s="1"/>
  <c r="J100" i="2"/>
  <c r="Q100" i="2" s="1"/>
  <c r="J101" i="2"/>
  <c r="Q101" i="2" s="1"/>
  <c r="J102" i="2"/>
  <c r="Q102" i="2" s="1"/>
  <c r="J103" i="2"/>
  <c r="Q103" i="2" s="1"/>
  <c r="J104" i="2"/>
  <c r="Q104" i="2" s="1"/>
  <c r="J105" i="2"/>
  <c r="Q105" i="2" s="1"/>
  <c r="J106" i="2"/>
  <c r="Q106" i="2" s="1"/>
  <c r="J107" i="2"/>
  <c r="Q107" i="2" s="1"/>
  <c r="J108" i="2"/>
  <c r="Q108" i="2" s="1"/>
  <c r="J109" i="2"/>
  <c r="Q109" i="2" s="1"/>
  <c r="J110" i="2"/>
  <c r="Q110" i="2" s="1"/>
  <c r="J111" i="2"/>
  <c r="Q111" i="2" s="1"/>
  <c r="J112" i="2"/>
  <c r="Q112" i="2" s="1"/>
  <c r="J113" i="2"/>
  <c r="Q113" i="2" s="1"/>
  <c r="J114" i="2"/>
  <c r="Q114" i="2" s="1"/>
  <c r="J115" i="2"/>
  <c r="Q115" i="2" s="1"/>
  <c r="J116" i="2"/>
  <c r="Q116" i="2" s="1"/>
  <c r="J117" i="2"/>
  <c r="Q117" i="2" s="1"/>
  <c r="J118" i="2"/>
  <c r="Q118" i="2" s="1"/>
  <c r="J119" i="2"/>
  <c r="Q119" i="2" s="1"/>
  <c r="J120" i="2"/>
  <c r="Q120" i="2" s="1"/>
  <c r="J121" i="2"/>
  <c r="Q121" i="2" s="1"/>
  <c r="J122" i="2"/>
  <c r="Q122" i="2" s="1"/>
  <c r="J123" i="2"/>
  <c r="Q123" i="2" s="1"/>
  <c r="J124" i="2"/>
  <c r="Q124" i="2" s="1"/>
  <c r="J125" i="2"/>
  <c r="Q125" i="2" s="1"/>
  <c r="J126" i="2"/>
  <c r="Q126" i="2" s="1"/>
  <c r="J127" i="2"/>
  <c r="Q127" i="2" s="1"/>
  <c r="J128" i="2"/>
  <c r="Q128" i="2" s="1"/>
  <c r="J129" i="2"/>
  <c r="Q129" i="2" s="1"/>
  <c r="J130" i="2"/>
  <c r="Q130" i="2" s="1"/>
  <c r="J131" i="2"/>
  <c r="Q131" i="2" s="1"/>
  <c r="J132" i="2"/>
  <c r="Q132" i="2" s="1"/>
  <c r="J133" i="2"/>
  <c r="Q133" i="2" s="1"/>
  <c r="J134" i="2"/>
  <c r="Q134" i="2" s="1"/>
  <c r="J135" i="2"/>
  <c r="Q135" i="2" s="1"/>
  <c r="J136" i="2"/>
  <c r="Q136" i="2" s="1"/>
  <c r="J137" i="2"/>
  <c r="Q137" i="2" s="1"/>
  <c r="J138" i="2"/>
  <c r="Q138" i="2" s="1"/>
  <c r="J139" i="2"/>
  <c r="Q139" i="2" s="1"/>
  <c r="J140" i="2"/>
  <c r="Q140" i="2" s="1"/>
  <c r="J141" i="2"/>
  <c r="Q141" i="2" s="1"/>
  <c r="J142" i="2"/>
  <c r="Q142" i="2" s="1"/>
  <c r="J143" i="2"/>
  <c r="Q143" i="2" s="1"/>
  <c r="J144" i="2"/>
  <c r="Q144" i="2" s="1"/>
  <c r="J145" i="2"/>
  <c r="Q145" i="2" s="1"/>
  <c r="J146" i="2"/>
  <c r="Q146" i="2" s="1"/>
  <c r="J147" i="2"/>
  <c r="Q147" i="2" s="1"/>
  <c r="J148" i="2"/>
  <c r="Q148" i="2" s="1"/>
  <c r="J149" i="2"/>
  <c r="Q149" i="2" s="1"/>
  <c r="J150" i="2"/>
  <c r="Q150" i="2" s="1"/>
  <c r="J151" i="2"/>
  <c r="Q151" i="2" s="1"/>
  <c r="J152" i="2"/>
  <c r="Q152" i="2" s="1"/>
  <c r="J153" i="2"/>
  <c r="Q153" i="2" s="1"/>
  <c r="J154" i="2"/>
  <c r="Q154" i="2" s="1"/>
  <c r="J155" i="2"/>
  <c r="Q155" i="2" s="1"/>
  <c r="J156" i="2"/>
  <c r="Q156" i="2" s="1"/>
  <c r="J157" i="2"/>
  <c r="Q157" i="2" s="1"/>
  <c r="J158" i="2"/>
  <c r="Q158" i="2" s="1"/>
  <c r="J159" i="2"/>
  <c r="Q159" i="2" s="1"/>
  <c r="J160" i="2"/>
  <c r="Q160" i="2" s="1"/>
  <c r="J161" i="2"/>
  <c r="Q161" i="2" s="1"/>
  <c r="J162" i="2"/>
  <c r="Q162" i="2" s="1"/>
  <c r="J163" i="2"/>
  <c r="Q163" i="2" s="1"/>
  <c r="J164" i="2"/>
  <c r="Q164" i="2" s="1"/>
  <c r="J165" i="2"/>
  <c r="Q165" i="2" s="1"/>
  <c r="J166" i="2"/>
  <c r="Q166" i="2" s="1"/>
  <c r="J167" i="2"/>
  <c r="Q167" i="2" s="1"/>
  <c r="J168" i="2"/>
  <c r="Q168" i="2" s="1"/>
  <c r="J169" i="2"/>
  <c r="Q169" i="2" s="1"/>
  <c r="J170" i="2"/>
  <c r="Q170" i="2" s="1"/>
  <c r="J171" i="2"/>
  <c r="Q171" i="2" s="1"/>
  <c r="J172" i="2"/>
  <c r="Q172" i="2" s="1"/>
  <c r="J173" i="2"/>
  <c r="Q173" i="2" s="1"/>
  <c r="J174" i="2"/>
  <c r="Q174" i="2" s="1"/>
  <c r="J175" i="2"/>
  <c r="Q175" i="2" s="1"/>
  <c r="J176" i="2"/>
  <c r="Q176" i="2" s="1"/>
  <c r="J177" i="2"/>
  <c r="Q177" i="2" s="1"/>
  <c r="J178" i="2"/>
  <c r="Q178" i="2" s="1"/>
  <c r="J179" i="2"/>
  <c r="Q179" i="2" s="1"/>
  <c r="J180" i="2"/>
  <c r="Q180" i="2" s="1"/>
  <c r="J181" i="2"/>
  <c r="Q181" i="2" s="1"/>
  <c r="J182" i="2"/>
  <c r="Q182" i="2" s="1"/>
  <c r="J183" i="2"/>
  <c r="Q183" i="2" s="1"/>
  <c r="J184" i="2"/>
  <c r="Q184" i="2" s="1"/>
  <c r="J185" i="2"/>
  <c r="Q185" i="2" s="1"/>
  <c r="J186" i="2"/>
  <c r="Q186" i="2" s="1"/>
  <c r="J187" i="2"/>
  <c r="Q187" i="2" s="1"/>
  <c r="J188" i="2"/>
  <c r="Q188" i="2" s="1"/>
  <c r="J189" i="2"/>
  <c r="Q189" i="2" s="1"/>
  <c r="Q191" i="2"/>
  <c r="Q192" i="2"/>
  <c r="Q193" i="2"/>
  <c r="Q194" i="2"/>
  <c r="Q195" i="2"/>
  <c r="Q196" i="2"/>
  <c r="Q197" i="2"/>
  <c r="Q198" i="2"/>
  <c r="Q199" i="2"/>
  <c r="Q200" i="2"/>
  <c r="Q201" i="2"/>
  <c r="Q202" i="2"/>
  <c r="E760" i="3" l="1"/>
  <c r="I10" i="4"/>
  <c r="F10" i="4"/>
  <c r="C31" i="4" l="1"/>
  <c r="D31" i="4"/>
  <c r="E31" i="4"/>
  <c r="F31" i="4"/>
  <c r="G31" i="4"/>
  <c r="H31" i="4"/>
  <c r="I31" i="4"/>
  <c r="J31" i="4"/>
  <c r="C32" i="4"/>
  <c r="D32" i="4"/>
  <c r="E32" i="4"/>
  <c r="F32" i="4"/>
  <c r="G32" i="4"/>
  <c r="H32" i="4"/>
  <c r="I32" i="4"/>
  <c r="J32" i="4"/>
  <c r="C33" i="4"/>
  <c r="D33" i="4"/>
  <c r="E33" i="4"/>
  <c r="F33" i="4"/>
  <c r="G33" i="4"/>
  <c r="H33" i="4"/>
  <c r="I33" i="4"/>
  <c r="J33" i="4"/>
  <c r="C34" i="4"/>
  <c r="D34" i="4"/>
  <c r="E34" i="4"/>
  <c r="F34" i="4"/>
  <c r="G34" i="4"/>
  <c r="H34" i="4"/>
  <c r="I34" i="4"/>
  <c r="J34" i="4"/>
  <c r="C35" i="4"/>
  <c r="D35" i="4"/>
  <c r="E35" i="4"/>
  <c r="F35" i="4"/>
  <c r="G35" i="4"/>
  <c r="H35" i="4"/>
  <c r="I35" i="4"/>
  <c r="J35" i="4"/>
  <c r="C36" i="4"/>
  <c r="D36" i="4"/>
  <c r="E36" i="4"/>
  <c r="L36" i="4" s="1"/>
  <c r="F36" i="4"/>
  <c r="G36" i="4"/>
  <c r="H36" i="4"/>
  <c r="I36" i="4"/>
  <c r="J36" i="4"/>
  <c r="C37" i="4"/>
  <c r="D37" i="4"/>
  <c r="E37" i="4"/>
  <c r="F37" i="4"/>
  <c r="G37" i="4"/>
  <c r="H37" i="4"/>
  <c r="I37" i="4"/>
  <c r="J37" i="4"/>
  <c r="C38" i="4"/>
  <c r="D38" i="4"/>
  <c r="E38" i="4"/>
  <c r="F38" i="4"/>
  <c r="G38" i="4"/>
  <c r="H38" i="4"/>
  <c r="I38" i="4"/>
  <c r="J38" i="4"/>
  <c r="C39" i="4"/>
  <c r="D39" i="4"/>
  <c r="E39" i="4"/>
  <c r="F39" i="4"/>
  <c r="G39" i="4"/>
  <c r="H39" i="4"/>
  <c r="I39" i="4"/>
  <c r="J39" i="4"/>
  <c r="C40" i="4"/>
  <c r="D40" i="4"/>
  <c r="E40" i="4"/>
  <c r="F40" i="4"/>
  <c r="G40" i="4"/>
  <c r="H40" i="4"/>
  <c r="I40" i="4"/>
  <c r="J40" i="4"/>
  <c r="C41" i="4"/>
  <c r="D41" i="4"/>
  <c r="E41" i="4"/>
  <c r="F41" i="4"/>
  <c r="G41" i="4"/>
  <c r="H41" i="4"/>
  <c r="I41" i="4"/>
  <c r="J41" i="4"/>
  <c r="J30" i="4"/>
  <c r="I30" i="4"/>
  <c r="H30" i="4"/>
  <c r="G30" i="4"/>
  <c r="F30" i="4"/>
  <c r="E30" i="4"/>
  <c r="D30" i="4"/>
  <c r="C30" i="4"/>
  <c r="N25" i="4"/>
  <c r="J25" i="4"/>
  <c r="I25" i="4"/>
  <c r="H25" i="4"/>
  <c r="G25" i="4"/>
  <c r="F25" i="4"/>
  <c r="E25" i="4"/>
  <c r="D25" i="4"/>
  <c r="C25" i="4"/>
  <c r="O25" i="4" s="1"/>
  <c r="N24" i="4"/>
  <c r="J24" i="4"/>
  <c r="I24" i="4"/>
  <c r="H24" i="4"/>
  <c r="G24" i="4"/>
  <c r="F24" i="4"/>
  <c r="E24" i="4"/>
  <c r="D24" i="4"/>
  <c r="C24" i="4"/>
  <c r="O24" i="4" s="1"/>
  <c r="N23" i="4"/>
  <c r="J23" i="4"/>
  <c r="I23" i="4"/>
  <c r="H23" i="4"/>
  <c r="G23" i="4"/>
  <c r="F23" i="4"/>
  <c r="E23" i="4"/>
  <c r="D23" i="4"/>
  <c r="C23" i="4"/>
  <c r="O23" i="4" s="1"/>
  <c r="J22" i="4"/>
  <c r="I22" i="4"/>
  <c r="H22" i="4"/>
  <c r="G22" i="4"/>
  <c r="F22" i="4"/>
  <c r="E22" i="4"/>
  <c r="D22" i="4"/>
  <c r="C22" i="4"/>
  <c r="N21" i="4"/>
  <c r="J21" i="4"/>
  <c r="I21" i="4"/>
  <c r="H21" i="4"/>
  <c r="G21" i="4"/>
  <c r="F21" i="4"/>
  <c r="E21" i="4"/>
  <c r="D21" i="4"/>
  <c r="C21" i="4"/>
  <c r="O21" i="4" s="1"/>
  <c r="N20" i="4"/>
  <c r="J20" i="4"/>
  <c r="I20" i="4"/>
  <c r="H20" i="4"/>
  <c r="G20" i="4"/>
  <c r="F20" i="4"/>
  <c r="E20" i="4"/>
  <c r="D20" i="4"/>
  <c r="C20" i="4"/>
  <c r="O20" i="4" s="1"/>
  <c r="N19" i="4"/>
  <c r="J19" i="4"/>
  <c r="I19" i="4"/>
  <c r="H19" i="4"/>
  <c r="G19" i="4"/>
  <c r="F19" i="4"/>
  <c r="E19" i="4"/>
  <c r="D19" i="4"/>
  <c r="C19" i="4"/>
  <c r="O19" i="4" s="1"/>
  <c r="J18" i="4"/>
  <c r="I18" i="4"/>
  <c r="H18" i="4"/>
  <c r="G18" i="4"/>
  <c r="F18" i="4"/>
  <c r="E18" i="4"/>
  <c r="D18" i="4"/>
  <c r="C18" i="4"/>
  <c r="J17" i="4"/>
  <c r="I17" i="4"/>
  <c r="H17" i="4"/>
  <c r="G17" i="4"/>
  <c r="F17" i="4"/>
  <c r="E17" i="4"/>
  <c r="D17" i="4"/>
  <c r="C17" i="4"/>
  <c r="J16" i="4"/>
  <c r="I16" i="4"/>
  <c r="H16" i="4"/>
  <c r="G16" i="4"/>
  <c r="F16" i="4"/>
  <c r="E16" i="4"/>
  <c r="D16" i="4"/>
  <c r="C16" i="4"/>
  <c r="J15" i="4"/>
  <c r="I15" i="4"/>
  <c r="H15" i="4"/>
  <c r="G15" i="4"/>
  <c r="F15" i="4"/>
  <c r="E15" i="4"/>
  <c r="D15" i="4"/>
  <c r="C15" i="4"/>
  <c r="J14" i="4"/>
  <c r="I14" i="4"/>
  <c r="H14" i="4"/>
  <c r="G14" i="4"/>
  <c r="F14" i="4"/>
  <c r="E14" i="4"/>
  <c r="D14" i="4"/>
  <c r="C14" i="4"/>
  <c r="C9" i="4"/>
  <c r="Q212" i="2"/>
  <c r="P212" i="2"/>
  <c r="C8" i="4" s="1"/>
  <c r="C7" i="4"/>
  <c r="M212" i="2"/>
  <c r="C6" i="4" s="1"/>
  <c r="L212" i="2"/>
  <c r="C5" i="4" s="1"/>
  <c r="K212" i="2"/>
  <c r="C4" i="4" s="1"/>
  <c r="J212" i="2"/>
  <c r="I212" i="2"/>
  <c r="E29" i="1"/>
  <c r="E28" i="1"/>
  <c r="E27" i="1"/>
  <c r="E26" i="1"/>
  <c r="E25" i="1"/>
  <c r="E24" i="1"/>
  <c r="E23" i="1"/>
  <c r="E22" i="1"/>
  <c r="E21" i="1"/>
  <c r="E20" i="1"/>
  <c r="E19" i="1"/>
  <c r="E12" i="1"/>
  <c r="E11" i="1"/>
  <c r="E8" i="1"/>
  <c r="E6" i="1"/>
  <c r="E5" i="1"/>
  <c r="E4" i="1"/>
  <c r="K19" i="4" l="1"/>
  <c r="K21" i="4"/>
  <c r="K24" i="4"/>
  <c r="J26" i="4"/>
  <c r="G42" i="4"/>
  <c r="L32" i="4"/>
  <c r="E42" i="4"/>
  <c r="L40" i="4"/>
  <c r="L38" i="4"/>
  <c r="L41" i="4"/>
  <c r="L39" i="4"/>
  <c r="L37" i="4"/>
  <c r="L34" i="4"/>
  <c r="L35" i="4"/>
  <c r="L33" i="4"/>
  <c r="L31" i="4"/>
  <c r="C42" i="4"/>
  <c r="M36" i="4"/>
  <c r="K22" i="4"/>
  <c r="N22" i="4" s="1"/>
  <c r="K23" i="4"/>
  <c r="K36" i="4"/>
  <c r="K35" i="4"/>
  <c r="N35" i="4" s="1"/>
  <c r="K34" i="4"/>
  <c r="M34" i="4" s="1"/>
  <c r="K33" i="4"/>
  <c r="K32" i="4"/>
  <c r="K31" i="4"/>
  <c r="M31" i="4" s="1"/>
  <c r="K25" i="4"/>
  <c r="C10" i="4"/>
  <c r="K15" i="4"/>
  <c r="N15" i="4" s="1"/>
  <c r="K16" i="4"/>
  <c r="N16" i="4" s="1"/>
  <c r="K17" i="4"/>
  <c r="N17" i="4" s="1"/>
  <c r="K18" i="4"/>
  <c r="N18" i="4" s="1"/>
  <c r="J42" i="4"/>
  <c r="K20" i="4"/>
  <c r="K41" i="4"/>
  <c r="M41" i="4" s="1"/>
  <c r="K40" i="4"/>
  <c r="N40" i="4" s="1"/>
  <c r="K39" i="4"/>
  <c r="M39" i="4" s="1"/>
  <c r="K38" i="4"/>
  <c r="N38" i="4" s="1"/>
  <c r="K37" i="4"/>
  <c r="M37" i="4" s="1"/>
  <c r="N32" i="4"/>
  <c r="H26" i="4"/>
  <c r="H42" i="4"/>
  <c r="D26" i="4"/>
  <c r="F26" i="4"/>
  <c r="C26" i="4"/>
  <c r="D42" i="4"/>
  <c r="G26" i="4"/>
  <c r="F42" i="4"/>
  <c r="O22" i="4"/>
  <c r="K30" i="4"/>
  <c r="M30" i="4" s="1"/>
  <c r="I42" i="4"/>
  <c r="L30" i="4"/>
  <c r="B13" i="1"/>
  <c r="E3" i="1"/>
  <c r="C13" i="1"/>
  <c r="D3" i="1"/>
  <c r="D4" i="1"/>
  <c r="D5" i="1"/>
  <c r="D6" i="1"/>
  <c r="B9" i="1"/>
  <c r="E7" i="1"/>
  <c r="C9" i="1"/>
  <c r="D7" i="1"/>
  <c r="D8" i="1"/>
  <c r="D11" i="1"/>
  <c r="D12" i="1"/>
  <c r="B30" i="1"/>
  <c r="E18" i="1"/>
  <c r="C30" i="1"/>
  <c r="D18" i="1"/>
  <c r="D19" i="1"/>
  <c r="D20" i="1"/>
  <c r="D21" i="1"/>
  <c r="D22" i="1"/>
  <c r="D23" i="1"/>
  <c r="D24" i="1"/>
  <c r="D25" i="1"/>
  <c r="D26" i="1"/>
  <c r="D27" i="1"/>
  <c r="D28" i="1"/>
  <c r="D29" i="1"/>
  <c r="E26" i="4"/>
  <c r="L14" i="4"/>
  <c r="I26" i="4"/>
  <c r="K14" i="4"/>
  <c r="N14" i="4" s="1"/>
  <c r="L15" i="4"/>
  <c r="L16" i="4"/>
  <c r="L17" i="4"/>
  <c r="L18" i="4"/>
  <c r="M19" i="4"/>
  <c r="L19" i="4"/>
  <c r="M20" i="4"/>
  <c r="L20" i="4"/>
  <c r="M21" i="4"/>
  <c r="L21" i="4"/>
  <c r="M22" i="4"/>
  <c r="L22" i="4"/>
  <c r="M23" i="4"/>
  <c r="L23" i="4"/>
  <c r="M24" i="4"/>
  <c r="L24" i="4"/>
  <c r="M25" i="4"/>
  <c r="L25" i="4"/>
  <c r="M18" i="4" l="1"/>
  <c r="O18" i="4"/>
  <c r="O33" i="4"/>
  <c r="M38" i="4"/>
  <c r="N39" i="4"/>
  <c r="N34" i="4"/>
  <c r="O34" i="4"/>
  <c r="O40" i="4"/>
  <c r="O36" i="4"/>
  <c r="O15" i="4"/>
  <c r="O37" i="4"/>
  <c r="O35" i="4"/>
  <c r="O41" i="4"/>
  <c r="M35" i="4"/>
  <c r="M16" i="4"/>
  <c r="O17" i="4"/>
  <c r="N41" i="4"/>
  <c r="M32" i="4"/>
  <c r="O16" i="4"/>
  <c r="M40" i="4"/>
  <c r="M15" i="4"/>
  <c r="L42" i="4"/>
  <c r="O39" i="4"/>
  <c r="O32" i="4"/>
  <c r="N31" i="4"/>
  <c r="O38" i="4"/>
  <c r="N37" i="4"/>
  <c r="N33" i="4"/>
  <c r="M17" i="4"/>
  <c r="M33" i="4"/>
  <c r="N36" i="4"/>
  <c r="D13" i="1"/>
  <c r="N30" i="4"/>
  <c r="K42" i="4"/>
  <c r="O31" i="4"/>
  <c r="K26" i="4"/>
  <c r="N26" i="4" s="1"/>
  <c r="M14" i="4"/>
  <c r="L26" i="4"/>
  <c r="D30" i="1"/>
  <c r="E30" i="1"/>
  <c r="D9" i="1"/>
  <c r="C14" i="1"/>
  <c r="E9" i="1"/>
  <c r="B14" i="1"/>
  <c r="E13" i="1"/>
  <c r="E14" i="1" l="1"/>
  <c r="M26" i="4"/>
  <c r="N42" i="4"/>
  <c r="M42" i="4"/>
  <c r="D14" i="1"/>
</calcChain>
</file>

<file path=xl/sharedStrings.xml><?xml version="1.0" encoding="utf-8"?>
<sst xmlns="http://schemas.openxmlformats.org/spreadsheetml/2006/main" count="44617" uniqueCount="4896">
  <si>
    <t>COMPARATIVO ANUAL — 2025 vs 2026  |  Bela Cereais Grupo</t>
  </si>
  <si>
    <t>Indicador</t>
  </si>
  <si>
    <t>Variação (R$)</t>
  </si>
  <si>
    <t>Variação (%)</t>
  </si>
  <si>
    <t>Lucro Bruto (Contratos)</t>
  </si>
  <si>
    <t>(-) Total Frete</t>
  </si>
  <si>
    <t>(-) Impostos sobre contratos</t>
  </si>
  <si>
    <t>(-) Comissões</t>
  </si>
  <si>
    <t>(=) Lucro Líquido Operacional</t>
  </si>
  <si>
    <t>(-) Despesas Administrativas</t>
  </si>
  <si>
    <t>(=) LUCRO LÍQUIDO FINAL</t>
  </si>
  <si>
    <t>Peso Total (Kg)</t>
  </si>
  <si>
    <t>Nº Contratos</t>
  </si>
  <si>
    <t>Margem Bruta %</t>
  </si>
  <si>
    <t>Margem Líquida %</t>
  </si>
  <si>
    <t>EVOLUÇÃO MENSAL COMPARATIVA — Lucro Líquido Operacional</t>
  </si>
  <si>
    <t>Mês</t>
  </si>
  <si>
    <t>Δ R$</t>
  </si>
  <si>
    <t>Δ %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</si>
  <si>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</si>
  <si>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</si>
  <si>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</si>
  <si>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</si>
  <si>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</si>
  <si>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</si>
  <si>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</si>
  <si>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</si>
  <si>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</si>
  <si>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</si>
  <si>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</si>
  <si>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</si>
  <si>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ANUAL</t>
  </si>
  <si>
    <t>Produto</t>
  </si>
  <si>
    <t>SOJA EM GRAOS</t>
  </si>
  <si>
    <t>Empresa</t>
  </si>
  <si>
    <t>Ano</t>
  </si>
  <si>
    <t>Contrato V</t>
  </si>
  <si>
    <t>Contrato C</t>
  </si>
  <si>
    <t>Fornecedor</t>
  </si>
  <si>
    <t>Cliente</t>
  </si>
  <si>
    <t>Peso Kg</t>
  </si>
  <si>
    <t>Sacas/Ton</t>
  </si>
  <si>
    <t>Lucro Bruto</t>
  </si>
  <si>
    <t>Total Frete</t>
  </si>
  <si>
    <t>Impostos</t>
  </si>
  <si>
    <t>Comissão</t>
  </si>
  <si>
    <t>Lucro Líq.</t>
  </si>
  <si>
    <t>Lucro Sc/Tn</t>
  </si>
  <si>
    <t>BUNGE ALIMENTOS S/A</t>
  </si>
  <si>
    <t>LOUIS DREYFUS COMPANY BRASIL S.A.</t>
  </si>
  <si>
    <t>DIEGO FERREIRA DE ASSIS</t>
  </si>
  <si>
    <t>MM</t>
  </si>
  <si>
    <t>SILVIO CESAR VERDELIO E OUTRO</t>
  </si>
  <si>
    <t>AMAGGI EXPORTACAO E IMPORTACAO LTDA</t>
  </si>
  <si>
    <t>Total</t>
  </si>
  <si>
    <t>Item</t>
  </si>
  <si>
    <t>Valor</t>
  </si>
  <si>
    <t>DIVERSOS</t>
  </si>
  <si>
    <t>COMBUSTIVEL</t>
  </si>
  <si>
    <t>CSLL</t>
  </si>
  <si>
    <t>ENERGIA</t>
  </si>
  <si>
    <t>HONORARIO CONTABEL</t>
  </si>
  <si>
    <t>HOSPEDAGEM</t>
  </si>
  <si>
    <t>INFORMATICA</t>
  </si>
  <si>
    <t>INSS</t>
  </si>
  <si>
    <t>INTERNET</t>
  </si>
  <si>
    <t>IOF</t>
  </si>
  <si>
    <t>IRPF</t>
  </si>
  <si>
    <t>IRPJ</t>
  </si>
  <si>
    <t>JUROS EMPRESTIMOS</t>
  </si>
  <si>
    <t>OUTROS IMPOSTOS E TAXAS</t>
  </si>
  <si>
    <t>PRO-LABORE</t>
  </si>
  <si>
    <t>REFEICOES/ALIMENTACAO</t>
  </si>
  <si>
    <t>SISTEMA GERENTE MAX</t>
  </si>
  <si>
    <t>TARIFA BANCARIA</t>
  </si>
  <si>
    <t>BALSA</t>
  </si>
  <si>
    <t>CUSTAS CARTORIAIS</t>
  </si>
  <si>
    <t>PROPAGANDA/PUBLICIDADE</t>
  </si>
  <si>
    <t>JUROS FORNECEDORES</t>
  </si>
  <si>
    <t>(-) Impostos Contratos</t>
  </si>
  <si>
    <t>Qtde Contratos</t>
  </si>
  <si>
    <t>Peso Kg Total</t>
  </si>
  <si>
    <t>Impostos Cont.</t>
  </si>
  <si>
    <t>Comissões</t>
  </si>
  <si>
    <t>Luc. Liq. Oper.</t>
  </si>
  <si>
    <t>Desp. Admin.</t>
  </si>
  <si>
    <t>Lucro Líq. Final</t>
  </si>
  <si>
    <t>Mg. Bruta %</t>
  </si>
  <si>
    <t>Mg. Líq. %</t>
  </si>
  <si>
    <t>Resultado</t>
  </si>
  <si>
    <t>Var. Mês Ant.</t>
  </si>
  <si>
    <t>Janeiro/2026</t>
  </si>
  <si>
    <t>-</t>
  </si>
  <si>
    <t>Fevereiro/2026</t>
  </si>
  <si>
    <t>Março/2026</t>
  </si>
  <si>
    <t>Abril/2026</t>
  </si>
  <si>
    <t>Maio/2026</t>
  </si>
  <si>
    <t>Junho/2026</t>
  </si>
  <si>
    <t>Julho/2026</t>
  </si>
  <si>
    <t>Agosto/2026</t>
  </si>
  <si>
    <t>Setembro/2026</t>
  </si>
  <si>
    <t>Outubro/2026</t>
  </si>
  <si>
    <t>Novembro/2026</t>
  </si>
  <si>
    <t>Dezembro/2026</t>
  </si>
  <si>
    <t>TOTAL ANUAL 2026</t>
  </si>
  <si>
    <t>Janeiro/2025</t>
  </si>
  <si>
    <t>Fevereiro/2025</t>
  </si>
  <si>
    <t>Março/2025</t>
  </si>
  <si>
    <t>Abril/2025</t>
  </si>
  <si>
    <t>Maio/2025</t>
  </si>
  <si>
    <t>Junho/2025</t>
  </si>
  <si>
    <t>Julho/2025</t>
  </si>
  <si>
    <t>Agosto/2025</t>
  </si>
  <si>
    <t>Setembro/2025</t>
  </si>
  <si>
    <t>Outubro/2025</t>
  </si>
  <si>
    <t>Novembro/2025</t>
  </si>
  <si>
    <t>Dezembro/2025</t>
  </si>
  <si>
    <t>TOTAL ANUAL 2025</t>
  </si>
  <si>
    <t>GRUPO</t>
  </si>
  <si>
    <t>BELA CEREAIS</t>
  </si>
  <si>
    <t>HISTÓRICO MENSAL GRUPO 2025</t>
  </si>
  <si>
    <t>HISTORICO MENSAL GRUPO 2025</t>
  </si>
  <si>
    <t>Resumo Global</t>
  </si>
  <si>
    <t>0194/25 - SO</t>
  </si>
  <si>
    <t>0195/25 - SO</t>
  </si>
  <si>
    <t>ANACLETO BRUNETTA E OUTROS</t>
  </si>
  <si>
    <t>ENGELHART CTP BRASIL S.A.</t>
  </si>
  <si>
    <t>0198/25 - SO</t>
  </si>
  <si>
    <t>0197/25 - SO</t>
  </si>
  <si>
    <t>IVETE TEREZINHA GALLO</t>
  </si>
  <si>
    <t>0199/25 - SO</t>
  </si>
  <si>
    <t>ENGELHART CTP (BRASIL) S.A.</t>
  </si>
  <si>
    <t>0204/25 - POP</t>
  </si>
  <si>
    <t>SOMAR AGRONEGOCIOS EIRELLI ME</t>
  </si>
  <si>
    <t>POP QUIMAR 164</t>
  </si>
  <si>
    <t>0188/24 - SO</t>
  </si>
  <si>
    <t>0179/24 - SO</t>
  </si>
  <si>
    <t>RICARDO PANCOTTE</t>
  </si>
  <si>
    <t>0191/25 - SO</t>
  </si>
  <si>
    <t>0192/25 - SO</t>
  </si>
  <si>
    <t>0177/24 - SO</t>
  </si>
  <si>
    <t>0196/25 - SO</t>
  </si>
  <si>
    <t>0200/25 - SO</t>
  </si>
  <si>
    <t>FERNANDO CESAR FACHOLLI</t>
  </si>
  <si>
    <t>0201/25 - SO</t>
  </si>
  <si>
    <t>0205/25 - SO</t>
  </si>
  <si>
    <t>0187/24 - SO</t>
  </si>
  <si>
    <t>0175/24 - SO</t>
  </si>
  <si>
    <t>0193/25 - SO</t>
  </si>
  <si>
    <t>0203/25 - SO</t>
  </si>
  <si>
    <t>0206/25 - SO</t>
  </si>
  <si>
    <t>AGRICOLA ALVORADA S.A.</t>
  </si>
  <si>
    <t>0207/25 - SO</t>
  </si>
  <si>
    <t>0208/25 - SO</t>
  </si>
  <si>
    <t>0189/24 - SO</t>
  </si>
  <si>
    <t>RICARDO BRIZOT NICARETTA</t>
  </si>
  <si>
    <t>BELA CEREAIS COMERCIO LTDA</t>
  </si>
  <si>
    <t>0210/25 - SO</t>
  </si>
  <si>
    <t>0212/25 - SO</t>
  </si>
  <si>
    <t>0211/25 - SO</t>
  </si>
  <si>
    <t>0217/25 - SO</t>
  </si>
  <si>
    <t>0213/25 - SO</t>
  </si>
  <si>
    <t>0216/25 - SO</t>
  </si>
  <si>
    <t>0214/25 - SO</t>
  </si>
  <si>
    <t>0215/25 - SO</t>
  </si>
  <si>
    <t>SANTA RITA AGRONEGOCIOS LTDA</t>
  </si>
  <si>
    <t>JUROS DE ANTECIPACAO</t>
  </si>
  <si>
    <t>0218/25 - SO</t>
  </si>
  <si>
    <t>BTG PACTUAL COMMODITIES SERTRADING S.A.</t>
  </si>
  <si>
    <t>0220/25 - SO</t>
  </si>
  <si>
    <t>0202/25 - SO</t>
  </si>
  <si>
    <t>0221/25 - SO</t>
  </si>
  <si>
    <t>0222/25 - AR</t>
  </si>
  <si>
    <t>FEIJAO CAUPI</t>
  </si>
  <si>
    <t>0227/25 - MV</t>
  </si>
  <si>
    <t>UNIAO COMERCIO LTDA</t>
  </si>
  <si>
    <t>FEIJAO MUNGO VERDE</t>
  </si>
  <si>
    <t>0226/25 - MP</t>
  </si>
  <si>
    <t>0225/25 - MP</t>
  </si>
  <si>
    <t>FEIJAO MUNGO PRETO</t>
  </si>
  <si>
    <t>JUROS S/ MUTUO SOCIO</t>
  </si>
  <si>
    <t>COMISSAO CONTRATO</t>
  </si>
  <si>
    <t>FRETES/ENCOMENDAS</t>
  </si>
  <si>
    <t>0228/25 - FC</t>
  </si>
  <si>
    <t>0229/25 - FC</t>
  </si>
  <si>
    <t>VARGAS INDUSTRIA E COMERCIO DE ALIMENTOS LTDA</t>
  </si>
  <si>
    <t>0231/25 - CS</t>
  </si>
  <si>
    <t>0232/25 - CS</t>
  </si>
  <si>
    <t>TRES TENTOS AGROINDUSTRIAL S/A</t>
  </si>
  <si>
    <t>JOSE EDUARDO MUFFATO E OUTROS</t>
  </si>
  <si>
    <t>CASCA DE SOJA</t>
  </si>
  <si>
    <t>ANALISE LABORATORIO</t>
  </si>
  <si>
    <t>BENEFICIAMENTO DE GRAOS</t>
  </si>
  <si>
    <t>HONORARIO ADVOCATICIOS</t>
  </si>
  <si>
    <t>MATERIAL BENS/CONSUMO</t>
  </si>
  <si>
    <t>0234/25 - SO</t>
  </si>
  <si>
    <t>0235/25 - SO</t>
  </si>
  <si>
    <t>ALCIDES AUGUSTO DA FONSECA JUNIOR</t>
  </si>
  <si>
    <t>CORREIO</t>
  </si>
  <si>
    <t>CUSTAS JUDICIAIS</t>
  </si>
  <si>
    <t>0236/25 - SO</t>
  </si>
  <si>
    <t>0237/25 - SO</t>
  </si>
  <si>
    <t>PLANTA BRASIL AGRONEGOCIOS LTDA</t>
  </si>
  <si>
    <t>0238/25 - SO</t>
  </si>
  <si>
    <t>0239/25 - CA</t>
  </si>
  <si>
    <t>0233/25 - CA</t>
  </si>
  <si>
    <t>FRANKIE ROBERTO SOUZA E MONTAGNI</t>
  </si>
  <si>
    <t>CAROCO DE ALGODAO</t>
  </si>
  <si>
    <t>0240/25 - MI</t>
  </si>
  <si>
    <t>0219/25 - MI</t>
  </si>
  <si>
    <t>MILHO</t>
  </si>
  <si>
    <t>0354/25 - ML</t>
  </si>
  <si>
    <t>0351/25 - ML</t>
  </si>
  <si>
    <t>OSCAR NOBUHIRO ISHIDA</t>
  </si>
  <si>
    <t>MATHEUS FELIX DOS SANTOS</t>
  </si>
  <si>
    <t>MILHETO</t>
  </si>
  <si>
    <t>BC_MATRIZ</t>
  </si>
  <si>
    <t>AGUA</t>
  </si>
  <si>
    <t>AJUSTE NDF</t>
  </si>
  <si>
    <t>HONORARIOS DIVERSOS</t>
  </si>
  <si>
    <t>PARCELAMENTO SEFAZ</t>
  </si>
  <si>
    <t>PASSAGEM AEREA</t>
  </si>
  <si>
    <t>PEDAGIO</t>
  </si>
  <si>
    <t>SEGURO CARGA</t>
  </si>
  <si>
    <t>TARIFA CAMBIO/EXPORTACAO</t>
  </si>
  <si>
    <t>TAXA FINANCIAMENTO</t>
  </si>
  <si>
    <t>TELEFONE MOVEL</t>
  </si>
  <si>
    <t>0359/25 - MP</t>
  </si>
  <si>
    <t>PAULO SERGIO AGUIAR</t>
  </si>
  <si>
    <t>0361/25 - AR</t>
  </si>
  <si>
    <t>ARROZ</t>
  </si>
  <si>
    <t>CURSOS/SEMINARIOS</t>
  </si>
  <si>
    <t>MANUTENCAO VEICULOS</t>
  </si>
  <si>
    <t>ASSOCIACAO DE CLASSE</t>
  </si>
  <si>
    <t>0358/25 - SO</t>
  </si>
  <si>
    <t>0357/25 - SO</t>
  </si>
  <si>
    <t>CESAR TORRES VEDANA</t>
  </si>
  <si>
    <t>0363/25 - SO</t>
  </si>
  <si>
    <t>0362/25 - SO</t>
  </si>
  <si>
    <t>MM COMERCIO DE CEREAIS LTDA</t>
  </si>
  <si>
    <t>0365/25 - SO</t>
  </si>
  <si>
    <t>0364/25 - SO</t>
  </si>
  <si>
    <t>MARCIO VICTOR BELOTI</t>
  </si>
  <si>
    <t>CUTRALE TRADING BRASIL LTDA.</t>
  </si>
  <si>
    <t>0367/25 - SO</t>
  </si>
  <si>
    <t>0366/25 - SO</t>
  </si>
  <si>
    <t>0368/25 - SO</t>
  </si>
  <si>
    <t>0372/25 - SO</t>
  </si>
  <si>
    <t>0371/25 - SO</t>
  </si>
  <si>
    <t>VALQUIRIA MARCELINO FERREIRA ABREU</t>
  </si>
  <si>
    <t>0373/25 - SO</t>
  </si>
  <si>
    <t>CONSULTA DE PERFIL PROFISSIONAL</t>
  </si>
  <si>
    <t>0378/25 - MV</t>
  </si>
  <si>
    <t>ADEMAR VANZELA</t>
  </si>
  <si>
    <t>0380/25 - AR</t>
  </si>
  <si>
    <t>BERNARDO JEAN PANCOTTE</t>
  </si>
  <si>
    <t>0376/25 - AR</t>
  </si>
  <si>
    <t>0377/25 - SO</t>
  </si>
  <si>
    <t>0375/25 - SO</t>
  </si>
  <si>
    <t>ICMS S/ FRETE</t>
  </si>
  <si>
    <t>MANUTENCAO SALA</t>
  </si>
  <si>
    <t>0379/25 - MP</t>
  </si>
  <si>
    <t>0383/25 - MP</t>
  </si>
  <si>
    <t>0382/25 - MV</t>
  </si>
  <si>
    <t>SUKSAWADI AGRICULTURAL PRODUCTS CO LTD</t>
  </si>
  <si>
    <t>0386/25 - MV</t>
  </si>
  <si>
    <t>0385/25 - MV</t>
  </si>
  <si>
    <t>WILLIAN RICARDO CHOPTIAN</t>
  </si>
  <si>
    <t>ADROIT OVERSEAS PTE LTD</t>
  </si>
  <si>
    <t>ISS</t>
  </si>
  <si>
    <t>0387/25 - MP</t>
  </si>
  <si>
    <t>JASHAN FOODSTUFF TRADING LLC</t>
  </si>
  <si>
    <t>JUROS/ENCARGOS</t>
  </si>
  <si>
    <t>0384/25 - CA</t>
  </si>
  <si>
    <t>0355/25 - CA</t>
  </si>
  <si>
    <t>M.R. CEREAIS LTDA</t>
  </si>
  <si>
    <t>PAULO ROBERTO VIADANNA</t>
  </si>
  <si>
    <t>0356/25 - CA</t>
  </si>
  <si>
    <t>SHEILLA MARIE MONTAGNI BREZOLIN</t>
  </si>
  <si>
    <t>0388/25 - FC</t>
  </si>
  <si>
    <t>0392/25 - FC</t>
  </si>
  <si>
    <t>0389/25 - FC</t>
  </si>
  <si>
    <t>JASHAN FOODSTUFF TRADING FZC</t>
  </si>
  <si>
    <t>0391/25 - FC</t>
  </si>
  <si>
    <t>FEIRAS/EXPOSICOES</t>
  </si>
  <si>
    <t>INSTALACAO/MONTAGEM ESCRITORIO 505 SUL PALMAS TO</t>
  </si>
  <si>
    <t>SERVICOS PORTUARIOS</t>
  </si>
  <si>
    <t>0395/25 - MP</t>
  </si>
  <si>
    <t>ADRIANO DUARTE DE OLIVEIRA</t>
  </si>
  <si>
    <t>0396/25 - SO</t>
  </si>
  <si>
    <t>0394/25 - SO</t>
  </si>
  <si>
    <t>CUTRALE TRADING BRASIL LTDA</t>
  </si>
  <si>
    <t>0398/25 - CA</t>
  </si>
  <si>
    <t>EVARISTO JUNQUEIRA NETO</t>
  </si>
  <si>
    <t>0399/25 - CA</t>
  </si>
  <si>
    <t>VITOR RORATTO NEVES</t>
  </si>
  <si>
    <t>0401/25 - SO</t>
  </si>
  <si>
    <t>0400/25 - SO</t>
  </si>
  <si>
    <t>0402/25 - CA</t>
  </si>
  <si>
    <t>CAIO MONTEIRO DE BARROS FURLAN DE ALMEIDA E OUTRO</t>
  </si>
  <si>
    <t>0403/25 - CA</t>
  </si>
  <si>
    <t>LACTALIS DO BRASIL - COM IMP EXPT LTDA</t>
  </si>
  <si>
    <t>ALUGUEL</t>
  </si>
  <si>
    <t>IPTU</t>
  </si>
  <si>
    <t>0390/25 - FC</t>
  </si>
  <si>
    <t>0404/25 - CA</t>
  </si>
  <si>
    <t>PEDRO FAVARETTO FILHO</t>
  </si>
  <si>
    <t>0410/25 - CA</t>
  </si>
  <si>
    <t>0408/25 - CA</t>
  </si>
  <si>
    <t>MANOEL MIGUEL NASCIMENTO</t>
  </si>
  <si>
    <t>0411/25 - FC</t>
  </si>
  <si>
    <t>LIMA COMERCIO DE FEIJAO LTDA</t>
  </si>
  <si>
    <t>0412/25 - CA</t>
  </si>
  <si>
    <t>LUCAS ANTONIO MORO GONCALEZ</t>
  </si>
  <si>
    <t>0414/25 - FC</t>
  </si>
  <si>
    <t>0426/25 - FC</t>
  </si>
  <si>
    <t>AGROWIRRIS COMERCIO E INDUSTRIA LTDA</t>
  </si>
  <si>
    <t>AGC BRAZIL COMERCIAL EXPORTADORA LTDA</t>
  </si>
  <si>
    <t>0415/25 - MP</t>
  </si>
  <si>
    <t>PAWAN INDUSTRIES</t>
  </si>
  <si>
    <t>0418/25 - CA</t>
  </si>
  <si>
    <t>ANA JULIA FERREIRA JACINTHO JORGE E OUTROS</t>
  </si>
  <si>
    <t>0419/25 - CA</t>
  </si>
  <si>
    <t>ANTONIO CARLOS STABILE E OUTROS</t>
  </si>
  <si>
    <t>0413/25 - CA</t>
  </si>
  <si>
    <t>0420/25 - ML</t>
  </si>
  <si>
    <t>0425/25 - ML</t>
  </si>
  <si>
    <t>CIRINEU DE AGUIAR</t>
  </si>
  <si>
    <t>SHINDI UEMURA E OUTROS</t>
  </si>
  <si>
    <t>0424/25 - CA</t>
  </si>
  <si>
    <t>MARCIA REGINA ALVES DE PAULA LOURENCO</t>
  </si>
  <si>
    <t>0427/25 - CA</t>
  </si>
  <si>
    <t>ADRIANO OKANO</t>
  </si>
  <si>
    <t>CONSULTORIA DE NEGOCIOS INTERNACIONAIS</t>
  </si>
  <si>
    <t>SEGURO DE CREDITO</t>
  </si>
  <si>
    <t>0431/25 - CA</t>
  </si>
  <si>
    <t>0432/25 - ML</t>
  </si>
  <si>
    <t>RODRIGO HISASHI IKEDA E OUTRO</t>
  </si>
  <si>
    <t>0433/25 - FC</t>
  </si>
  <si>
    <t>0435/25 - FC</t>
  </si>
  <si>
    <t>LUCAS GUSTAVO RAMOS ALVES</t>
  </si>
  <si>
    <t>ESTUFAGEM</t>
  </si>
  <si>
    <t>ETIQUETAGEM</t>
  </si>
  <si>
    <t>FUMICACAO/TRATAMENTO</t>
  </si>
  <si>
    <t>SACARIA</t>
  </si>
  <si>
    <t>TERRENO LUZIMANGUES</t>
  </si>
  <si>
    <t>0374/25 - SO</t>
  </si>
  <si>
    <t>0407/25 - FC</t>
  </si>
  <si>
    <t>0405/25 - MV</t>
  </si>
  <si>
    <t>0406/25 - MV</t>
  </si>
  <si>
    <t>ELIO LUIZ CARLOTT</t>
  </si>
  <si>
    <t>0397/25 - FC</t>
  </si>
  <si>
    <t>MOL ENTERPRISES</t>
  </si>
  <si>
    <t>0393/25 - MP</t>
  </si>
  <si>
    <t>AKSHAR AGRI INDIA PRIVATE LIMITED</t>
  </si>
  <si>
    <t>BC_FILIAL</t>
  </si>
  <si>
    <t>0353/25 - SAL</t>
  </si>
  <si>
    <t>JAYME HIROYAS HASEGAWA</t>
  </si>
  <si>
    <t>SAL</t>
  </si>
  <si>
    <t>0354/25 - AR</t>
  </si>
  <si>
    <t>0357/25 - FC</t>
  </si>
  <si>
    <t>GLOBO COMERCIO DE CEREAIS LTDA</t>
  </si>
  <si>
    <t>0358/25 - FC</t>
  </si>
  <si>
    <t>C.E.L COMERCIO E FABRICACAO DE PRODUTOS VEGETAL LTDA</t>
  </si>
  <si>
    <t>0360/25 - FC</t>
  </si>
  <si>
    <t>0362/25 - FC</t>
  </si>
  <si>
    <t>ANTARES AGRONEGOCIO LTDA</t>
  </si>
  <si>
    <t>0361/25 - FC</t>
  </si>
  <si>
    <t>AURELIO CAMPOS DE ARAUJO</t>
  </si>
  <si>
    <t>0363/25 - MP</t>
  </si>
  <si>
    <t>HMS GRAOS LTDA</t>
  </si>
  <si>
    <t>0440/26 - CA</t>
  </si>
  <si>
    <t>0438/26 - CA</t>
  </si>
  <si>
    <t>0442/26 - SO</t>
  </si>
  <si>
    <t>0409/25 - SO</t>
  </si>
  <si>
    <t>FELIPE DEI RICARDI</t>
  </si>
  <si>
    <t>0443/26 - SO</t>
  </si>
  <si>
    <t>THIAGO FACHOLLI</t>
  </si>
  <si>
    <t>CERTIFICADO</t>
  </si>
  <si>
    <t>FRETE MARITIMO</t>
  </si>
  <si>
    <t>0242/26 - SO</t>
  </si>
  <si>
    <t>0243/26 - SO</t>
  </si>
  <si>
    <t>ALENCAR KACIANO GALLO</t>
  </si>
  <si>
    <t>0244/26 - SO</t>
  </si>
  <si>
    <t>ANDREY GUSTAVO GALLO</t>
  </si>
  <si>
    <t>0230/25 - SO</t>
  </si>
  <si>
    <t>0245/26 - SO</t>
  </si>
  <si>
    <t>0246/26 - SO</t>
  </si>
  <si>
    <t>ANDRE LUIZ SALLES SCUTTI</t>
  </si>
  <si>
    <t>0250/26 - SO</t>
  </si>
  <si>
    <t>0241/26 - SO</t>
  </si>
  <si>
    <t>0248/26 - SO</t>
  </si>
  <si>
    <t>0247/26 - SO</t>
  </si>
  <si>
    <t>0249/26 - SO</t>
  </si>
  <si>
    <t>0251/26 - SO</t>
  </si>
  <si>
    <t>0252/26 - SO</t>
  </si>
  <si>
    <t>0253/26 - SO</t>
  </si>
  <si>
    <t>0255/26 - MP</t>
  </si>
  <si>
    <t>BELA CEREAIS COMERCIO LTDA.</t>
  </si>
  <si>
    <t>0254/26 - SO</t>
  </si>
  <si>
    <t>0453/26 - CA</t>
  </si>
  <si>
    <t>0465/26 - SO</t>
  </si>
  <si>
    <t>0444/26 - SO</t>
  </si>
  <si>
    <t>0449/26 - SO</t>
  </si>
  <si>
    <t>0450/26 - SO</t>
  </si>
  <si>
    <t>0446/26 - SO</t>
  </si>
  <si>
    <t>0445/26 - SO</t>
  </si>
  <si>
    <t>0439/26 - SO</t>
  </si>
  <si>
    <t>CRISTIANO CORREIA FAVARIN</t>
  </si>
  <si>
    <t>0451/26 - SO</t>
  </si>
  <si>
    <t>0441/26 - SO</t>
  </si>
  <si>
    <t>BARBARA OLIVEIRA FUSCO</t>
  </si>
  <si>
    <t>0455/26 - SO</t>
  </si>
  <si>
    <t>0452/26 - SO</t>
  </si>
  <si>
    <t>0422/25 - SO</t>
  </si>
  <si>
    <t>GEOVAN BARBOSA DIAS</t>
  </si>
  <si>
    <t>0461/26 - SO</t>
  </si>
  <si>
    <t>0454/26 - SO</t>
  </si>
  <si>
    <t>0456/26 - SO</t>
  </si>
  <si>
    <t>0458/26 - SO</t>
  </si>
  <si>
    <t>0460/26 - SO</t>
  </si>
  <si>
    <t>0459/26 - SO</t>
  </si>
  <si>
    <t>0463/26 - SO</t>
  </si>
  <si>
    <t>0462/26 - SO</t>
  </si>
  <si>
    <t>0464/26 - SO</t>
  </si>
  <si>
    <t>0466/26 - SO</t>
  </si>
  <si>
    <t>0468/26 - SO</t>
  </si>
  <si>
    <t>0467/26 - SO</t>
  </si>
  <si>
    <t>0469/26 - SO</t>
  </si>
  <si>
    <t>0470/26 - SO</t>
  </si>
  <si>
    <t>BENEFICIOS</t>
  </si>
  <si>
    <t>SALARIOS</t>
  </si>
  <si>
    <t>0364/26 - MP</t>
  </si>
  <si>
    <t>SAMBA FOODS LTDA</t>
  </si>
  <si>
    <t>0365/26 - MP</t>
  </si>
  <si>
    <t>0366/26 - MP</t>
  </si>
  <si>
    <t>DESPESA DE ARMAZENAGEM</t>
  </si>
  <si>
    <t>MATERIAL ESCRITORIO</t>
  </si>
  <si>
    <t>0457/26 - SO</t>
  </si>
  <si>
    <t>0417/25 - SO</t>
  </si>
  <si>
    <t>SINAIR TAVARES PRADO NETO</t>
  </si>
  <si>
    <t>0471/26 - SO</t>
  </si>
  <si>
    <t>0472/26 - SO</t>
  </si>
  <si>
    <t>0428/25 - SO</t>
  </si>
  <si>
    <t>EDICARLOS ALMEIDA GUEDES</t>
  </si>
  <si>
    <t>0473/26 - SO</t>
  </si>
  <si>
    <t>0476/26 - SO</t>
  </si>
  <si>
    <t>0477/26 - SO</t>
  </si>
  <si>
    <t>0367/26 - MV</t>
  </si>
  <si>
    <t>0368/26 - FC</t>
  </si>
  <si>
    <t>0369/26 - FC</t>
  </si>
  <si>
    <t>0370/26 - FC</t>
  </si>
  <si>
    <t>0371/26 - MP</t>
  </si>
  <si>
    <t>0256/26 - MV</t>
  </si>
  <si>
    <t>0257/26 - MV</t>
  </si>
  <si>
    <t>0258/26 - SO</t>
  </si>
  <si>
    <t>0263/26 - SO</t>
  </si>
  <si>
    <t>0262/26 - SO</t>
  </si>
  <si>
    <t>SIPAL INDUSTRIA E COMERCIO LTDA</t>
  </si>
  <si>
    <t>0264/26 - MP</t>
  </si>
  <si>
    <t>0265/26 - MP</t>
  </si>
  <si>
    <t>0270/26 - FC</t>
  </si>
  <si>
    <t>0269/26 - FC</t>
  </si>
  <si>
    <t>FGTS</t>
  </si>
  <si>
    <t>ITBI</t>
  </si>
  <si>
    <t>RESCISÃO</t>
  </si>
  <si>
    <t>MERCADORIA REF 1225, CARREGAMENTO  Nº 01627, CONTRATO: 0347/24 - AR. REVERTIDO LUCRO.</t>
  </si>
  <si>
    <t xml:space="preserve"> J C M BEZERRA LTDA</t>
  </si>
  <si>
    <t>03/2025</t>
  </si>
  <si>
    <t>ENTRADAS DIVERSAS</t>
  </si>
  <si>
    <t>ÚNICA</t>
  </si>
  <si>
    <t>DEBITO EM CONTA</t>
  </si>
  <si>
    <t>CREDITO PARA AJUSTAR BAIXA COMISSAO WARLEY OC 1994 CONTRATO CEL 0358/25 - FC.</t>
  </si>
  <si>
    <t xml:space="preserve"> GLOBO COMERCIO DE CEREAIS LTDA</t>
  </si>
  <si>
    <t>TRANSFERENCIA ENTRE CONTAS</t>
  </si>
  <si>
    <t>TRANSFERENCIA</t>
  </si>
  <si>
    <t>AJUSTE CONTRATO 0002/24 - AZ.</t>
  </si>
  <si>
    <t xml:space="preserve"> BANCO DO BRASIL SA</t>
  </si>
  <si>
    <t>0002/24 - AZ</t>
  </si>
  <si>
    <t>REVERSAO LUCRO DESPESAS OC 02076.</t>
  </si>
  <si>
    <t xml:space="preserve"> JOEL FLORENCO DE SOUZA</t>
  </si>
  <si>
    <t>02076</t>
  </si>
  <si>
    <t>DINHEIRO</t>
  </si>
  <si>
    <t>COMPRA PARCELA Nº 01 Ref Documento nº 6. MOVEIS SALA 505 SUL.</t>
  </si>
  <si>
    <t xml:space="preserve"> MOVEMAR MOVEIS PERSONALIZADOS LTDA</t>
  </si>
  <si>
    <t>6</t>
  </si>
  <si>
    <t>ADIANTAMENTOS FORNECEDORES</t>
  </si>
  <si>
    <t>PIX</t>
  </si>
  <si>
    <t>ADIANTAMENTO DO CONTRATO 0364/26 - MP. NF 123.</t>
  </si>
  <si>
    <t xml:space="preserve"> SAMBA FOODS LTDA</t>
  </si>
  <si>
    <t>CLIENTES MERCADORIAS</t>
  </si>
  <si>
    <t>ADIANTAMENTO DE CONTRATO VENDA 0365/26 - MP. NF 122.</t>
  </si>
  <si>
    <t>NF 202600000000001. PRESTACAO DE SERVICO DE ARMAZENAMENTO DE GRAOS EM CAMARA FRIA. MUNGO PRETO 9.300 KG.</t>
  </si>
  <si>
    <t xml:space="preserve"> PORTO CEREAIS LTDA</t>
  </si>
  <si>
    <t>NF 202600000000001</t>
  </si>
  <si>
    <t>MERCADORIA REF NF 122, CARREGAMENTO Nº 02288, CONTRATO: 0365/26 - MP. PLACA: XXX-9999, MOTORISTA: JOEL FLORENCO DE SOUZA</t>
  </si>
  <si>
    <t>02288</t>
  </si>
  <si>
    <t>COMPRA PARCELA Nº 01 Ref Documento nº 8</t>
  </si>
  <si>
    <t>8</t>
  </si>
  <si>
    <t>DataPagto</t>
  </si>
  <si>
    <t>Descricao</t>
  </si>
  <si>
    <t>NomeClienteOk</t>
  </si>
  <si>
    <t>NDocumento</t>
  </si>
  <si>
    <t>DescricaoPlanoContas</t>
  </si>
  <si>
    <t>Parcela</t>
  </si>
  <si>
    <t>DescricaoFormaPagto</t>
  </si>
  <si>
    <t>ValorPagoR</t>
  </si>
  <si>
    <t>ADIANTAMENTO CLIENTE (VENDA CAMINHAO).</t>
  </si>
  <si>
    <t xml:space="preserve"> D.A. MANFROI TRANSPORTES LTDA</t>
  </si>
  <si>
    <t>01/2025</t>
  </si>
  <si>
    <t>ADIANTAMENTOS CLIENTES</t>
  </si>
  <si>
    <t>RESGATE</t>
  </si>
  <si>
    <t xml:space="preserve"> TRANSFERENCIA ENTRE CONTAS</t>
  </si>
  <si>
    <t>CAPITAL DE GIRO CEDULA DE CREDITO BANCARIO NR 713.914.635.</t>
  </si>
  <si>
    <t>713.914.635</t>
  </si>
  <si>
    <t>CAPITAL GIRO</t>
  </si>
  <si>
    <t>CREDITO EM CONTA</t>
  </si>
  <si>
    <t>APLICACAO</t>
  </si>
  <si>
    <t>10/2025</t>
  </si>
  <si>
    <t>RSTAGE</t>
  </si>
  <si>
    <t>RESGATE134,94</t>
  </si>
  <si>
    <t>MERCADORIA REF NF 1492, CARREGAMENTO Nº 01637, CONTRATO: 0354/25 - ML. PLACA: XXX-9999, MOTORISTA: JOEL FLORENCO DE SOUZA</t>
  </si>
  <si>
    <t xml:space="preserve"> MATHEUS FELIX DOS SANTOS</t>
  </si>
  <si>
    <t>01637</t>
  </si>
  <si>
    <t>RENDIMENTO APLICACAO</t>
  </si>
  <si>
    <t>FINANCEIRA</t>
  </si>
  <si>
    <t>AJUSTE</t>
  </si>
  <si>
    <t>02/2025</t>
  </si>
  <si>
    <t>ENTRADA DE MUTUO.</t>
  </si>
  <si>
    <t>TERCEIROS</t>
  </si>
  <si>
    <t>MERCADORIA REF NF 1490, CARREGAMENTO Nº 01636, CONTRATO: 0354/25 - ML. PLACA: FIV-1F92, MOTORISTA: EDER EDUARDO BARBOSA</t>
  </si>
  <si>
    <t>01636</t>
  </si>
  <si>
    <t>MERCADORIA REF NF 1496, CARREGAMENTO Nº 01638, CONTRATO: 0354/25 - ML. PLACA: XXX-9999, MOTORISTA: JOEL FLORENCO DE SOUZA</t>
  </si>
  <si>
    <t>01638</t>
  </si>
  <si>
    <t>RECEBIMENTO REFERENTE A DEVOLUCAO DA ANTECIPACAO DO CONTRATO CONTRA E VENDA NUMERO 0040/2024 (BELA X MM).</t>
  </si>
  <si>
    <t xml:space="preserve"> MM COMERCIO DE CEREAIS LTDA</t>
  </si>
  <si>
    <t>0040/2024</t>
  </si>
  <si>
    <t>EMPRESAS</t>
  </si>
  <si>
    <t>RECEBIMENTO REFERENTE A DEVOLUCAO DA ANTECIPACAO DO CONTRATO CONTRA E VENDA NUMERO 0042/2025 (BELA X MM).</t>
  </si>
  <si>
    <t>0042/2025</t>
  </si>
  <si>
    <t>TED</t>
  </si>
  <si>
    <t>MERCADORIA NF 711 FRANCISCO NUNES DA SILVA E OUTRA, CARREGAMENTO Nº 00013, CONTRATO: 0014/21 - ML. PLACA: MKP-6155, MOTORISTA: NEOROI JOAO EGER. FATURA Nº 00020 REF. DOCUMENTOS: 00013. NOTAS RELACIONADAS 698 E 710.</t>
  </si>
  <si>
    <t xml:space="preserve"> ORLANDO RIYUSHIRO MATSUDA E OUTRA</t>
  </si>
  <si>
    <t>00013</t>
  </si>
  <si>
    <t>TRANSFERENCIA BASA.</t>
  </si>
  <si>
    <t>MERCADORIA REF NF 1499, CARREGAMENTO Nº 01756, CONTRATO: 0358/25 - SO. PLACA: XXX-9999, MOTORISTA: JOEL FLORENCO DE SOUZA</t>
  </si>
  <si>
    <t xml:space="preserve"> BUNGE ALIMENTOS S/A</t>
  </si>
  <si>
    <t>01756</t>
  </si>
  <si>
    <t>MERCADORIA REF NF 1500, CARREGAMENTO Nº 01757, CONTRATO: 0358/25 - SO. PLACA: XXX-9999, MOTORISTA: JOEL FLORENCO DE SOUZA</t>
  </si>
  <si>
    <t>01757</t>
  </si>
  <si>
    <t>MERCADORIA REF NF 1502, CARREGAMENTO Nº 01761, CONTRATO: 0358/25 - SO. PLACA: XXX-9999, MOTORISTA: JOEL FLORENCO DE SOUZA</t>
  </si>
  <si>
    <t>01761</t>
  </si>
  <si>
    <t>MERCADORIA REF NF 1501, CARREGAMENTO Nº 01760, CONTRATO: 0358/25 - SO. PLACA: XXX-9999, MOTORISTA: JOEL FLORENCO DE SOUZA</t>
  </si>
  <si>
    <t>01760</t>
  </si>
  <si>
    <t>MERCADORIA REF NF 1503, CARREGAMENTO Nº 01762, CONTRATO: 0358/25 - SO. PLACA: XXX-9999, MOTORISTA: JOEL FLORENCO DE SOUZA</t>
  </si>
  <si>
    <t>01762</t>
  </si>
  <si>
    <t>MERCADORIA REF NF 1504, CARREGAMENTO Nº 01763, CONTRATO: 0358/25 - SO. PLACA: XXX-9999, MOTORISTA: JOEL FLORENCO DE SOUZA</t>
  </si>
  <si>
    <t>01763</t>
  </si>
  <si>
    <t>MERCADORIA REF NF 1505 PARCIAL, CARREGAMENTO Nº 01765, CONTRATO: 0358/25 - SO. PLACA: XXX-9999, MOTORISTA: JOEL FLORENCO DE SOUZA</t>
  </si>
  <si>
    <t>01765</t>
  </si>
  <si>
    <t>MERCADORIA REF NF 1506, CARREGAMENTO Nº 01767, CONTRATO: 0358/25 - SO. PLACA: XXX-9999, MOTORISTA: JOEL FLORENCO DE SOUZA</t>
  </si>
  <si>
    <t>01767</t>
  </si>
  <si>
    <t>APLICACAO.</t>
  </si>
  <si>
    <t>RESGATE.</t>
  </si>
  <si>
    <t>COMPENSACAO DE IMPOSTO FISCAL. SENAR REF NF 1139, CARREGAMENTO  Nº 01720.</t>
  </si>
  <si>
    <t xml:space="preserve"> PAULO SERGIO AGUIAR</t>
  </si>
  <si>
    <t>01720</t>
  </si>
  <si>
    <t>ENTRADA MUTUO. EXTRATO  D.A. MANFRO.</t>
  </si>
  <si>
    <t>MUTUO SOCIO</t>
  </si>
  <si>
    <t>04/2025</t>
  </si>
  <si>
    <t>MERCADORIA REF NF 1507, CARREGAMENTO Nº 01776, CONTRATO: 0365/25 - SO. PLACA: XXX-9999, MOTORISTA: JOEL FLORENCO DE SOUZA. NF 116339 DEVOLUCAO.</t>
  </si>
  <si>
    <t xml:space="preserve"> CUTRALE TRADING BRASIL LTDA.</t>
  </si>
  <si>
    <t>01776</t>
  </si>
  <si>
    <t>MERCADORIA REF NF 1508, CARREGAMENTO Nº 01777, CONTRATO: 0365/25 - SO. PLACA: XXX-9999, MOTORISTA: JOEL FLORENCO DE SOUZA. NF 116340 DEVOLUCAO.</t>
  </si>
  <si>
    <t>01777</t>
  </si>
  <si>
    <t>MERCADORIA REF NF 1509, CARREGAMENTO Nº 01780, CONTRATO: 0365/25 - SO. PLACA: XXX-9999, MOTORISTA: JOEL FLORENCO DE SOUZA. NF 116341 DEVOLUCAO.</t>
  </si>
  <si>
    <t>01780</t>
  </si>
  <si>
    <t>MERCADORIA REF NF 1510, CARREGAMENTO Nº 01781, CONTRATO: 0365/25 - SO. PLACA: HBG-7932, MOTORISTA: WAGNER VEIGA DOMICIANO.  NF 116342 DEVOLUCAO.</t>
  </si>
  <si>
    <t>01781</t>
  </si>
  <si>
    <t>MERCADORIA REF NF 1511, CARREGAMENTO Nº 01788, CONTRATO: 0365/25 - SO. PLACA: XXX-9999, MOTORISTA: JOEL FLORENCO DE SOUZA.  NF 116343 DEVOLUCAO.</t>
  </si>
  <si>
    <t>01788</t>
  </si>
  <si>
    <t>MERCADORIA REF NF 1525/1531, CARREGAMENTO Nº 01797, CONTRATO: 0365/25 - SO. PLACA: XXX-9999, MOTORISTA: JOEL FLORENCO DE SOUZA</t>
  </si>
  <si>
    <t>01797</t>
  </si>
  <si>
    <t>MERCADORIA REF NF 1512, CARREGAMENTO Nº 01789, CONTRATO: 0365/25 - SO. PLACA: XXX-9999, MOTORISTA: JOEL FLORENCO DE SOUZA. NF DEVOLUCAO 116906.</t>
  </si>
  <si>
    <t>01789</t>
  </si>
  <si>
    <t>MERCADORIA REF NF 1513, CARREGAMENTO Nº 01784, CONTRATO: 0365/25 - SO. PLACA: MML-4E30, MOTORISTA: PATRICK MARCOS DE OLIVEIRA SILVA</t>
  </si>
  <si>
    <t>01784</t>
  </si>
  <si>
    <t>MERCADORIA REF NF 1514, CARREGAMENTO Nº 01785, CONTRATO: 0365/25 - SO. PLACA: MPI-2I18, MOTORISTA: MATHEUS DE OLIVEIRA BARBOSA</t>
  </si>
  <si>
    <t>01785</t>
  </si>
  <si>
    <t>MERCADORIA REF NF 1515, CARREGAMENTO Nº 01787, CONTRATO: 0365/25 - SO. PLACA: FEI-5G29, MOTORISTA: DECIO FLORENTINO</t>
  </si>
  <si>
    <t>01787</t>
  </si>
  <si>
    <t>MERCADORIA REF NF 1516, CARREGAMENTO Nº 01786, CONTRATO: 0365/25 - SO. PLACA: GEJ-0D18, MOTORISTA: GILBERTO DE JESUS SEGURO. NF DEVOLUCAO 116908.</t>
  </si>
  <si>
    <t>01786</t>
  </si>
  <si>
    <t>MERCADORIA REF NF 1517, CARREGAMENTO Nº 01796, CONTRATO: 0365/25 - SO. PLACA: XXX-9999, MOTORISTA: JOEL FLORENCO DE SOUZA. NF DEVOLUCAO 116909.</t>
  </si>
  <si>
    <t>01796</t>
  </si>
  <si>
    <t>MERCADORIA REF NF 1519, CARREGAMENTO Nº 01798, CONTRATO: 0365/25 - SO. PLACA: XXX-9999, MOTORISTA: JOEL FLORENCO DE SOUZA</t>
  </si>
  <si>
    <t>01798</t>
  </si>
  <si>
    <t>MERCADORIA REF NF 1523, CARREGAMENTO Nº 01801, CONTRATO: 0365/25 - SO. PLACA: XXX-9999, MOTORISTA: JOEL FLORENCO DE SOUZA</t>
  </si>
  <si>
    <t>01801</t>
  </si>
  <si>
    <t>MERCADORIA REF NF 1524, CARREGAMENTO Nº 01803, CONTRATO: 0365/25 - SO. PLACA: XXX-9999, MOTORISTA: JOEL FLORENCO DE SOUZA. NF DEVOLUCAO 116910.</t>
  </si>
  <si>
    <t>01803</t>
  </si>
  <si>
    <t>MERCADORIA REF NF 1529, CARREGAMENTO Nº 01709, CONTRATO: 0365/25 - SO. PLACA: XXX-9999, MOTORISTA: JOEL FLORENCO DE SOUZA. NF DEVOLUCAO 116.915.</t>
  </si>
  <si>
    <t>01709</t>
  </si>
  <si>
    <t>MERCADORIA REF NF 1526, CARREGAMENTO Nº 01794, CONTRATO: 0365/25 - SO. PLACA: GCB-5I68, MOTORISTA: JAIR RIBEIRO. NF DEVOLUCAO 116912.</t>
  </si>
  <si>
    <t>01794</t>
  </si>
  <si>
    <t>MERCADORIA REF NF 1528, CARREGAMENTO Nº 01793, CONTRATO: 0365/25 - SO. PLACA: GEQ-7D51, MOTORISTA: RICARDO CAVALANI. NF DEVOLUCAO 116.914.</t>
  </si>
  <si>
    <t>01793</t>
  </si>
  <si>
    <t>MERCADORIA REF NF 1527, CARREGAMENTO Nº 01795, CONTRATO: 0365/25 - SO. PLACA: ONL-9C64, MOTORISTA: JOSE EDMILSON DA SILVA. NF DEVOLUCA 116913</t>
  </si>
  <si>
    <t>01795</t>
  </si>
  <si>
    <t>MERCADORIA REF NF 1530, CARREGAMENTO Nº 01774, CONTRATO: 0365/25 - SO. PLACA: XXX-9999, MOTORISTA: JOEL FLORENCO DE SOUZA, NF DEVOLUCAO 116917.</t>
  </si>
  <si>
    <t>01774</t>
  </si>
  <si>
    <t>CAPITAL DE GIRO CONTA GARANTIDA CEDULA DE CREDITO BANCARIO NR 713.913.371. SEGUNDO DESEMBOLSO.</t>
  </si>
  <si>
    <t>713.913.371</t>
  </si>
  <si>
    <t>EMPRESTIMO (DEVOLUCAO MESMO DIA)</t>
  </si>
  <si>
    <t>MERCADORIA REF NF 1532, CARREGAMENTO Nº 01806, CONTRATO: 0365/25 - SO. PLACA: XXX-9999, MOTORISTA: JOEL FLORENCO DE SOUZA</t>
  </si>
  <si>
    <t>01806</t>
  </si>
  <si>
    <t>MERCADORIA REF NF 1533/1576, CARREGAMENTO Nº 01807, CONTRATO: 0365/25 - SO. PLACA: XXX-9999, MOTORISTA: JOEL FLORENCO DE SOUZA</t>
  </si>
  <si>
    <t>01807</t>
  </si>
  <si>
    <t>MERCADORIA REF NF 1536/1577, CARREGAMENTO Nº 01813, CONTRATO: 0365/25 - SO. PLACA: XXX-9999, MOTORISTA: JOEL FLORENCO DE SOUZA</t>
  </si>
  <si>
    <t>01813</t>
  </si>
  <si>
    <t>MERCADORIA REF NF 1540/1578, CARREGAMENTO Nº 01808, CONTRATO: 0365/25 - SO. PLACA: FCE-0J64, MOTORISTA: ELCIO LUIZ DOMINGUES FILHO</t>
  </si>
  <si>
    <t>01808</t>
  </si>
  <si>
    <t>MERCADORIA REF NF 1548/1579, CARREGAMENTO Nº 01810, CONTRATO: 0365/25 - SO. PLACA: BCY-4I29, MOTORISTA: AGENOR MARCELINO</t>
  </si>
  <si>
    <t>01810</t>
  </si>
  <si>
    <t>MERCADORIA REF NF 1534 PARCIAL, CARREGAMENTO Nº 01809, CONTRATO: 0365/25 - SO. PLACA: XXX-9999, MOTORISTA: JOEL FLORENCO DE SOUZA</t>
  </si>
  <si>
    <t>01809</t>
  </si>
  <si>
    <t>MERCADORIA REF NF 1545, CARREGAMENTO Nº 01811, CONTRATO: 0365/25 - SO. PLACA: CVC-9D70, MOTORISTA: VANDER LEITE DOS SANTOS</t>
  </si>
  <si>
    <t>01811</t>
  </si>
  <si>
    <t>MERCADORIA REF NF 1546, CARREGAMENTO Nº 01822, CONTRATO: 0366/25 - SO. PLACA: XXX-9999, MOTORISTA: JOEL FLORENCO DE SOUZA</t>
  </si>
  <si>
    <t>01822</t>
  </si>
  <si>
    <t>MERCADORIA REF NF 1552/1589, CARREGAMENTO Nº 01833, CONTRATO: 0365/25 - SO. PLACA: XXX-9999, MOTORISTA: JOEL FLORENCO DE SOUZA</t>
  </si>
  <si>
    <t>01833</t>
  </si>
  <si>
    <t>MERCADORIA REF NF 1553, CARREGAMENTO Nº 01845, CONTRATO: 0366/25 - SO. PLACA: XXX-9999, MOTORISTA: JOEL FLORENCO DE SOUZA</t>
  </si>
  <si>
    <t>01845</t>
  </si>
  <si>
    <t>MERCADORIA REF NF 1554, CARREGAMENTO Nº 01846, CONTRATO: 0366/25 - SO. PLACA: XXX-9999, MOTORISTA: JOEL FLORENCO DE SOUZA</t>
  </si>
  <si>
    <t>01846</t>
  </si>
  <si>
    <t>MERCADORIA REF NF 1555, CARREGAMENTO Nº 01847, CONTRATO: 0366/25 - SO. PLACA: XXX-9999, MOTORISTA: JOEL FLORENCO DE SOUZA</t>
  </si>
  <si>
    <t>01847</t>
  </si>
  <si>
    <t>MERCADORIA REF NF 1556, CARREGAMENTO Nº 01848, CONTRATO: 0366/25 - SO. PLACA: XXX-9999, MOTORISTA: JOEL FLORENCO DE SOUZA</t>
  </si>
  <si>
    <t>01848</t>
  </si>
  <si>
    <t>MERCADORIA REF NF 1557, CARREGAMENTO Nº 01849, CONTRATO: 0366/25 - SO. PLACA: XXX-9999, MOTORISTA: JOEL FLORENCO DE SOUZA</t>
  </si>
  <si>
    <t>01849</t>
  </si>
  <si>
    <t>MERCADORIA REF NF 1558, CARREGAMENTO Nº 01850, CONTRATO: 0366/25 - SO. PLACA: XXX-9999, MOTORISTA: JOEL FLORENCO DE SOUZA</t>
  </si>
  <si>
    <t>01850</t>
  </si>
  <si>
    <t>MERCADORIA REF NF 1559, CARREGAMENTO Nº 01851, CONTRATO: 0366/25 - SO. PLACA: XXX-9999, MOTORISTA: JOEL FLORENCO DE SOUZA</t>
  </si>
  <si>
    <t>01851</t>
  </si>
  <si>
    <t>MERCADORIA REF NF 1561, CARREGAMENTO Nº 01854, CONTRATO: 0366/25 - SO. PLACA: XXX-9999, MOTORISTA: JOEL FLORENCO DE SOUZA</t>
  </si>
  <si>
    <t>01854</t>
  </si>
  <si>
    <t>MERCADORIA REF NF 1563, CARREGAMENTO Nº 01861, CONTRATO: 0366/25 - SO. PLACA: XXX-9999, MOTORISTA: JOEL FLORENCO DE SOUZA</t>
  </si>
  <si>
    <t>01861</t>
  </si>
  <si>
    <t>MERCADORIA REF NF 1562, CARREGAMENTO Nº 01860, CONTRATO: 0366/25 - SO. PLACA: XXX-9999, MOTORISTA: JOEL FLORENCO DE SOUZA</t>
  </si>
  <si>
    <t>01860</t>
  </si>
  <si>
    <t>MERCADORIA REF NF 1564, CARREGAMENTO Nº 01862, CONTRATO: 0366/25 - SO. PLACA: XXX-9999, MOTORISTA: JOEL FLORENCO DE SOUZA</t>
  </si>
  <si>
    <t>01862</t>
  </si>
  <si>
    <t>MERCADORIA REF NF 1565, CARREGAMENTO Nº 01863, CONTRATO: 0366/25 - SO. PLACA: XXX-9999, MOTORISTA: JOEL FLORENCO DE SOUZA</t>
  </si>
  <si>
    <t>01863</t>
  </si>
  <si>
    <t>MERCADORIA REF NF 1566, CARREGAMENTO Nº 01864, CONTRATO: 0366/25 - SO. PLACA: XXX-9999, MOTORISTA: JOEL FLORENCO DE SOUZA</t>
  </si>
  <si>
    <t>01864</t>
  </si>
  <si>
    <t>MERCADORIA REF NF 1571, CARREGAMENTO Nº 01867, CONTRATO: 0366/25 - SO. PLACA: XXX-9999, MOTORISTA: JOEL FLORENCO DE SOUZA</t>
  </si>
  <si>
    <t>01867</t>
  </si>
  <si>
    <t>MERCADORIA REF NF 1580, CARREGAMENTO Nº 01870, CONTRATO: 0366/25 - SO. PLACA: XXX-9999, MOTORISTA: JOEL FLORENCO DE SOUZA</t>
  </si>
  <si>
    <t>01870</t>
  </si>
  <si>
    <t>MERCADORIA REF NF 1584 PARCIAL, CARREGAMENTO Nº 01878, CONTRATO: 0366/25 - SO. PLACA: XXX-9999, MOTORISTA: JOEL FLORENCO DE SOUZA</t>
  </si>
  <si>
    <t>01878</t>
  </si>
  <si>
    <t>MERCADORIA REF NF 1534 PARCIAL, CARREGAMENTO Nº 01883, CONTRATO: 0373/25 - SO. PLACA: XXX-9999, MOTORISTA: JOEL FLORENCO DE SOUZA</t>
  </si>
  <si>
    <t>01883</t>
  </si>
  <si>
    <t>MERCADORIA REF NF 1584 PARCIAL, CARREGAMENTO Nº 01903, CONTRATO: 0374/25 - SO. PLACA: XXX-9999, MOTORISTA: JOEL FLORENCO DE SOUZA</t>
  </si>
  <si>
    <t>01903</t>
  </si>
  <si>
    <t>RECEBIMENTO REFERENTE A DEVOLUCAO DA ANTECIPACAO DO CONTRATO CONTRA E VENDA NUMERO 0038/2024 (BELA X MM).</t>
  </si>
  <si>
    <t>0038/2024</t>
  </si>
  <si>
    <t>RECEBIMENTO REFERENTE A DEVOLUCAO DA ANTECIPACAO DO CONTRATO CONTRA E VENDA NUMERO 0041/2024 (BELA X MM).</t>
  </si>
  <si>
    <t>0041/2025</t>
  </si>
  <si>
    <t>MERCADORIA REF NF 1520, CARREGAMENTO Nº 01790, CONTRATO: 0363/25 - SO. PLACA: XXX-9999, MOTORISTA: JOEL FLORENCO DE SOUZA</t>
  </si>
  <si>
    <t>01790</t>
  </si>
  <si>
    <t>MERCADORIA REF NF 1521, CARREGAMENTO Nº 01791, CONTRATO: 0363/25 - SO. PLACA: XXX-9999, MOTORISTA: JOEL FLORENCO DE SOUZA</t>
  </si>
  <si>
    <t>01791</t>
  </si>
  <si>
    <t>MERCADORIA REF NF 1522, CARREGAMENTO Nº 01800, CONTRATO: 0363/25 - SO. PLACA: XXX-9999, MOTORISTA: JOEL FLORENCO DE SOUZA</t>
  </si>
  <si>
    <t>01800</t>
  </si>
  <si>
    <t>MERCADORIA REF NF 1535, CARREGAMENTO Nº 01812, CONTRATO: 0363/25 - SO. PLACA: XXX-9999, MOTORISTA: JOEL FLORENCO DE SOUZA</t>
  </si>
  <si>
    <t>01812</t>
  </si>
  <si>
    <t>MERCADORIA REF NF 1537, CARREGAMENTO Nº 01814, CONTRATO: 0363/25 - SO. PLACA: XXX-9999, MOTORISTA: JOEL FLORENCO DE SOUZA</t>
  </si>
  <si>
    <t>01814</t>
  </si>
  <si>
    <t>MERCADORIA REF NF 1538, CARREGAMENTO Nº 01815, CONTRATO: 0363/25 - SO. PLACA: XXX-9999, MOTORISTA: JOEL FLORENCO DE SOUZA</t>
  </si>
  <si>
    <t>01815</t>
  </si>
  <si>
    <t>MERCADORIA REF NF 1539, CARREGAMENTO Nº 01817, CONTRATO: 0363/25 - SO. PLACA: XXX-9999, MOTORISTA: JOEL FLORENCO DE SOUZA</t>
  </si>
  <si>
    <t>01817</t>
  </si>
  <si>
    <t>MERCADORIA REF NF 1541, CARREGAMENTO Nº 01818, CONTRATO: 0363/25 - SO. PLACA: XXX-9999, MOTORISTA: JOEL FLORENCO DE SOUZA</t>
  </si>
  <si>
    <t>01818</t>
  </si>
  <si>
    <t>MERCADORIA REF NF 1542, CARREGAMENTO Nº 01819, CONTRATO: 0363/25 - SO. PLACA: XXX-9999, MOTORISTA: JOEL FLORENCO DE SOUZA</t>
  </si>
  <si>
    <t>01819</t>
  </si>
  <si>
    <t>MERCADORIA REF NF 1543, CARREGAMENTO Nº 01821, CONTRATO: 0363/25 - SO. PLACA: XXX-9999, MOTORISTA: JOEL FLORENCO DE SOUZA</t>
  </si>
  <si>
    <t>01821</t>
  </si>
  <si>
    <t>MERCADORIA REF NF 1547, CARREGAMENTO Nº 01823, CONTRATO: 0363/25 - SO. PLACA: XXX-9999, MOTORISTA: JOEL FLORENCO DE SOUZA</t>
  </si>
  <si>
    <t>01823</t>
  </si>
  <si>
    <t>MERCADORIA REF NF 1549, CARREGAMENTO Nº 01825, CONTRATO: 0363/25 - SO. PLACA: XXX-9999, MOTORISTA: JOEL FLORENCO DE SOUZA</t>
  </si>
  <si>
    <t>01825</t>
  </si>
  <si>
    <t>MERCADORIA REF NF 1550, CARREGAMENTO Nº 01826, CONTRATO: 0363/25 - SO. PLACA: XXX-9999, MOTORISTA: JOEL FLORENCO DE SOUZA</t>
  </si>
  <si>
    <t>01826</t>
  </si>
  <si>
    <t>MERCADORIA REF NF 1551, CARREGAMENTO Nº 01827, CONTRATO: 0363/25 - SO. PLACA: XXX-9999, MOTORISTA: JOEL FLORENCO DE SOUZA</t>
  </si>
  <si>
    <t>01827</t>
  </si>
  <si>
    <t>MERCADORIA REF NF 1560, CARREGAMENTO Nº 01853, CONTRATO: 0363/25 - SO. PLACA: XXX-9999, MOTORISTA: JOEL FLORENCO DE SOUZA</t>
  </si>
  <si>
    <t>01853</t>
  </si>
  <si>
    <t>APLICACAO  BB RF LP Corp Bancos</t>
  </si>
  <si>
    <t>RENDIMENTO APLICACAO RF CP Corpor Ágil</t>
  </si>
  <si>
    <t>MERCADORIA REF NF 1534 PARCIAL E 1596, CARREGAMENTO Nº 01883, CONTRATO: 0373/25 - SO. PLACA: XXX-9999, MOTORISTA: JOEL FLORENCO DE SOUZA</t>
  </si>
  <si>
    <t>MERCADORIA REF NF 1584 PARCIAL E 1597, CARREGAMENTO Nº 01903, CONTRATO: 0374/25 - SO. PLACA: XXX-9999, MOTORISTA: JOEL FLORENCO DE SOUZA</t>
  </si>
  <si>
    <t>05/2025</t>
  </si>
  <si>
    <t>MERCADORIA REF NF 1582, CARREGAMENTO Nº 01874, CONTRATO: 0372/25 - SO. PLACA: XXX-9999, MOTORISTA: JOEL FLORENCO DE SOUZA</t>
  </si>
  <si>
    <t>01874</t>
  </si>
  <si>
    <t>MERCADORIA REF NF 1581, CARREGAMENTO Nº 01873, CONTRATO: 0372/25 - SO. PLACA: XXX-9999, MOTORISTA: JOEL FLORENCO DE SOUZA</t>
  </si>
  <si>
    <t>01873</t>
  </si>
  <si>
    <t>MERCADORIA REF NF 1583, CARREGAMENTO Nº 01877, CONTRATO: 0372/25 - SO. PLACA: XXX-9999, MOTORISTA: JOEL FLORENCO DE SOUZA</t>
  </si>
  <si>
    <t>01877</t>
  </si>
  <si>
    <t>MERCADORIA REF NF 1588, CARREGAMENTO Nº 01882, CONTRATO: 0372/25 - SO. PLACA: XXX-9999, MOTORISTA: JOEL FLORENCO DE SOUZA</t>
  </si>
  <si>
    <t>01882</t>
  </si>
  <si>
    <t>MERCADORIA REF NF 1585, CARREGAMENTO Nº 01879, CONTRATO: 0372/25 - SO. PLACA: XXX-9999, MOTORISTA: JOEL FLORENCO DE SOUZA</t>
  </si>
  <si>
    <t>01879</t>
  </si>
  <si>
    <t>MERCADORIA REF NF 1586, CARREGAMENTO Nº 01880, CONTRATO: 0372/25 - SO. PLACA: XXX-9999, MOTORISTA: JOEL FLORENCO DE SOUZA</t>
  </si>
  <si>
    <t>01880</t>
  </si>
  <si>
    <t>MERCADORIA REF NF 1587, CARREGAMENTO Nº 01881, CONTRATO: 0372/25 - SO. PLACA: XXX-9999, MOTORISTA: JOEL FLORENCO DE SOUZA</t>
  </si>
  <si>
    <t>01881</t>
  </si>
  <si>
    <t>MERCADORIA REF NF 1590, CARREGAMENTO Nº 01893, CONTRATO: 0372/25 - SO. PLACA: XXX-9999, MOTORISTA: JOEL FLORENCO DE SOUZA</t>
  </si>
  <si>
    <t>01893</t>
  </si>
  <si>
    <t>MERCADORIA REF NF 1591, CARREGAMENTO Nº 01895, CONTRATO: 0372/25 - SO. PLACA: XXX-9999, MOTORISTA: JOEL FLORENCO DE SOUZA</t>
  </si>
  <si>
    <t>01895</t>
  </si>
  <si>
    <t>MERCADORIA REF NF 1592, CARREGAMENTO Nº 01896, CONTRATO: 0372/25 - SO. PLACA: XXX-9999, MOTORISTA: JOEL FLORENCO DE SOUZA</t>
  </si>
  <si>
    <t>01896</t>
  </si>
  <si>
    <t>MERCADORIA REF NF 1593, CARREGAMENTO Nº 01899, CONTRATO: 0372/25 - SO. PLACA: XXX-9999, MOTORISTA: JOEL FLORENCO DE SOUZA</t>
  </si>
  <si>
    <t>01899</t>
  </si>
  <si>
    <t>MERCADORIA REF NF 1594, CARREGAMENTO Nº 01900, CONTRATO: 0372/25 - SO. PLACA: XXX-9999, MOTORISTA: JOEL FLORENCO DE SOUZA</t>
  </si>
  <si>
    <t>01900</t>
  </si>
  <si>
    <t>MERCADORIA REF NF 1595, CARREGAMENTO Nº 01902, CONTRATO: 0372/25 - SO. PLACA: XXX-9999, MOTORISTA: JOEL FLORENCO DE SOUZA</t>
  </si>
  <si>
    <t>01902</t>
  </si>
  <si>
    <t>INTEGRALIZACAO AUMENTO DE CAPITAL SOCIAL</t>
  </si>
  <si>
    <t>MERCADORIA REF NF 1595 PARCIAL, CARREGAMENTO Nº 01933, CONTRATO: 0372/25 - SO. PLACA: XXX-9999, MOTORISTA: JOEL FLORENCO DE SOUZA. NOTA DEVOLUCAO 154803.</t>
  </si>
  <si>
    <t>01933</t>
  </si>
  <si>
    <t>NF 132. CONTRATO Nilto Schwening - Pedidos Goias.</t>
  </si>
  <si>
    <t xml:space="preserve"> FERTILIZANTES TOCANTINS S.A MATRIZ</t>
  </si>
  <si>
    <t>132</t>
  </si>
  <si>
    <t>REPRESENTACAO</t>
  </si>
  <si>
    <t>NF 131. CONTRATO Nilto Schwening - Pedidos Goias..</t>
  </si>
  <si>
    <t>06/2025</t>
  </si>
  <si>
    <t>NF 130. CONTRATO Cereal Ouro MT.</t>
  </si>
  <si>
    <t xml:space="preserve"> SALITRE FERTILIZANTES LTDA.</t>
  </si>
  <si>
    <t>130</t>
  </si>
  <si>
    <t>DEVOLUCAO INTEGRALIZACAO CAPITAL ABERTURA DE CONTA SICOOB.</t>
  </si>
  <si>
    <t xml:space="preserve"> SICOOB</t>
  </si>
  <si>
    <t>6/2025</t>
  </si>
  <si>
    <t>MERCADORIA REF NF 1602, CARREGAMENTO Nº 01922, CONTRATO: 0377/25 - SO. PLACA: XXX-9999, MOTORISTA: JOEL FLORENCO DE SOUZA</t>
  </si>
  <si>
    <t>01922</t>
  </si>
  <si>
    <t>MERCADORIA REF NF 1603, CARREGAMENTO Nº 01925, CONTRATO: 0377/25 - SO. PLACA: XXX-9999, MOTORISTA: JOEL FLORENCO DE SOUZA</t>
  </si>
  <si>
    <t>01925</t>
  </si>
  <si>
    <t>MERCADORIA REF NF 1604, CARREGAMENTO Nº 01926, CONTRATO: 0377/25 - SO. PLACA: XXX-9999, MOTORISTA: JOEL FLORENCO DE SOUZA</t>
  </si>
  <si>
    <t>01926</t>
  </si>
  <si>
    <t>MERCADORIA REF NF 1605, CARREGAMENTO Nº 01927, CONTRATO: 0377/25 - SO. PLACA: XXX-9999, MOTORISTA: JOEL FLORENCO DE SOUZA</t>
  </si>
  <si>
    <t>01927</t>
  </si>
  <si>
    <t>MERCADORIA REF NF 1606, CARREGAMENTO Nº 01928, CONTRATO: 0377/25 - SO. PLACA: XXX-9999, MOTORISTA: JOEL FLORENCO DE SOUZA</t>
  </si>
  <si>
    <t>01928</t>
  </si>
  <si>
    <t>MERCADORIA REF NF 1607, CARREGAMENTO Nº 01929, CONTRATO: 0377/25 - SO. PLACA: XXX-9999, MOTORISTA: JOEL FLORENCO DE SOUZA</t>
  </si>
  <si>
    <t>01929</t>
  </si>
  <si>
    <t>MERCADORIA REF NF 1608, CARREGAMENTO Nº 01930, CONTRATO: 0377/25 - SO. PLACA: XXX-9999, MOTORISTA: JOEL FLORENCO DE SOUZA</t>
  </si>
  <si>
    <t>01930</t>
  </si>
  <si>
    <t>MERCADORIA REF NF 1609, CARREGAMENTO Nº 01931, CONTRATO: 0377/25 - SO. PLACA: XXX-9999, MOTORISTA: JOEL FLORENCO DE SOUZA</t>
  </si>
  <si>
    <t>01931</t>
  </si>
  <si>
    <t>MERCADORIA REF NF 1610, CARREGAMENTO Nº 01932, CONTRATO: 0377/25 - SO. PLACA: XXX-9999, MOTORISTA: JOEL FLORENCO DE SOUZA</t>
  </si>
  <si>
    <t>01932</t>
  </si>
  <si>
    <t>MERCADORIA REF NF 1611, CARREGAMENTO Nº 01934, CONTRATO: 0377/25 - SO. PLACA: XXX-9999, MOTORISTA: JOEL FLORENCO DE SOUZA</t>
  </si>
  <si>
    <t>01934</t>
  </si>
  <si>
    <t>MERCADORIA REF NF 1612, CARREGAMENTO Nº 01935, CONTRATO: 0377/25 - SO. PLACA: XXX-9999, MOTORISTA: JOEL FLORENCO DE SOUZA</t>
  </si>
  <si>
    <t>01935</t>
  </si>
  <si>
    <t>MERCADORIA REF NF 1613, CARREGAMENTO Nº 01936, CONTRATO: 0377/25 - SO. PLACA: XXX-9999, MOTORISTA: JOEL FLORENCO DE SOUZA</t>
  </si>
  <si>
    <t>01936</t>
  </si>
  <si>
    <t>ENTRAGA COMPENSACAO GUIA DARF DCTF</t>
  </si>
  <si>
    <t xml:space="preserve"> BELA CEREAIS COMERCIO LTDA</t>
  </si>
  <si>
    <t>MERCADORIA REF NF 1614, CARREGAMENTO Nº 01939, CONTRATO: 0377/25 - SO. PLACA: XXX-9999, MOTORISTA: JOEL FLORENCO DE SOUZA</t>
  </si>
  <si>
    <t>01939</t>
  </si>
  <si>
    <t>RECEBIMENTO REFERENTE A DEVOLUCAO DA ANTECIPACAO DO CONTRATO CONTRA E VENDA NUMERO 0039/2024 (BELA X MM). CESSAO DE CREDITO PAGAMENTO WILLIAN RICARDO CHOPTIAN NF 3486 CRT 0385/25 - MV.</t>
  </si>
  <si>
    <t>0039/2024</t>
  </si>
  <si>
    <t>07/2025</t>
  </si>
  <si>
    <t>RESTAGE</t>
  </si>
  <si>
    <t>0/2025</t>
  </si>
  <si>
    <t>RECEBIMENTO REFERENTE A DEVOLUCAO DA ANTECIPACAO DO CONTRATO CONTRA E VENDA NUMERO 0039/2024 (BELA X MM).</t>
  </si>
  <si>
    <t>NF 133 E 134. ALCIDES FONCECA</t>
  </si>
  <si>
    <t>133</t>
  </si>
  <si>
    <t>RECEBIMENTO JUROS COBRADO ROBERTO OPERACOES 1º SEMESTRE/2025. AJUSTE CONFORME ARQUIVO 2025_Fechamento_final_25072025 ARQUIVADO D:\Rede_SM\Agro_Xingu/2025</t>
  </si>
  <si>
    <t xml:space="preserve"> R M SANTANA</t>
  </si>
  <si>
    <t xml:space="preserve"> BANCO BMG S.A</t>
  </si>
  <si>
    <t>CARTAO CREDITO</t>
  </si>
  <si>
    <t>08/2025</t>
  </si>
  <si>
    <t>ESTORNO CREDITO FCO LIBRELATO</t>
  </si>
  <si>
    <t>ESTORNO</t>
  </si>
  <si>
    <t>LIQUIDACAO NDF OPERACAO N 3037330</t>
  </si>
  <si>
    <t>3037330</t>
  </si>
  <si>
    <t>MERCADORIA REF NF 1697, CARREGAMENTO Nº 02017, CONTRATO: 0384/25 - CA. PLACA: XXX-9999, MOTORISTA: JOEL FLORENCO DE SOUZA</t>
  </si>
  <si>
    <t xml:space="preserve"> PAULO ROBERTO VIADANNA</t>
  </si>
  <si>
    <t>02017</t>
  </si>
  <si>
    <t>BOLETO</t>
  </si>
  <si>
    <t>REPRESENTACAO NF 135 MAURO D S RODRIGUES.</t>
  </si>
  <si>
    <t>135</t>
  </si>
  <si>
    <t>RETORNO VALOR BAGGIO</t>
  </si>
  <si>
    <t xml:space="preserve"> FORNECEDORES DIVERSOS</t>
  </si>
  <si>
    <t>CREDITO CLIENTE</t>
  </si>
  <si>
    <t>09/2025</t>
  </si>
  <si>
    <t>MERCADORIA REF NF 1718, CARREGAMENTO Nº 02037, CONTRATO: 0384/25 - CA. PLACA: HKE-9G61, MOTORISTA: AIRSON BATISTA DA SILVA</t>
  </si>
  <si>
    <t>02037</t>
  </si>
  <si>
    <t>MERCADORIA REF NF 1722, CARREGAMENTO Nº 02039, CONTRATO: 0384/25 - CA. PLACA: OBK-6E40, MOTORISTA: GIULIANO LOPES RAMOS</t>
  </si>
  <si>
    <t>02039</t>
  </si>
  <si>
    <t>LIQUIDACAO NDF OPERACAO N 03028514</t>
  </si>
  <si>
    <t>3028514</t>
  </si>
  <si>
    <t>LIQUIDACAO NDF 3034627</t>
  </si>
  <si>
    <t>3034627</t>
  </si>
  <si>
    <t>DEVOLUCAO VALOR</t>
  </si>
  <si>
    <t xml:space="preserve"> VEGA PARTICIPACOES E GESTORA DE BENS LTDA</t>
  </si>
  <si>
    <t>MERCADORIA REF NF 1754, CARREGAMENTO Nº 02047, CONTRATO: 0384/25 - CA. PLACA: CUR-7I69, MOTORISTA: FRANSERGIO ROBERTO PANDOFI</t>
  </si>
  <si>
    <t>02047</t>
  </si>
  <si>
    <t>MERCADORIA REF NF 1755, CARREGAMENTO Nº 02048, CONTRATO: 0384/25 - CA. PLACA: XXX-9999, MOTORISTA: JOEL FLORENCO DE SOUZA</t>
  </si>
  <si>
    <t>02048</t>
  </si>
  <si>
    <t>MERCADORIA REF NF 1756, CARREGAMENTO Nº 02049, CONTRATO: 0384/25 - CA. PLACA: DMC-9E20, MOTORISTA: ANDRE SOARES MACEDO</t>
  </si>
  <si>
    <t>02049</t>
  </si>
  <si>
    <t>RESGATEE</t>
  </si>
  <si>
    <t>MERCADORIA REF NF 1762, CARREGAMENTO Nº 02050, CONTRATO: 0384/25 - CA. PLACA: JAE-2I43, MOTORISTA: LUIZ CARLOS POLETTI CONSUL</t>
  </si>
  <si>
    <t>02050</t>
  </si>
  <si>
    <t>MERCADORIA REF NF 1763, CARREGAMENTO Nº 02051, CONTRATO: 0384/25 - CA. PLACA: EGJ-7J96, MOTORISTA: MARCOS DONIZETTI DE CARVALHO</t>
  </si>
  <si>
    <t>02051</t>
  </si>
  <si>
    <t>LIQUIDACAO NDF 3005215.</t>
  </si>
  <si>
    <t>3005215</t>
  </si>
  <si>
    <t>MERCADORIA REF NF 1816, CARREGAMENTO Nº 02066, CONTRATO: 0398/25 - CA. PLACA: QWA-4A09, MOTORISTA: MARCIO RODRIGUES DE SOUZA. EXTRATO LUCAS MARTINS MENDES.</t>
  </si>
  <si>
    <t xml:space="preserve"> EVARISTO JUNQUEIRA NETO</t>
  </si>
  <si>
    <t>02066</t>
  </si>
  <si>
    <t>MERCADORIA REF NF 1816, CARREGAMENTO Nº 02066, CONTRATO: 0398/25 - CA. PLACA: QWA-4A09, MOTORISTA: MARCIO RODRIGUES DE SOUZA. EXTRATO LM AGRONEGOCIO.</t>
  </si>
  <si>
    <t>MERCADORIA REF NF 1631/1632/1623/48, CARREGAMENTO Nº 01956, CONTRATO: 0382/25 - MV. PLACA: JAC-5G18, MOTORISTA: EMERSON DE SOUZA</t>
  </si>
  <si>
    <t xml:space="preserve"> SUKSAWADI AGRICULTURAL PRODUCTS CO LTD</t>
  </si>
  <si>
    <t>01956</t>
  </si>
  <si>
    <t>MERCADORIA REF NF 1633/1634/1624/49, CARREGAMENTO Nº 01957, CONTRATO: 0382/25 - MV. PLACA: TAS-4A70, MOTORISTA: REGINALDO RIBEIRO</t>
  </si>
  <si>
    <t>01957</t>
  </si>
  <si>
    <t>MERCADORIA REF NF 1635/1636/1628/52, CARREGAMENTO Nº 01960, CONTRATO: 0382/25 - MV. PLACA: SXE-5I07, MOTORISTA: FREDSON COSTA DOS PASSOS</t>
  </si>
  <si>
    <t>01960</t>
  </si>
  <si>
    <t>MERCADORIA REF NF 1659/1660, CARREGAMENTO Nº 01992, CONTRATO: 0386/25 - MV. PLACA: IVV-9092, MOTORISTA: CLEITON LORENZET</t>
  </si>
  <si>
    <t xml:space="preserve"> ADROIT OVERSEAS PTE LTD</t>
  </si>
  <si>
    <t>01992</t>
  </si>
  <si>
    <t>MERCADORIA REF NF 1803, CARREGAMENTO Nº 02057, CONTRATO: 0384/25 - CA. PLACA: RIM-9A06, MOTORISTA: MARCELO YAMAMOTO</t>
  </si>
  <si>
    <t>02057</t>
  </si>
  <si>
    <t>09/025</t>
  </si>
  <si>
    <t>MERCADORIA REF NF 1802, CARREGAMENTO Nº 02056, CONTRATO: 0384/25 - CA. PLACA: RSA-3F28, MOTORISTA: ROMARIO VIEIRA NASCIMENTO</t>
  </si>
  <si>
    <t>02056</t>
  </si>
  <si>
    <t>LIQUIDACAO NDF 3032967.</t>
  </si>
  <si>
    <t>3032967</t>
  </si>
  <si>
    <t>LIQUIDACAO NDF 3033004.</t>
  </si>
  <si>
    <t>3033004</t>
  </si>
  <si>
    <t>MERCADORIA REF NF 1818, CARREGAMENTO Nº 02068, CONTRATO: 0384/25 - CA. PLACA: QCE-6G88, MOTORISTA: ELIAS TAVARES DE SOUZA</t>
  </si>
  <si>
    <t>02068</t>
  </si>
  <si>
    <t>LIQUIDACAO NDF 3032398.</t>
  </si>
  <si>
    <t>3032398</t>
  </si>
  <si>
    <t>069/2025</t>
  </si>
  <si>
    <t>MERCADORIA REF NF 1811, CARREGAMENTO Nº 02064, CONTRATO: 0384/25 - CA. PLACA: RSE-8E57, MOTORISTA: VALDIR DE SOUSA OLIVEIRA</t>
  </si>
  <si>
    <t>02064</t>
  </si>
  <si>
    <t>MERCADORIA REF NF 1813, CARREGAMENTO Nº 02065, CONTRATO: 0384/25 - CA. PLACA: RSA-3F68, MOTORISTA: RONAN MENEZES PEDROSA</t>
  </si>
  <si>
    <t>02065</t>
  </si>
  <si>
    <t>LIQUIDACAO NDF 3032475.</t>
  </si>
  <si>
    <t>3032475</t>
  </si>
  <si>
    <t>LIQUIDACAO NDF 3035726</t>
  </si>
  <si>
    <t>3035726</t>
  </si>
  <si>
    <t>MERCADORIA REF NF 1855, CARREGAMENTO Nº 02123, CONTRATO: 0405/25 - MV. PLACA: XXX-9999, MOTORISTA: JOEL FLORENCO DE SOUZA</t>
  </si>
  <si>
    <t xml:space="preserve"> AGC BRAZIL COMERCIAL EXPORTADORA LTDA</t>
  </si>
  <si>
    <t>02123</t>
  </si>
  <si>
    <t>MERCADORIA REF NF 1856, CARREGAMENTO Nº 02124, CONTRATO: 0405/25 - MV. PLACA: XXX-9999, MOTORISTA: JOEL FLORENCO DE SOUZA</t>
  </si>
  <si>
    <t>02124</t>
  </si>
  <si>
    <t>MERCADORIA REF NF 1822, CARREGAMENTO Nº 02073, CONTRATO: 0384/25 - CA. PLACA: EGJ-7J96, MOTORISTA: MARCOS DONIZETTI DE CARVALHO</t>
  </si>
  <si>
    <t>02073</t>
  </si>
  <si>
    <t>MERCADORIA REF NF 1828, CARREGAMENTO Nº 02083, CONTRATO: 0399/25 - CA. PLACA: JCB-0C85, MOTORISTA: MARCELO REZENDE CUNHA</t>
  </si>
  <si>
    <t xml:space="preserve"> VITOR RORATTO NEVES</t>
  </si>
  <si>
    <t>02083</t>
  </si>
  <si>
    <t>MERCADORIA REF NF 1829, CARREGAMENTO Nº 02080, CONTRATO: 0402/25 - CA. PLACA: SHN-0B94, MOTORISTA: MULLER MOREIRA RODRIGUES</t>
  </si>
  <si>
    <t xml:space="preserve"> CAIO MONTEIRO DE BARROS FURLAN DE ALMEIDA E OUTRO</t>
  </si>
  <si>
    <t>02080</t>
  </si>
  <si>
    <t>MERCADORIA REF NF 1836, CARREGAMENTO Nº 02084, CONTRATO: 0399/25 - CA. PLACA: ATX-0J24, MOTORISTA: FABIO ALVES DE OLIVEIRA</t>
  </si>
  <si>
    <t>02084</t>
  </si>
  <si>
    <t>MERCADORIA REF NF 1846, CARREGAMENTO Nº 02111, CONTRATO: 0404/25 - CA. PLACA: RWD-0F58, MOTORISTA: DEOVANDINO PEREIRA DA SILVA</t>
  </si>
  <si>
    <t xml:space="preserve"> PEDRO FAVARETTO FILHO</t>
  </si>
  <si>
    <t>02111</t>
  </si>
  <si>
    <t>MERCADORIA REF NF 1773/1782, CARREGAMENTO Nº 01995, CONTRATO: 0387/25 - MP. PLACA: SXF-2H33, MOTORISTA: FREDSON COSTA DOS PASSOS</t>
  </si>
  <si>
    <t xml:space="preserve"> JASHAN FOODSTUFF TRADING LLC</t>
  </si>
  <si>
    <t>VARIACAO CAMBIAL NF VENDA</t>
  </si>
  <si>
    <t>MERCADORIA REF NF 1842, CARREGAMENTO Nº 02097, CONTRATO: 0399/25 - CA. PLACA: CRN-8932, MOTORISTA: ROGERIO BOLETA PERES</t>
  </si>
  <si>
    <t>02097</t>
  </si>
  <si>
    <t>LIQUIDACAO NDF 03035222.</t>
  </si>
  <si>
    <t>03035222</t>
  </si>
  <si>
    <t>LIQUIDACAO NDF 03035244.</t>
  </si>
  <si>
    <t>03035244</t>
  </si>
  <si>
    <t>LIQUIDACAO NDF 03035380.</t>
  </si>
  <si>
    <t>03035380</t>
  </si>
  <si>
    <t>MERCADORIA REF NF 1858, CARREGAMENTO Nº 02111, CONTRATO: 0404/25 - CA. PLACA: RWD-0F58, MOTORISTA: DEOVANDINO PEREIRA DA SILVA</t>
  </si>
  <si>
    <t>LIQUIDACOA NDF 3034712</t>
  </si>
  <si>
    <t>3034712</t>
  </si>
  <si>
    <t>MERCADORIA REF NF 1843, CARREGAMENTO Nº 02106, CONTRATO: 0399/25 - CA. PLACA: PHR-1H34, MOTORISTA: MICHEL CAETANO NETTO</t>
  </si>
  <si>
    <t>02106</t>
  </si>
  <si>
    <t>MERCADORIA REF NF 1845, CARREGAMENTO Nº 02108, CONTRATO: 0399/25 - CA. PLACA: KTP-6J92, MOTORISTA: RICARDO JOSE FIGUEIRA</t>
  </si>
  <si>
    <t>02108</t>
  </si>
  <si>
    <t>MERCADORIA REF NF 1848, CARREGAMENTO Nº 02113, CONTRATO: 0402/25 - CA. PLACA: JAT-8B80, MOTORISTA: CESAR LEANDRO CREMONESE DO NASCIMENTO</t>
  </si>
  <si>
    <t>02113</t>
  </si>
  <si>
    <t>MERCADORIA REF NF 1804, CARREGAMENTO Nº 02058, CONTRATO: 0396/25 - SO. PLACA: XXX-9999, MOTORISTA:JOEL FLORENCO DE SOUZA</t>
  </si>
  <si>
    <t xml:space="preserve"> CUTRALE TRADING BRASIL LTDA</t>
  </si>
  <si>
    <t>02058</t>
  </si>
  <si>
    <t>MERCADORIA REF NF 1805, CARREGAMENTO Nº 02059, CONTRATO: 0396/25 - SO. PLACA: XXX-9999, MOTORISTA:JOEL FLORENCO DE SOUZA</t>
  </si>
  <si>
    <t>02059</t>
  </si>
  <si>
    <t>MERCADORIA REF NF 1806, CARREGAMENTO Nº 02060, CONTRATO: 0396/25 - SO. PLACA: XXX-9999, MOTORISTA:JOEL FLORENCO DE SOUZA</t>
  </si>
  <si>
    <t>02060</t>
  </si>
  <si>
    <t>MERCADORIA REF NF 1808, CARREGAMENTO Nº 02061, CONTRATO: 0396/25 - SO. PLACA: XXX-9999, MOTORISTA: JOEL FLORENCO DE SOUZA</t>
  </si>
  <si>
    <t>02061</t>
  </si>
  <si>
    <t>MERCADORIA REF NF 1809, CARREGAMENTO Nº 02062, CONTRATO: 0396/25 - SO. PLACA: XXX-9999, MOTORISTA: JOEL FLORENCO DE SOUZA</t>
  </si>
  <si>
    <t>02062</t>
  </si>
  <si>
    <t>MERCADORIA REF NF 1810, CARREGAMENTO Nº 02063, CONTRATO: 0396/25 - SO. PLACA: XXX-9999, MOTORISTA: JOEL FLORENCO DE SOUZA</t>
  </si>
  <si>
    <t>02063</t>
  </si>
  <si>
    <t>MERCADORIA REF NF 1812, CARREGAMENTO Nº 02067, CONTRATO: 0396/25 - SO. PLACA: XXX-9999, MOTORISTA: JOEL FLORENCO DE SOUZA</t>
  </si>
  <si>
    <t>02067</t>
  </si>
  <si>
    <t>MERCADORIA REF NF 1814, CARREGAMENTO Nº 02069, CONTRATO: 0396/25 - SO. PLACA: XXX-9999, MOTORISTA: JOEL FLORENCO DE SOUZA</t>
  </si>
  <si>
    <t>02069</t>
  </si>
  <si>
    <t>MERCADORIA REF NF 1819, CARREGAMENTO Nº 02070, CONTRATO: 0396/25 - SO. PLACA: XXX-9999, MOTORISTA: JOEL FLORENCO DE SOUZA</t>
  </si>
  <si>
    <t>02070</t>
  </si>
  <si>
    <t>MERCADORIA REF NF 1820, CARREGAMENTO Nº 02071, CONTRATO: 0396/25 - SO. PLACA: XXX-9999, MOTORISTA: JOEL FLORENCO DE SOUZA</t>
  </si>
  <si>
    <t>02071</t>
  </si>
  <si>
    <t>MERCADORIA REF NF 1821, CARREGAMENTO Nº 02072, CONTRATO: 0396/25 - SO. PLACA: XXX-9999, MOTORISTA: JOEL FLORENCO DE SOUZA</t>
  </si>
  <si>
    <t>02072</t>
  </si>
  <si>
    <t>MERCADORIA REF NF 1825, CARREGAMENTO Nº 02075, CONTRATO: 0396/25 - SO. PLACA: XXX-9999, MOTORISTA: JOEL FLORENCO DE SOUZA</t>
  </si>
  <si>
    <t>02075</t>
  </si>
  <si>
    <t>MERCADORIA REF NF 1826, CARREGAMENTO Nº 02079, CONTRATO: 0396/25 - SO. PLACA: XXX-9999, MOTORISTA: JOEL FLORENCO DE SOUZA</t>
  </si>
  <si>
    <t>02079</t>
  </si>
  <si>
    <t>MERCADORIA REF NF 1827, CARREGAMENTO Nº 02082, CONTRATO: 0401/25 - SO. PLACA: XXX-9999, MOTORISTA: JOEL FLORENCO DE SOUZA</t>
  </si>
  <si>
    <t>02082</t>
  </si>
  <si>
    <t>MERCADORIA REF NF 1830, CARREGAMENTO Nº 02086, CONTRATO: 0401/25 - SO. PLACA: XXX-9999, MOTORISTA: JOEL FLORENCO DE SOUZA</t>
  </si>
  <si>
    <t>02086</t>
  </si>
  <si>
    <t>MERCADORIA REF NF 1831, CARREGAMENTO Nº 02088, CONTRATO: 0401/25 - SO. PLACA: XXX-9999, MOTORISTA: JOEL FLORENCO DE SOUZA</t>
  </si>
  <si>
    <t>02088</t>
  </si>
  <si>
    <t>MERCADORIA REF NF 1832, CARREGAMENTO Nº 02090, CONTRATO: 0401/25 - SO. PLACA: XXX-9999, MOTORISTA: JOEL FLORENCO DE SOUZA</t>
  </si>
  <si>
    <t>02090</t>
  </si>
  <si>
    <t>MERCADORIA REF NF 1833, CARREGAMENTO Nº 02092, CONTRATO: 0401/25 - SO. PLACA: XXX-9999, MOTORISTA: JOEL FLORENCO DE SOUZA</t>
  </si>
  <si>
    <t>02092</t>
  </si>
  <si>
    <t>MERCADORIA REF NF 1835, CARREGAMENTO Nº 02096, CONTRATO: 0401/25 - SO. PLACA: XXX-9999, MOTORISTA: JOEL FLORENCO DE SOUZA</t>
  </si>
  <si>
    <t>02096</t>
  </si>
  <si>
    <t>MERCADORIA REF NF 1837, CARREGAMENTO Nº 02099, CONTRATO: 0401/25 - SO. PLACA: XXX-9999, MOTORISTA: JOEL FLORENCO DE SOUZA</t>
  </si>
  <si>
    <t>02099</t>
  </si>
  <si>
    <t>MERCADORIA REF NF 1839, CARREGAMENTO Nº 02101, CONTRATO: 0401/25 - SO. PLACA: XXX-9999, MOTORISTA: JOEL FLORENCO DE SOUZA</t>
  </si>
  <si>
    <t>02101</t>
  </si>
  <si>
    <t>MERCADORIA REF NF 1840, CARREGAMENTO Nº 02103, CONTRATO: 0401/25 - SO. PLACA: XXX-9999, MOTORISTA: JOEL FLORENCO DE SOUZA</t>
  </si>
  <si>
    <t>02103</t>
  </si>
  <si>
    <t>MERCADORIA REF NF 1838, CARREGAMENTO Nº 02094, CONTRATO: 0401/25 - SO. PLACA: XXX-9999, MOTORISTA: JOEL FLORENCO DE SOUZA</t>
  </si>
  <si>
    <t>02094</t>
  </si>
  <si>
    <t>MERCADORIA REF NF 1841, CARREGAMENTO Nº 02105, CONTRATO: 0401/25 - SO. PLACA: XXX-9999, MOTORISTA: JOEL FLORENCO DE SOUZA</t>
  </si>
  <si>
    <t>02105</t>
  </si>
  <si>
    <t>MERCADORIA REF NF 1854, CARREGAMENTO Nº 02118, CONTRATO: 0402/25 - CA. PLACA: QOU-4D62, MOTORISTA: EDUARDO AGUIAR BARUFO</t>
  </si>
  <si>
    <t>02118</t>
  </si>
  <si>
    <t>LIQUIDACAO NDF 3046228</t>
  </si>
  <si>
    <t>3046228</t>
  </si>
  <si>
    <t>MERCADORIA REF NF 1857, CARREGAMENTO Nº 02120, CONTRATO: 0402/25 - CA. PLACA: RAG-8I36, MOTORISTA: WILLIAN FERREIRA FERNANDES</t>
  </si>
  <si>
    <t>02120</t>
  </si>
  <si>
    <t>MERCADORIA REF NF 1859, CARREGAMENTO Nº 02119, CONTRATO: 0402/25 - CA. PLACA: IWX-3J16, MOTORISTA: ALCINEY SILVA DOS SANTOS</t>
  </si>
  <si>
    <t>02119</t>
  </si>
  <si>
    <t>LIQUIDACOA NDF 3035747</t>
  </si>
  <si>
    <t>3035747</t>
  </si>
  <si>
    <t>NF 136 REPRESENTACAO. PEDIDOS EM NOME DE ALEXANDRE BUENO DA SILVA FONSECA VCTO 30/09/2025.</t>
  </si>
  <si>
    <t>136</t>
  </si>
  <si>
    <t>APICACAO</t>
  </si>
  <si>
    <t>MERCADORIA REF NF 1860, CARREGAMENTO Nº 02121, CONTRATO: 0384/25 - CA. PLACA: NED-9F59, MOTORISTA: BRUNO DE SOUZA FERREIRA</t>
  </si>
  <si>
    <t>02121</t>
  </si>
  <si>
    <t>MERCADORIA REF NF 1861, CARREGAMENTO Nº 02122, CONTRATO: 0384/25 - CA. PLACA: NUB-3J64, MOTORISTA: VALDEMAR JOSE FERREIRA</t>
  </si>
  <si>
    <t>02122</t>
  </si>
  <si>
    <t>MERCADORIA REF NF 1881, CARREGAMENTO Nº 02152, CONTRATO: 0404/25 - CA. PLACA: QAU-2046, MOTORISTA: JOAO ANTONIO MARTINS DE GOES</t>
  </si>
  <si>
    <t>02152</t>
  </si>
  <si>
    <t>11/2025</t>
  </si>
  <si>
    <t>MERCADORIA NF 1598, CARREGAMENTO Nº 01919, CONTRATO: 0361/25 - AR. PLACA: XXX-999, MOTORISTA: LOEL FLORENCO DE SOUZA. SEMENTE FEIJAO OLHO NEGRO ABATIDO PRODUTO RECEBIDO OC Nº 01945, CONTRATO: 0380/25 - AR.</t>
  </si>
  <si>
    <t xml:space="preserve"> BERNARDO JEAN PANCOTTE</t>
  </si>
  <si>
    <t>01919</t>
  </si>
  <si>
    <t>BENEFICIAMENTO FEIJAO OLHO NEGRO - NF 202500000000013. CRT VENDA 0390/25 FC.</t>
  </si>
  <si>
    <t>0390/25 FC</t>
  </si>
  <si>
    <t>BENEFICIAMENTO FEIJAO OLHO NEGRO - NF 202500000000013. CRT VENDA 0407/25 FC.</t>
  </si>
  <si>
    <t>0407/25 FC</t>
  </si>
  <si>
    <t>BENEFICIAMENTO FEIJAO OLHO NEGRO - NF 15. CRT VENDA 0389/25 - FC</t>
  </si>
  <si>
    <t xml:space="preserve"> LIMA COMERCIO DE FEIJAO LTDA</t>
  </si>
  <si>
    <t>BENEFICIAMENTO FEIJAO OLHO NEGRO - NF 15. CRT VENDA 0390/25 - FC</t>
  </si>
  <si>
    <t>BENEFICIAMENTO FEIJAO OLHO NEGRO - NF 15. CRT VENDA 0411/25 - FC</t>
  </si>
  <si>
    <t>LUCRO REF NF 41, CARREGAMENTO  Nº 01945, CONTRATO: 0380/25 - AR. PLACA: XXX-9999, MOTORISTA: JOEL FLORENCO DE SOUZA</t>
  </si>
  <si>
    <t>01945</t>
  </si>
  <si>
    <t>MERCADORIA REF NF 1882, CARREGAMENTO Nº 02154, CONTRATO: 0402/25 - CA. PLACA: JBN-5B89, MOTORISTA: SEDINEI DE LIMA</t>
  </si>
  <si>
    <t>02154</t>
  </si>
  <si>
    <t>MERCADORIA REF NF 1844, CARREGAMENTO Nº 02107, CONTRATO: 0403/25 - CA. PLACA: QCJ-6F60, MOTORISTA: MARCOS ALEXANDRE CONSTANTINO</t>
  </si>
  <si>
    <t xml:space="preserve"> LACTALIS DO BRASIL - COM IMP EXPT LTDA</t>
  </si>
  <si>
    <t>02107</t>
  </si>
  <si>
    <t>MERCADORIA REF NF 1883, CARREGAMENTO Nº 02156, CONTRATO: 0402/25 - CA. PLACA: NUB-3J64, MOTORISTA: VALDEMAR JOSE FERREIRA</t>
  </si>
  <si>
    <t>02156</t>
  </si>
  <si>
    <t>MERCADORIA REF NF 1880, CARREGAMENTO Nº 02149 E 02150, CONTRATO: 0384/25 - CA. PLACA: NED-9F59, MOTORISTA: BRUNO DE SOUZA FERREIRA. FATURA Nº 00078 REF. DOCUMENTOS: 02149, 02150.</t>
  </si>
  <si>
    <t>02150</t>
  </si>
  <si>
    <t>02149</t>
  </si>
  <si>
    <t>MERCADORIA REF NF 1913, CARREGAMENTO Nº 02158, CONTRATO: 0402/25 - CA. PLACA: RYR-1A81, MOTORISTA: NELSON CARVALHO</t>
  </si>
  <si>
    <t>02158</t>
  </si>
  <si>
    <t>MERCADORIA REF NF 1926, CARREGAMENTO Nº 02164, CONTRATO: 0412/25 - CA. PLACA: QJR-5J57, MOTORISTA: ALCINEY SILVA DOS SANTOS</t>
  </si>
  <si>
    <t xml:space="preserve"> LUCAS ANTONIO MORO GONCALEZ</t>
  </si>
  <si>
    <t>02164</t>
  </si>
  <si>
    <t>MERCADORIA REF NF 1927, CARREGAMENTO Nº 02167, CONTRATO: 0412/25 - CA. PLACA: JCB-0C85, MOTORISTA: MARCELO REZENDE CUNHA</t>
  </si>
  <si>
    <t>02167</t>
  </si>
  <si>
    <t>CAPITAL DE GIRO FCO CEDULA DE CREDITO BANCARIO NR 713.916.308.</t>
  </si>
  <si>
    <t>713.916.308</t>
  </si>
  <si>
    <t>RECEBIMENTO SEGURO AVARIA NF 1864 - SINISTRO 20639994. NF 1934.</t>
  </si>
  <si>
    <t xml:space="preserve"> YELUM SEGUROS S.A</t>
  </si>
  <si>
    <t>MERCADORIA REF NF 1760 e 1761, CONTRATO: 0391/25 - FC. EXP 037/25. CARREGAMENTO Nº 02038 e 02041. FATURA Nº 00079 REF. DOCUMENTOS: 02038, 02041.</t>
  </si>
  <si>
    <t>MERCADORIA REF NF 1785, 1787, 1789, 1791, 1793. CARREGAMENTO Nº 02002, 02003, 02004, 02005. CONTRATO: 0387/25 - MP. EXP 030-25 B. FATURA Nº 00080 REF. DOCUMENTOS: 02002, 02003, 02004, 02005.</t>
  </si>
  <si>
    <t>MERCADORIA REF NF 1924, CARREGAMENTO Nº 02160, CONTRATO: 0410/25 - CA. PLACA: MZJ-8A27, MOTORISTA: SIMAO BARROO DE ARAUJO</t>
  </si>
  <si>
    <t xml:space="preserve"> MANOEL MIGUEL NASCIMENTO</t>
  </si>
  <si>
    <t>02160</t>
  </si>
  <si>
    <t>MERCADORIA REF NF 1950, CARREGAMENTO Nº 02184, CONTRATO: 0414/25 - FC. PLACA: ESU-0G28, MOTORISTA: RICARDO GONCALVEZ DO VALE</t>
  </si>
  <si>
    <t>02184</t>
  </si>
  <si>
    <t>MERCADORIA REF NF 1951, CARREGAMENTO Nº 02185, CONTRATO: 0414/25 - FC. PLACA: DPF-4I13, MOTORISTA: ALEX SANDRO DE ALMEIDA PEREZ</t>
  </si>
  <si>
    <t>02185</t>
  </si>
  <si>
    <t>MERCADORIA REF NF 1954, CARREGAMENTO Nº 02186, CONTRATO: 0414/25 - FC. PLACA: AOT-5E24, MOTORISTA: ALESANDRO FRANCISCO</t>
  </si>
  <si>
    <t>02186</t>
  </si>
  <si>
    <t>12/2025</t>
  </si>
  <si>
    <t>MERCADORIA REF NF 1945, CARREGAMENTO Nº 02176, CONTRATO: 0420/25 - ML. PLACA: QCM-7I13, MOTORISTA: PAULO CESAR DE SOUZA</t>
  </si>
  <si>
    <t xml:space="preserve"> SHINDI UEMURA E OUTROS</t>
  </si>
  <si>
    <t>02176</t>
  </si>
  <si>
    <t>MERCADORIA REF NF 1949, CARREGAMENTO Nº 02183, CONTRATO: 0414/25 - FC. PLACA: SFC-1H39, MOTORISTA: ANTONIO FELIPE RIBEIRO FILHO</t>
  </si>
  <si>
    <t>02183</t>
  </si>
  <si>
    <t>MERCADORIA REF NF 1956, CARREGAMENTO Nº 02187, CONTRATO: 0414/25 - FC. PLACA: JCE-0H75, MOTORISTA: KEILOR ANTAO CHAGAS DE MIRANDA</t>
  </si>
  <si>
    <t>02187</t>
  </si>
  <si>
    <t>MERCADORIA REF NF 1925, CARREGAMENTO Nº 02163, CONTRATO: 0410/25 - CA. PLACA: SPQ-0E98, MOTORISTA: MAURICIO ARRUDA BARROS MAFFEI</t>
  </si>
  <si>
    <t>02163</t>
  </si>
  <si>
    <t>MERCADORIA REF NF 1944, CARREGAMENTO Nº 02174, CONTRATO: 0420/25 - ML. PLACA: STL-8C70, MOTORISTA: JOAO TEIXEIRA FIGUEREDO</t>
  </si>
  <si>
    <t>02174</t>
  </si>
  <si>
    <t>MERCADORIA REF NF 1946, CARREGAMENTO Nº 02177, CONTRATO: 0420/25 - ML. PLACA: EGK-1710, MOTORISTA: BENIGNO NEPOMUCENO NETO</t>
  </si>
  <si>
    <t>02177</t>
  </si>
  <si>
    <t>MERCADORIA REF NF 1959, CARREGAMENTO Nº 02190, CONTRATO: 0420/25 - ML. PLACA: QIX-3C90, MOTORISTA: RICARDO RAMOS BENTO</t>
  </si>
  <si>
    <t>02190</t>
  </si>
  <si>
    <t>MERCADORIA REF NF 1942, CARREGAMENTO Nº 02173, CONTRATO: 0424/25 - CA. PLACA: SLH-1H78, MOTORISTA: TIAGO FERNANDES COELHO</t>
  </si>
  <si>
    <t xml:space="preserve"> MARCIA REGINA ALVES DE PAULA LOURENCO</t>
  </si>
  <si>
    <t>02173</t>
  </si>
  <si>
    <t>MERCADORIA REF NF 1943, CARREGAMENTO Nº 02175, CONTRATO: 0424/25 - CA. PLACA: SLK-8J20, MOTORISTA: LEANDRO GOMES COELHO</t>
  </si>
  <si>
    <t>02175</t>
  </si>
  <si>
    <t>NF 202500000000019. BLINDEX SALA 505 SUL.</t>
  </si>
  <si>
    <t xml:space="preserve"> LEANDRO COSTA DA SILVA</t>
  </si>
  <si>
    <t>202500000000019</t>
  </si>
  <si>
    <t>MERCADORIA REF NF 1953, CARREGAMENTO Nº 02179, CONTRATO: 0418/25 - CA. PLACA: FQC-6897, MOTORISTA: LEANDRO BATISTA DA SILVA</t>
  </si>
  <si>
    <t xml:space="preserve"> ANA JULIA FERREIRA JACINTHO JORGE E OUTROS</t>
  </si>
  <si>
    <t>02179</t>
  </si>
  <si>
    <t>MERCADORIA REF NF 1958, CARREGAMENTO Nº 02181, CONTRATO: 0427/25 - CA. PLACA: ODE-2G58, MOTORISTA: DANIEL AVILA CUNHA</t>
  </si>
  <si>
    <t xml:space="preserve"> ADRIANO OKANO</t>
  </si>
  <si>
    <t>02181</t>
  </si>
  <si>
    <t>MERCADORIA REF NF 1957, CARREGAMENTO Nº 02188 e 02189, CONTRATO: 0419/25 - CA. PLACA: HKF-9B40, MOTORISTA: AXEL DA SILVA GOMES. FATURA Nº 00081 REF. DOCUMENTOS: 02188, 02189.</t>
  </si>
  <si>
    <t xml:space="preserve"> ANTONIO CARLOS STABILE E OUTROS</t>
  </si>
  <si>
    <t>02189</t>
  </si>
  <si>
    <t>MERCADORIA REF NF 1963, CARREGAMENTO Nº 02193, CONTRATO: 0420/25 - ML. PLACA: SFS-6E73, MOTORISTA: CLOVIS CARLOS PIOVESANA</t>
  </si>
  <si>
    <t>02193</t>
  </si>
  <si>
    <t>MERCADORIA REF NF 1964, CARREGAMENTO Nº 02192, CONTRATO: 0420/25 - ML. PLACA: SFY-4I26, MOTORISTA: SIDENY ROBERTO  DE FRAGA</t>
  </si>
  <si>
    <t>02192</t>
  </si>
  <si>
    <t>02188</t>
  </si>
  <si>
    <t>MERCADORIA REF NF 1777/1779/1781. CARREGAMENTO Nº 01996, 01997, 01998. EXP 30/25 A2. CONTRATO: 0387/25 - MP. FATURA Nº 00082 REF. DOCUMENTOS: 01996, 01997, 01998.</t>
  </si>
  <si>
    <t>MERCADORIA REF NF 1797/ 1798 1799/1800/1801. CARREGAMENTO Nº 02006, 02012, 02014. CONTRATO: 0387/25 - MP. EXP 30/25 C. FATURA Nº 00083 REF. DOCUMENTOS: 02006, 02012, 02014, 0387/25 - MP.</t>
  </si>
  <si>
    <t>MERCADORIA REF NF 1744/1745/1746/1747/1748. CARREGAMENTO Nº 02024, 02033, 02031, 02036, CONTRATO: 0388/25 - FC. EXP 31/25 B.FATURA Nº 00084 REF. DOCUMENTOS: 02024, 02033, 02031, 02036.</t>
  </si>
  <si>
    <t>MERCADORIA REF NF 1967, CARREGAMENTO Nº 02191, CONTRATO: 0420/25 - ML. PLACA: BBW-7358, MOTORISTA: JEREMIAS EMANUEL ALVES DO NASCIMENTO</t>
  </si>
  <si>
    <t xml:space="preserve"> RODRIGO HISASHI IKEDA E OUTRO</t>
  </si>
  <si>
    <t>02191</t>
  </si>
  <si>
    <t>LIQUIDACOA NDF 3046200</t>
  </si>
  <si>
    <t>3046200</t>
  </si>
  <si>
    <t>MERCADORIA REF NF 1974, CARREGAMENTO Nº 02195, CONTRATO: 0420/25 - ML. PLACA: SFC-1C89, MOTORISTA: OSCAR PRETE</t>
  </si>
  <si>
    <t>02195</t>
  </si>
  <si>
    <t>MERCADORIA REF NF 1975, CARREGAMENTO Nº 02196, CONTRATO: 0420/25 - ML. PLACA: SFC-2C17, MOTORISTA: RONALDO PORFIRIO</t>
  </si>
  <si>
    <t>02196</t>
  </si>
  <si>
    <t>LIQUIDACOA NDF 3044232</t>
  </si>
  <si>
    <t>3044232</t>
  </si>
  <si>
    <t>LIQUIDACAO NDF 3044258</t>
  </si>
  <si>
    <t>3044258</t>
  </si>
  <si>
    <t>MERCADORIA REF NF 1970, CARREGAMENTO Nº 02198, CONTRATO: 0420/25 - ML. PLACA: AHL-1440, MOTORISTA: RAFAEL DE SOUZA PIASSA</t>
  </si>
  <si>
    <t>02198</t>
  </si>
  <si>
    <t>MERCADORIA REF NF 1972, CARREGAMENTO Nº 02199, CONTRATO: 0420/25 - ML. PLACA: FKC-0050, MOTORISTA: EDUARDO PIASSA NETO</t>
  </si>
  <si>
    <t>02199</t>
  </si>
  <si>
    <t>MERCADORIA REF NF 1976, CARREGAMENTO Nº 02197, CONTRATO: 0420/25 - ML. PLACA: MLX-4178, MOTORISTA: VANDERLEI JAIR LAMB</t>
  </si>
  <si>
    <t>02197</t>
  </si>
  <si>
    <t>LIQUIDACAO NDF 3046210</t>
  </si>
  <si>
    <t>3046210</t>
  </si>
  <si>
    <t>LIQUIDACAO NDF 3046224</t>
  </si>
  <si>
    <t>3046224</t>
  </si>
  <si>
    <t>LIQUIDACAO NDF 3046271</t>
  </si>
  <si>
    <t>3046271</t>
  </si>
  <si>
    <t>MERCADORIA REF NF 1965, CARREGAMENTO Nº 02194, CONTRATO: 0431/25 - CA. PLACA: QCJ-6F60, MOTORISTA: MARCOS ALEXANDRE CONSTANTINO</t>
  </si>
  <si>
    <t>02194</t>
  </si>
  <si>
    <t>MERCADORIA REF NF 1732, 1733, 1736, 1737, 1738. CONTRATO: 0388/25 - FC. FATURA Nº 00085 REF. DOCUMENTOS: 02027, 02018, 02019, 02021.</t>
  </si>
  <si>
    <t>MERCADORIA REF NF 1978, CARREGAMENTO Nº 02200, CONTRATO: 0433/25 - FC. PLACA: FGM-0E61, MOTORISTA: CESAR RODRIGUES SOARES</t>
  </si>
  <si>
    <t>02200</t>
  </si>
  <si>
    <t>MERCADORIA REF NF 1977, CARREGAMENTO Nº 02202, CONTRATO: 0433/25 - FC. PLACA: GJQ-2C89, MOTORISTA: RUI CELIO CRUZ DA SILVA</t>
  </si>
  <si>
    <t>02202</t>
  </si>
  <si>
    <t>MERCADORIA REF NF 1979, CARREGAMENTO Nº 02201, CONTRATO: 0433/25 - FC. PLACA: BWN-0F43, MOTORISTA: ROBINSON MORAIS LIMA</t>
  </si>
  <si>
    <t>02201</t>
  </si>
  <si>
    <t>MERCADORIA REF NF 1980, CARREGAMENTO Nº 02203, CONTRATO: 0431/25 - CA. PLACA: QCJ-6F60, MOTORISTA: MARCOS ALEXANDRE CONSTANTINO</t>
  </si>
  <si>
    <t>02203</t>
  </si>
  <si>
    <t>RENDIMETO APLICACAO.</t>
  </si>
  <si>
    <t>RENIDMENTO APLICACAO</t>
  </si>
  <si>
    <t>01/2026</t>
  </si>
  <si>
    <t>MERCADORIA REF NF 1981, CARREGAMENTO Nº 02204, CONTRATO: 0420/25 - ML. PLACA: AUU-3E03, MOTORISTA: FERNANDO GOMES DE OLIVERA</t>
  </si>
  <si>
    <t>02204</t>
  </si>
  <si>
    <t>MERCADORIA REF NF 1982, CARREGAMENTO Nº 02205, CONTRATO: 0420/25 - ML. PLACA: QCM-7I13, MOTORISTA: PAULO CESAR DE SOUZA</t>
  </si>
  <si>
    <t>02205</t>
  </si>
  <si>
    <t>MERCADORIA REF NF 1983, CARREGAMENTO Nº 02209, CONTRATO: 0420/25 - ML. PLACA: RAH-4J85, MOTORISTA: ANTONIO PINTO CARDOSO</t>
  </si>
  <si>
    <t>02209</t>
  </si>
  <si>
    <t>MERCADORIA REF NF 1984, CARREGAMENTO Nº 02208, CONTRATO: 0420/25 - ML. PLACA: GAT-4401, MOTORISTA: ALEXANDRE CONSONI PEREZ</t>
  </si>
  <si>
    <t>02208</t>
  </si>
  <si>
    <t>MERCADORIA REF NF 1985, CARREGAMENTO Nº 02207, CONTRATO: 0420/25 - ML. PLACA: BCZ-9H95, MOTORISTA: ABRAMO BOZZA</t>
  </si>
  <si>
    <t>02207</t>
  </si>
  <si>
    <t>MERCADORIA REF NF 1986, CARREGAMENTO Nº 02210, CONTRATO: 0420/25 - ML. PLACA: BEB-4B05, MOTORISTA: RAFAEL APARECIDO LEODORO</t>
  </si>
  <si>
    <t>02210</t>
  </si>
  <si>
    <t>MERCADORIA REF NF 1988, CARREGAMENTO Nº 02211, CONTRATO: 0440/26 - CA. PLACA: IPF-6F38, MOTORISTA: MIGUEL DE OLIVEIRA MELO</t>
  </si>
  <si>
    <t>02211</t>
  </si>
  <si>
    <t>EMPRESTIMO</t>
  </si>
  <si>
    <t>MERCADORIA REF NF 1989, CARREGAMENTO Nº 02213, CONTRATO: 0420/25 - ML. PLACA: MLX-4178, MOTORISTA: VANDERLEI JAIR LAMB</t>
  </si>
  <si>
    <t>02213</t>
  </si>
  <si>
    <t>LIQUIDACAO NDF 3051470.</t>
  </si>
  <si>
    <t>3051470</t>
  </si>
  <si>
    <t>MERCADORIA REF NF 1987, CARREGAMENTO Nº 02212, CONTRATO: 0440/26 - CA. PLACA: JVT-5469, MOTORISTA: JESSE LEVI MAESTRELLO</t>
  </si>
  <si>
    <t>02212</t>
  </si>
  <si>
    <t>MERCADORIA REF NF 1990, CARREGAMENTO Nº 02214, CONTRATO: 0440/26 - CA. PLACA: NZB-5J49, MOTORISTA: SIDNEI ALVES MACEDO</t>
  </si>
  <si>
    <t>02214</t>
  </si>
  <si>
    <t>RENDIMETO FINANCEIRO</t>
  </si>
  <si>
    <t>RENCIMENTO APLICACAO</t>
  </si>
  <si>
    <t>SERVICO LOGO BELA CEREAIS.</t>
  </si>
  <si>
    <t xml:space="preserve"> 54.482.003 BRENDA LARISSA SILVA LIMA GONCALVES</t>
  </si>
  <si>
    <t>02/2026</t>
  </si>
  <si>
    <t>0</t>
  </si>
  <si>
    <t>022026</t>
  </si>
  <si>
    <t>APLICAÇÃO</t>
  </si>
  <si>
    <t>MERCADORIA REF NF 1998, CARREGAMENTO Nº 02252, CONTRATO: 0440/26 - CA. PLACA: PKU-4A12, MOTORISTA: VICTOR LEONARDI DE SANTANA</t>
  </si>
  <si>
    <t>02252</t>
  </si>
  <si>
    <t>BENEFICIAMENTO/REPASSE FEIJAO MUNGO PRETO RATEIO - NF 202500000000022.</t>
  </si>
  <si>
    <t>MARCADORIA REF NF 1938, 1939, 1940, 1941. CONTRATO: 0415/25 - MP. FATURA Nº 00087 REF. DOCUMENTOS: 02168, 02169.</t>
  </si>
  <si>
    <t xml:space="preserve"> PAWAN INDUSTRIES</t>
  </si>
  <si>
    <t>MERCADORIA REF NF 2026, CARREGAMENTO Nº 02293, CONTRATO: 0456/26 - SO. PLACA: XXX-9999, MOTORISTA: JOEL FLORENCO DE SOUZA. NF 18880 DEVOLUCAO BUNGE.</t>
  </si>
  <si>
    <t>02293</t>
  </si>
  <si>
    <t>MERCADORIA REF NF 2036, CARREGAMENTO Nº 02290, CONTRATO: 0440/26 - CA. PLACA: BDQ-2E35, MOTORISTA: NIVALDO ALVES OIVEIRA</t>
  </si>
  <si>
    <t>02290</t>
  </si>
  <si>
    <t>MERCADORIA REF NF 2037, CARREGAMENTO Nº 02297, CONTRATO: 0440/26 - CA. PLACA: PKU-4A12, MOTORISTA: VICTOR LEONARDI DE SANTANA</t>
  </si>
  <si>
    <t>02297</t>
  </si>
  <si>
    <t>HONORÁRIOS 02/2026</t>
  </si>
  <si>
    <t xml:space="preserve"> ALEXANDRE ZAVITOSKI GOMES</t>
  </si>
  <si>
    <t>2034</t>
  </si>
  <si>
    <t>MERCADORIA REF NF 1995, CARREGAMENTO Nº 02269, CONTRATO: 0451/26 - SO. PLACA: XXX-9999, MOTORISTA: JOEL FLORENCO DE SOUZA</t>
  </si>
  <si>
    <t xml:space="preserve"> LOUIS DREYFUS COMPANY BRASIL S.A.</t>
  </si>
  <si>
    <t>02269</t>
  </si>
  <si>
    <t>MERCADORIA REF NF 1995 E 1996, CARREGAMENTO Nº 02270, CONTRATO: 0451/26 - SO. PLACA: XXX-9999, MOTORISTA: JOEL FLORENCO DE SOUZA</t>
  </si>
  <si>
    <t>02270</t>
  </si>
  <si>
    <t>MERCADORIA REF NF 1996 E 2010, CARREGAMENTO Nº 02271, CONTRATO: 0451/26 - SO. PLACA: XXX-9999, MOTORISTA: JOEL FLORENCO DE SOUZA</t>
  </si>
  <si>
    <t>02271</t>
  </si>
  <si>
    <t>MERCADORIA REF NF 2023, 2024 E 2025, CARREGAMENTO Nº 02272, CONTRATO: 0451/26 - SO. PLACA: XXX-9999, MOTORISTA: JOEL FLORENCO DE SOUZA</t>
  </si>
  <si>
    <t>02272</t>
  </si>
  <si>
    <t>MERCADORIA REF NF 2003, CARREGAMENTO Nº 02273, CONTRATO: 0450/26 - SO. PLACA: XXX-9999, MOTORISTA: JOEL FLORENCO DE SOUZA</t>
  </si>
  <si>
    <t>02273</t>
  </si>
  <si>
    <t>MERCADORIA REF NF 2004, CARREGAMENTO Nº 02274, CONTRATO: 0450/26 - SO. PLACA: XXX-9999, MOTORISTA: JOEL FLORENCO DE SOUZA</t>
  </si>
  <si>
    <t>02274</t>
  </si>
  <si>
    <t>MERCADORIA REF NF 2005, CARREGAMENTO Nº 02275, CONTRATO: 0450/26 - SO. PLACA: XXX-9999, MOTORISTA: JOEL FLORENCO DE SOUZA</t>
  </si>
  <si>
    <t>02275</t>
  </si>
  <si>
    <t>MERCADORIA REF NF 2006, CARREGAMENTO Nº 02276, CONTRATO: 0450/26 - SO. PLACA: XXX-9999, MOTORISTA: JOEL FLORENCO DE SOUZA</t>
  </si>
  <si>
    <t>02276</t>
  </si>
  <si>
    <t>MERCADORIA REF NF 2007, CARREGAMENTO Nº 02277, CONTRATO: 0450/26 - SO. PLACA: XXX-9999, MOTORISTA: JOEL FLORENCO DE SOUZA</t>
  </si>
  <si>
    <t>02277</t>
  </si>
  <si>
    <t>MERCADORIA REF NF 2008, CARREGAMENTO Nº 02278, CONTRATO: 0450/26 - SO. PLACA: XXX-9999, MOTORISTA: JOEL FLORENCO DE SOUZA</t>
  </si>
  <si>
    <t>02278</t>
  </si>
  <si>
    <t>MERCADORIA REF NF 2009, CARREGAMENTO Nº 02279, CONTRATO: 0450/26 - SO. PLACA: XXX-9999, MOTORISTA: JOEL FLORENCO DE SOUZA</t>
  </si>
  <si>
    <t>02279</t>
  </si>
  <si>
    <t>MERCADORIA REF NF 2010 PARCIAL, CARREGAMENTO Nº 02280, CONTRATO: 0450/26 - SO. PLACA: XXX-9999, MOTORISTA: JOEL FLORENCO DE SOUZA</t>
  </si>
  <si>
    <t>02280</t>
  </si>
  <si>
    <t>MERCADORIA REF NF 2011, CARREGAMENTO Nº 02281, CONTRATO: 0450/26 - SO. PLACA: XXX-9999, MOTORISTA: JOEL FLORENCO DE SOUZA</t>
  </si>
  <si>
    <t>02281</t>
  </si>
  <si>
    <t>MERCADORIA REF NF 2012, CARREGAMENTO Nº 02282, CONTRATO: 0450/26 - SO. PLACA: XXX-9999, MOTORISTA: JOEL FLORENCO DE SOUZA</t>
  </si>
  <si>
    <t>02282</t>
  </si>
  <si>
    <t>MERCADORIA REF NF 2013, CARREGAMENTO Nº 02283, CONTRATO: 0450/26 - SO. PLACA: XXX-9999, MOTORISTA: JOEL FLORENCO DE SOUZA</t>
  </si>
  <si>
    <t>02283</t>
  </si>
  <si>
    <t>MERCADORIA REF NF 2014, CARREGAMENTO Nº 02284, CONTRATO: 0450/26 - SO. PLACA: XXX-9999, MOTORISTA: JOEL FLORENCO DE SOUZA</t>
  </si>
  <si>
    <t>02284</t>
  </si>
  <si>
    <t>MERCADORIA REF NF 2000 E 2020, CARREGAMENTO Nº 02286, CONTRATO: 0450/26 - SO. PLACA: XXX-9999, MOTORISTA: JOEL FLORENCO DE SOUZA</t>
  </si>
  <si>
    <t>02286</t>
  </si>
  <si>
    <t>MERCADORIA REF NF 1999 E 2021 E 2022, CARREGAMENTO Nº 02287, CONTRATO: 0450/26 - SO. PLACA: XXX-9999, MOTORISTA: JOEL FLORENCO DE SOUZA</t>
  </si>
  <si>
    <t>02287</t>
  </si>
  <si>
    <t>MERCADORIA REF NF 2015, CARREGAMENTO Nº 02285, CONTRATO: 0450/26 - SO. PLACA: XXX-9999, MOTORISTA: JOEL FLORENCO DE SOUZA</t>
  </si>
  <si>
    <t>02285</t>
  </si>
  <si>
    <t>MERCADORIA REF NF 2027, CARREGAMENTO Nº 02291, CONTRATO: 0452/26 - SO. PLACA: XXX-9999, MOTORISTA: JOEL FLORENCO DE SOUZA</t>
  </si>
  <si>
    <t>02291</t>
  </si>
  <si>
    <t>MERCADORIA REF NF 2027 e 2031, CARREGAMENTO Nº 02292, CONTRATO: 0452/26 - SO. PLACA: XXX-9999, MOTORISTA: JOEL FLORENCO DE SOUZA</t>
  </si>
  <si>
    <t>02292</t>
  </si>
  <si>
    <t>MERCADORIA REF NF 2017 E 2032, CARREGAMENTO Nº 02295, CONTRATO: 0452/26 - SO. PLACA: XXX-9999, MOTORISTA: JOEL FLORENCO DE SOUZA</t>
  </si>
  <si>
    <t>02295</t>
  </si>
  <si>
    <t>MERCADORIA REF NF 2018 E 2033, CARREGAMENTO Nº 02296, CONTRATO: 0452/26 - SO. PLACA: XXX-9999, MOTORISTA: JOEL FLORENCO DE SOUZA</t>
  </si>
  <si>
    <t>02296</t>
  </si>
  <si>
    <t>03/2026</t>
  </si>
  <si>
    <t>3/2026</t>
  </si>
  <si>
    <t>MERCADORIA REF NF 2038, CARREGAMENTO Nº 02310, CONTRATO: 0464/26 - SO. PLACA: XXX-9999, MOTORISTA: JOEL FLORENCO DE SOUZA</t>
  </si>
  <si>
    <t>02310</t>
  </si>
  <si>
    <t>MERCADORIA REF NF 2039 e 2050, CARREGAMENTO Nº 02311, CONTRATO: 0464/26 - SO. PLACA: XXX-9999, MOTORISTA: JOEL FLORENCO DE SOUZA</t>
  </si>
  <si>
    <t>02311</t>
  </si>
  <si>
    <t>MERCADORIA REF NF 2045 e 2051, CARREGAMENTO Nº 02312, CONTRATO: 0464/26 - SO. PLACA: XXX-9999, MOTORISTA: JOEL FLORENCO DE SOUZA</t>
  </si>
  <si>
    <t>02312</t>
  </si>
  <si>
    <t>MERCADORIA REF NF 2048, CARREGAMENTO Nº 02313, CONTRATO: 0464/26 - SO. PLACA: XXX-9999, MOTORISTA: JOEL FLORENCO DE SOUZA</t>
  </si>
  <si>
    <t>02313</t>
  </si>
  <si>
    <t>MERCADORIA REF NF 2015, CARREGAMENTO Nº 02315, CONTRATO: 0466/26 - SO. PLACA: XXX-9999, MOTORISTA: JOEL FLORENCO DE SOUZA</t>
  </si>
  <si>
    <t>02315</t>
  </si>
  <si>
    <t>MERCADORIA REF NF 2017, CARREGAMENTO Nº 02316, CONTRATO: 0466/26 - SO. PLACA: XXX-9999, MOTORISTA: JOEL FLORENCO DE SOUZA</t>
  </si>
  <si>
    <t>02316</t>
  </si>
  <si>
    <t>MERCADORIA REF NF 2043 e 2069, CARREGAMENTO Nº 02317, CONTRATO: 0466/26 - SO. PLACA: XXX-9999, MOTORISTA: JOEL FLORENCO DE SOUZA</t>
  </si>
  <si>
    <t>02317</t>
  </si>
  <si>
    <t>MERCADORIA REF NF 2044 e 2070, CARREGAMENTO Nº 02318, CONTRATO: 0466/26 - SO. PLACA: XXX-9999, MOTORISTA: JOEL FLORENCO DE SOUZA</t>
  </si>
  <si>
    <t>02318</t>
  </si>
  <si>
    <t>MERCADORIA REF NF 2048, CARREGAMENTO Nº 02319, CONTRATO: 0466/26 - SO. PLACA: XXX-9999, MOTORISTA: JOEL FLORENCO DE SOUZA</t>
  </si>
  <si>
    <t>02319</t>
  </si>
  <si>
    <t>MERCADORIA REF NF 2046 e 2071, CARREGAMENTO Nº 02337, CONTRATO: 0466/26 - SO. PLACA: XXX-9999, MOTORISTA: JOEL FLORENCO DE SOUZA</t>
  </si>
  <si>
    <t>02337</t>
  </si>
  <si>
    <t>MERCADORIA REF NF 2047, CARREGAMENTO Nº 02339, CONTRATO: 0466/26 - SO. PLACA: XXX-9999, MOTORISTA: JOEL FLORENCO DE SOUZA</t>
  </si>
  <si>
    <t>02339</t>
  </si>
  <si>
    <t>MERCADORIA REF NF /2049, CARREGAMENTO Nº 02344, CONTRATO: 0466/26 - SO. PLACA: XXX-9999, MOTORISTA: JOEL FLORENCO DE SOUZA</t>
  </si>
  <si>
    <t>02344</t>
  </si>
  <si>
    <t>MERCADORIA REF NF 2067, CARREGAMENTO Nº 02348, CONTRATO: 0466/26 - SO. PLACA: XXX-9999, MOTORISTA: JOEL FLORENCO DE SOUZA</t>
  </si>
  <si>
    <t>02348</t>
  </si>
  <si>
    <t>MERCADORIA REF NF 2028, CARREGAMENTO Nº 02300, CONTRATO: 0460/26 - SO. PLACA: XXX-9999, MOTORISTA: JOEL FLORENCO DE SOUZA</t>
  </si>
  <si>
    <t>02300</t>
  </si>
  <si>
    <t>MERCADORIA REF NF 2029, CARREGAMENTO Nº 02301, CONTRATO: 0460/26 - SO. PLACA: XXX-9999, MOTORISTA: JOEL FLORENCO DE SOUZA</t>
  </si>
  <si>
    <t>02301</t>
  </si>
  <si>
    <t>MERCADORIA REF NF 2029, CARREGAMENTO Nº 02302, CONTRATO: 0460/26 - SO. PLACA: XXX-9999, MOTORISTA: JOEL FLORENCO DE SOUZA</t>
  </si>
  <si>
    <t>02302</t>
  </si>
  <si>
    <t>MERCADORIA REF NF 2041, CARREGAMENTO Nº 02303, CONTRATO: 0460/26 - SO. PLACA: XXX-9999, MOTORISTA: JOEL FLORENCO DE SOUZA</t>
  </si>
  <si>
    <t>02303</t>
  </si>
  <si>
    <t>MERCADORIA REF NF 2042, CARREGAMENTO Nº 02304, CONTRATO: 0460/26 - SO. PLACA: XXX-9999, MOTORISTA: JOEL FLORENCO DE SOUZA</t>
  </si>
  <si>
    <t>02304</t>
  </si>
  <si>
    <t>MERCADORIA REF NF 2030, CARREGAMENTO Nº 02305, CONTRATO: 0460/26 - SO. PLACA: XXX-9999, MOTORISTA: JOEL FLORENCO DE SOUZA</t>
  </si>
  <si>
    <t>02305</t>
  </si>
  <si>
    <t>MERCADORIA REF NF 2034, CARREGAMENTO Nº 02306, CONTRATO: 0460/26 - SO. PLACA: XXX-9999, MOTORISTA: JOEL FLORENCO DE SOUZA</t>
  </si>
  <si>
    <t>02306</t>
  </si>
  <si>
    <t>MERCADORIA REF NF 2001, 2054, 2055, CARREGAMENTO Nº 02308, CONTRATO: 0460/26 - SO. PLACA: XXX-9999, MOTORISTA: JOEL FLORENCO DE SOUZA</t>
  </si>
  <si>
    <t>02308</t>
  </si>
  <si>
    <t>MERCADORIA REF NF 2002, 2052, 2053, CARREGAMENTO Nº 02309, CONTRATO: 0460/26 - SO. PLACA: XXX-9999, MOTORISTA: JOEL FLORENCO DE SOUZA</t>
  </si>
  <si>
    <t>02309</t>
  </si>
  <si>
    <t>MERCADORIA REF NF 2017, CARREGAMENTO Nº 02298, CONTRATO: 0460/26 - SO. PLACA: XXX-9999, MOTORISTA: JOEL FLORENCO DE SOUZA</t>
  </si>
  <si>
    <t>02298</t>
  </si>
  <si>
    <t>MERCADORIA REF NF 2040, CARREGAMENTO Nº 02307, CONTRATO: 0460/26 - SO. PLACA: XXX-9999, MOTORISTA: JOEL FLORENCO DE SOUZA</t>
  </si>
  <si>
    <t>02307</t>
  </si>
  <si>
    <t>MERCADORIA REF NF 2074, CARREGAMENTO Nº 02352, CONTRATO: 0440/26 - CA. PLACA: MYB-2754, MOTORISTA: CICERO CEZARIO ALVES</t>
  </si>
  <si>
    <t>02352</t>
  </si>
  <si>
    <t>BENEFICIAMENTO FEIJAO OLHO NEGRO - NF 202500000000013. CRT VENDA 0368/25 FC.</t>
  </si>
  <si>
    <t>MERCADORIA REF NF 2057, CARREGAMENTO Nº 02334, CONTRATO: 0468/26 - SO. PLACA: XXX-9999, MOTORISTA: JOEL FLORENCO DE SOUZA</t>
  </si>
  <si>
    <t>02334</t>
  </si>
  <si>
    <t>MERCADORIA REF NF 2058, CARREGAMENTO Nº 02335, CONTRATO: 0468/26 - SO. PLACA: XXX-9999, MOTORISTA: JOEL FLORENCO DE SOUZA</t>
  </si>
  <si>
    <t>02335</t>
  </si>
  <si>
    <t>MERCADORIA REF NF 2062, CARREGAMENTO Nº 02341, CONTRATO: 0468/26 - SO. PLACA: XXX-9999, MOTORISTA: JOEL FLORENCO DE SOUZA</t>
  </si>
  <si>
    <t>02341</t>
  </si>
  <si>
    <t>MERCADORIA REF NF 2062, CARREGAMENTO Nº 02340, CONTRATO: 0468/26 - SO. PLACA: XXX-9999, MOTORISTA: JOEL FLORENCO DE SOUZA</t>
  </si>
  <si>
    <t>02340</t>
  </si>
  <si>
    <t>MERCADORIA REF NF 2063, CARREGAMENTO Nº 02342, CONTRATO: 0468/26 - SO. PLACA: XXX-9999, MOTORISTA: JOEL FLORENCO DE SOUZA</t>
  </si>
  <si>
    <t>02342</t>
  </si>
  <si>
    <t>AQUISICAO AREA LUZIMANGUES MAT 2091</t>
  </si>
  <si>
    <t xml:space="preserve"> LAGO AZUL PARTICIPACOES EM EMPREENDIMENTOS LTDA</t>
  </si>
  <si>
    <t>MAT 2091</t>
  </si>
  <si>
    <t>MERCADORIA REF NF 2016 e 2084, CARREGAMENTO Nº 02268, CONTRATO: 0454/26 - SO. PLACA: XXX-9999, MOTORISTA: JOEL FLORENCO DE SOUZA. NF DEVOLUCAO BUNGE 18959.</t>
  </si>
  <si>
    <t>02268</t>
  </si>
  <si>
    <t>MERCADORIA REF NF 2026 E 2085, CARREGAMENTO Nº 02294, CONTRATO: 0462/26 - SO. PLACA: XXX-9999, MOTORISTA: JOEL FLORENCO DE SOUZA. NF DEVOLUCAO BUNGE 18958.</t>
  </si>
  <si>
    <t>02294</t>
  </si>
  <si>
    <t>BENEFICIAMENTO FEIJAO OLHO NEGRO - NF 202500000000013. CRT VENDA 0369/26 - FC filial.</t>
  </si>
  <si>
    <t>BENEFICIAMENTO/REPASSE FEIJAO MUNGO PRETO - NF 202500000000022.</t>
  </si>
  <si>
    <t>NF 202600000000001. PRESTACAO DE SERVICO DE ARMAZENAMENTO DE GRAOS EM CAMARA FRIA. FEIJAO OLHO NEGRO 18.808 KG.</t>
  </si>
  <si>
    <t>04/2026</t>
  </si>
  <si>
    <t>RECEBIMENTO DEVOLUCAO EMPRESTIMO CRT 0044/26</t>
  </si>
  <si>
    <t>0044/26</t>
  </si>
  <si>
    <t>MERCADORIA REF NF 2059, CARREGAMENTO Nº 02338, CONTRATO: 0468/26 - SO. PLACA: XXX-9999, MOTORISTA: JOEL FLORENCO DE SOUZA</t>
  </si>
  <si>
    <t>02338</t>
  </si>
  <si>
    <t>MERCADORIA REF NF 2064, CARREGAMENTO Nº 02343, CONTRATO: 0470/26 - SO. PLACA: XXX-9999, MOTORISTA: JOEL FLORENCO DE SOUZA</t>
  </si>
  <si>
    <t>02343</t>
  </si>
  <si>
    <t>MERCADORIA REF NF 2083, CARREGAMENTO Nº 02408, CONTRATO: 0476/26 - SO. PLACA: IBB-5C68, MOTORISTA: WELTON CESAR CARMO DE CARVALHO</t>
  </si>
  <si>
    <t>02408</t>
  </si>
  <si>
    <t>MERCADORIA REF NF 2083/2089, CARREGAMENTO Nº 02412, CONTRATO: 0476/26 - SO. PLACA: IBB-5C68, MOTORISTA: WELTON CESAR CARMO DE CARVALHO</t>
  </si>
  <si>
    <t>02412</t>
  </si>
  <si>
    <t>MERCADORIA REF NF 2090 e 2095, CARREGAMENTO Nº 02419, CONTRATO: 0478/26 - SO. PLACA: XXX-9999, MOTORISTA: JOEL FLORENCO DE SOUZA</t>
  </si>
  <si>
    <t>02419</t>
  </si>
  <si>
    <t>MERCADORIA REF NF 2091 e 2096, CARREGAMENTO Nº 02420, CONTRATO: 0478/26 - SO. PLACA: XXX-9999, MOTORISTA: JOEL FLORENCO DE SOUZA</t>
  </si>
  <si>
    <t>02420</t>
  </si>
  <si>
    <t>BENEFICIAMENTO FEIJAO OLHO NEGRO - NF 15. CRT VENDA 0373/26 - FC FILIAL</t>
  </si>
  <si>
    <t>0373/26 - FC</t>
  </si>
  <si>
    <t>MERCADORIA REF NF 2069, CARREGAMENTO Nº 02349, CONTRATO: 0472/26 - SO. PLACA: XXX-9999, MOTORISTA: JOEL FLORENCO DE SOUZA</t>
  </si>
  <si>
    <t>02349</t>
  </si>
  <si>
    <t>MERCADORIA REF NF 2072/2087/2088, CARREGAMENTO Nº 02396, CONTRATO: 0472/26 - SO. PLACA: XXX-9999, MOTORISTA: JOEL FLORENCO DE SOUZA</t>
  </si>
  <si>
    <t>02396</t>
  </si>
  <si>
    <t>MERCADORIA REF NF 2073, CARREGAMENTO Nº 02397, CONTRATO: 0472/26 - SO. PLACA: XXX-9999, MOTORISTA: JOEL FLORENCO DE SOUZA</t>
  </si>
  <si>
    <t>02397</t>
  </si>
  <si>
    <t>MERCADORIA REF NF 2073, CARREGAMENTO Nº 02398, CONTRATO: 0472/26 - SO. PLACA: XXX-9999, MOTORISTA: JOEL FLORENCO DE SOUZA</t>
  </si>
  <si>
    <t>02398</t>
  </si>
  <si>
    <t>RECEBIMENTO VIA CESSAO DE CREDITO MM COMERCIO DE CERAIS CONTRATO 0436/25 - SO.</t>
  </si>
  <si>
    <t xml:space="preserve"> MARCIO VICTOR BELOTI</t>
  </si>
  <si>
    <t>0436/25 - SO</t>
  </si>
  <si>
    <t>RECEBIMENTO VIA COMPENSACAO FINANCEIRA VIA CESSAO DE CREDITO. REF NF 68 HENRIQUE BELOTI, CARREGAMENTO  Nº 02419, 02420, CONTRATO: 0480/26 - SO.</t>
  </si>
  <si>
    <t>MERCADORIA REF NF 1993, CARREGAMENTO Nº 02246, CONTRATO: 0442/26 - SO. PLACA: XXX-9999, MOTORISTA: JOEL FLORENCO DE SOUZA</t>
  </si>
  <si>
    <t>02246</t>
  </si>
  <si>
    <t>MERCADORIA REF NF 1992, CARREGAMENTO Nº 02248, CONTRATO: 0442/26 - SO. PLACA: XXX-9999, MOTORISTA: JOEL FLORENCO DE SOUZA. NF DEVOLUCAO 19348.</t>
  </si>
  <si>
    <t>02248</t>
  </si>
  <si>
    <t>MERCADORIA REF NF 1994, CARREGAMENTO Nº 02249, CONTRATO: 0442/26 - SO. PLACA: XXX-9999, MOTORISTA: JOEL FLORENCO DE SOUZA</t>
  </si>
  <si>
    <t>02249</t>
  </si>
  <si>
    <t>MERCADORIA REF NF 1997 e 2092, CARREGAMENTO Nº 02253, CONTRATO: 0442/26 - SO. PLACA: XXX-9999, MOTORISTA: JOEL FLORENCO DE SOUZA. NF DEVOLUCAO NF 19350.</t>
  </si>
  <si>
    <t>02253</t>
  </si>
  <si>
    <t>MERCADORIA REF NF 2016, CARREGAMENTO Nº 02267, CONTRATO: 0442/26 - SO. PLACA: XXX-9999, MOTORISTA: JOEL FLORENCO DE SOUZA. NF DEVOLUCAO 19351.</t>
  </si>
  <si>
    <t>02267</t>
  </si>
  <si>
    <t>MERCADORIA REF NF 1991, CARREGAMENTO Nº 02247, CONTRATO: 0442/26 - SO. PLACA: XXX-9999, MOTORISTA: JOEL FLORENCO DE SOUZA</t>
  </si>
  <si>
    <t>02247</t>
  </si>
  <si>
    <t>MERCADORIA REF NF 1991, CARREGAMENTO Nº 02299, CONTRATO: 0442/26 - SO. PLACA: XXX-9999, MOTORISTA: JOEL FLORENCO DE SOUZA. NF DEVOLUCAO 19349 E 19347.</t>
  </si>
  <si>
    <t>02299</t>
  </si>
  <si>
    <t>MERCADORIA REF NF 2065/2093, CARREGAMENTO Nº 02345, CONTRATO: 0457/26 - SO. PLACA: GZV-0E42, MOTORISTA: VALTEMIR PEREIRA LOBO</t>
  </si>
  <si>
    <t>02345</t>
  </si>
  <si>
    <t>MERCADORIA REF NF /2066, CARREGAMENTO Nº 02346, CONTRATO: 0457/26 - SO. PLACA: GQO-4F51, MOTORISTA: GENILDO ALTIVO DE MELLO</t>
  </si>
  <si>
    <t>02346</t>
  </si>
  <si>
    <t>MERCADORIA REF NF /2075, CARREGAMENTO Nº 02353, CONTRATO: 0457/26 - SO. PLACA: KEW-3E10, MOTORISTA: DIVINAR FERNANDES DOS SANTOS. NF DEVOLUCAO 72742.</t>
  </si>
  <si>
    <t>02353</t>
  </si>
  <si>
    <t>MERCADORIA REF NF /2077, CARREGAMENTO Nº 02355, CONTRATO: 0457/26 - SO. PLACA: AYV-9I65, MOTORISTA: MAICO MONTIEL</t>
  </si>
  <si>
    <t>02355</t>
  </si>
  <si>
    <t>MERCADORIA REF NF /2076, CARREGAMENTO Nº 02354, CONTRATO: 0457/26 - SO. PLACA: LYT-4G70, MOTORISTA: GELSON SON MUMBACH</t>
  </si>
  <si>
    <t>02354</t>
  </si>
  <si>
    <t>MERCADORIA REF NF 2082, CARREGAMENTO Nº 02407, CONTRATO: 0457/26 - SO. PLACA: AMH-4G43, MOTORISTA: NELSON DE OLIVEIRA</t>
  </si>
  <si>
    <t>02407</t>
  </si>
  <si>
    <t>MERCADORIA REF NF 2081, CARREGAMENTO Nº 02402, CONTRATO: 0457/26 - SO. PLACA: CUC-8C06, MOTORISTA: EDIVALDO BARBIERI. NF DEVOLUCAO 72743.</t>
  </si>
  <si>
    <t>02402</t>
  </si>
  <si>
    <t>RECEBIMENTO FINANCEIRO CONTRATO 0439/26 - SO. RECEBIMENTO VIA CESSAO DE CREDIO MM NF SILVIO 7098. EXTRATO MM COMERCIO DE CEREAIS.</t>
  </si>
  <si>
    <t xml:space="preserve"> CRISTIANO CORREIA FAVARIN</t>
  </si>
  <si>
    <t>AJUSTE NDF 3067397</t>
  </si>
  <si>
    <t>3067397</t>
  </si>
  <si>
    <t>RECEBIMENTO ANTECIPADO DO CONTRATO DE COMPRA E VENDA NUMERO 0041/2025. (BELA CEREAIS X MM COMERCIO).</t>
  </si>
  <si>
    <t>1/2025</t>
  </si>
  <si>
    <t>RESGATE BTG</t>
  </si>
  <si>
    <t>RECEBIMENTO ANTECIPADO DO CONTRATO DE COMPRA E VENDA NUMERO 0042/2025. (BELA CEREAIS X MM COMERCIO).</t>
  </si>
  <si>
    <t xml:space="preserve"> BANCO BTG PACTUAL S.A.</t>
  </si>
  <si>
    <t>MERCADORIA REF NF 1223, CARREGAMENTO Nº 01651, CONTRATO: 0194/25 - SO. PLACA: XXX-9999, MOTORISTA: JOEL FLORENCO DE SOUZA</t>
  </si>
  <si>
    <t xml:space="preserve"> ENGELHART CTP BRASIL S.A.</t>
  </si>
  <si>
    <t>01651</t>
  </si>
  <si>
    <t>MERCADORIA REF NF 1224, CARREGAMENTO Nº 01652, CONTRATO: 0194/25 - SO. PLACA: XXX-9999, MOTORISTA: JOEL FLORENCO DE SOUZA</t>
  </si>
  <si>
    <t>01652</t>
  </si>
  <si>
    <t>MERCADORIA REF NF 1225, CARREGAMENTO Nº 01653, CONTRATO: 0194/25 - SO. PLACA: XXX-9999, MOTORISTA: JOEL FLORENCO DE SOUZA</t>
  </si>
  <si>
    <t>01653</t>
  </si>
  <si>
    <t>MERCADORIA REF NF 1226, CARREGAMENTO Nº 01654, CONTRATO: 0194/25 - SO. PLACA: XXX-9999, MOTORISTA: JOEL FLORENCO DE SOUZA</t>
  </si>
  <si>
    <t>01654</t>
  </si>
  <si>
    <t>MERCADORIA REF NF 1227, CARREGAMENTO Nº 01655, CONTRATO: 0194/25 - SO. PLACA: XXX-9999, MOTORISTA: JOEL FLORENCO DE SOUZA</t>
  </si>
  <si>
    <t>01655</t>
  </si>
  <si>
    <t>MERCADORIA REF NF 1228, CARREGAMENTO Nº 01656, CONTRATO: 0194/25 - SO. PLACA: XXX-9999, MOTORISTA: JOEL FLORENCO DE SOUZA</t>
  </si>
  <si>
    <t>01656</t>
  </si>
  <si>
    <t>MERCADORIA REF NF /1213, CARREGAMENTO Nº 01641, CONTRATO: 0198/25 - SO. PLACA: XXX-9999, MOTORISTA: JOEL FLORENCO DE SOUZA</t>
  </si>
  <si>
    <t>01641</t>
  </si>
  <si>
    <t>MERCADORIA REF NF 108252/1211, CARREGAMENTO Nº 01639, CONTRATO: 0198/25 - SO. PLACA: XXX-9999, MOTORISTA: JOEL FLORENCO DE SOUZA</t>
  </si>
  <si>
    <t>01639</t>
  </si>
  <si>
    <t>MERCADORIA REF NF 1229, CARREGAMENTO Nº 01657, CONTRATO: 0194/25 - SO. PLACA: XXX-9999, MOTORISTA: JOEL FLORENCO DE SOUZA</t>
  </si>
  <si>
    <t>01657</t>
  </si>
  <si>
    <t>MERCADORIA REF NF /1214, CARREGAMENTO Nº 01642, CONTRATO: 0198/25 - SO. PLACA: XXX-9999, MOTORISTA: JOEL FLORENCO DE SOUZA</t>
  </si>
  <si>
    <t>01642</t>
  </si>
  <si>
    <t>MERCADORIA REF NF /1212, CARREGAMENTO Nº 01640, CONTRATO: 0198/25 - SO. PLACA: XXX-9999, MOTORISTA: JOEL FLORENCO DE SOUZA</t>
  </si>
  <si>
    <t>01640</t>
  </si>
  <si>
    <t>MERCADORIA REF NF /1216, CARREGAMENTO Nº 01644, CONTRATO: 0198/25 - SO. PLACA: XXX-9999, MOTORISTA: JOEL FLORENCO DE SOUZA</t>
  </si>
  <si>
    <t>01644</t>
  </si>
  <si>
    <t>MERCADORIA REF NF /1217, CARREGAMENTO Nº 01645, CONTRATO: 0198/25 - SO. PLACA: XXX-9999, MOTORISTA: JOEL FLORENCO DE SOUZA</t>
  </si>
  <si>
    <t>01645</t>
  </si>
  <si>
    <t>MERCADORIA REF NF /1218, CARREGAMENTO Nº 01646, CONTRATO: 0198/25 - SO. PLACA: XXX-9999, MOTORISTA: JOEL FLORENCO DE SOUZA</t>
  </si>
  <si>
    <t>01646</t>
  </si>
  <si>
    <t>MERCADORIA REF NF /1220, CARREGAMENTO Nº 01648, CONTRATO: 0198/25 - SO. PLACA: XXX-9999, MOTORISTA: JOEL FLORENCO DE SOUZA</t>
  </si>
  <si>
    <t>01648</t>
  </si>
  <si>
    <t>MERCADORIA REF NF /1219, CARREGAMENTO Nº 01647, CONTRATO: 0198/25 - SO. PLACA: XXX-9999, MOTORISTA: JOEL FLORENCO DE SOUZA</t>
  </si>
  <si>
    <t>01647</t>
  </si>
  <si>
    <t>MERCADORIA REF NF /1215, CARREGAMENTO Nº 01643, CONTRATO: 0198/25 - SO. PLACA: XXX-9999, MOTORISTA: JOEL FLORENCO DE SOUZA</t>
  </si>
  <si>
    <t>01643</t>
  </si>
  <si>
    <t>MERCADORIA REF NF 1230, CARREGAMENTO Nº 01658, CONTRATO: 0194/25 - SO. PLACA: XXX-9999, MOTORISTA: JOEL FLORENCO DE SOUZA</t>
  </si>
  <si>
    <t>01658</t>
  </si>
  <si>
    <t>MERCADORIA REF NF 1231, CARREGAMENTO Nº 01659, CONTRATO: 0194/25 - SO. PLACA: XXX-9999, MOTORISTA: JOEL FLORENCO DE SOUZA</t>
  </si>
  <si>
    <t>01659</t>
  </si>
  <si>
    <t>MERCADORIA REF NF 1232, CARREGAMENTO Nº 01660, CONTRATO: 0194/25 - SO. PLACA: XXX-9999, MOTORISTA: JOEL FLORENCO DE SOUZA</t>
  </si>
  <si>
    <t>01660</t>
  </si>
  <si>
    <t>MERCADORIA REF NF 1255, CARREGAMENTO Nº 01665, CONTRATO: 0194/25 - SO. PLACA: XXX-9999, MOTORISTA: JOEL FLORENCO DE SOUZA</t>
  </si>
  <si>
    <t>01665</t>
  </si>
  <si>
    <t>MERCADORIA REF NF 1241, CARREGAMENTO Nº 01669, CONTRATO: 0199/25 - SO. PLACA: XXX-9999, MOTORISTA: JOEL FLORENCO DE SOUZA</t>
  </si>
  <si>
    <t xml:space="preserve"> ENGELHART CTP (BRASIL) S.A.</t>
  </si>
  <si>
    <t>01669</t>
  </si>
  <si>
    <t>MERCADORIA REF NF 1240, CARREGAMENTO Nº 01668, CONTRATO: 0199/25 - SO. PLACA: XXX-9999, MOTORISTA: JOEL FLORENCO DE SOUZA</t>
  </si>
  <si>
    <t>01668</t>
  </si>
  <si>
    <t>MERCADORIA REF NF 1239, CARREGAMENTO Nº 01667, CONTRATO: 0199/25 - SO. PLACA: XXX-9999, MOTORISTA: JOEL FLORENCO DE SOUZA</t>
  </si>
  <si>
    <t>01667</t>
  </si>
  <si>
    <t>MERCADORIA REF NF 1243, CARREGAMENTO Nº 01663, CONTRATO: 0199/25 - SO. PLACA: XXX-9999, MOTORISTA: JOEL FLORENCO DE SOUZA</t>
  </si>
  <si>
    <t>01663</t>
  </si>
  <si>
    <t>MERCADORIA REF NF 1245, CARREGAMENTO Nº 01664, CONTRATO: 0199/25 - SO. PLACA: XXX-9999, MOTORISTA: JOEL FLORENCO DE SOUZA</t>
  </si>
  <si>
    <t>01664</t>
  </si>
  <si>
    <t>MERCADORIA REF NF 1249, CARREGAMENTO Nº 01666, CONTRATO: 0199/25 - SO. PLACA: XXX-9999, MOTORISTA: JOEL FLORENCO DE SOUZA</t>
  </si>
  <si>
    <t>01666</t>
  </si>
  <si>
    <t>MERCADORIA REF NF 1251, CARREGAMENTO Nº 01661, CONTRATO: 0199/25 - SO. PLACA: XXX-9999, MOTORISTA: JOEL FLORENCO DE SOUZA</t>
  </si>
  <si>
    <t>01661</t>
  </si>
  <si>
    <t>MERCADORIA REF NF 1253, CARREGAMENTO Nº 01662, CONTRATO: 0194/25 - SO. PLACA: XXX-9999, MOTORISTA: JOEL FLORENCO DE SOUZA</t>
  </si>
  <si>
    <t>01662</t>
  </si>
  <si>
    <t>MERCADORIA REF NF /1259, CARREGAMENTO Nº 01673, CONTRATO: 0198/25 - SO. PLACA: XXX-9999, MOTORISTA: JOEL FLORENCO DE SOUZA</t>
  </si>
  <si>
    <t>01673</t>
  </si>
  <si>
    <t>MERCADORIA REF NF /1256, CARREGAMENTO Nº 01670, CONTRATO: 0198/25 - SO. PLACA: XXX-9999, MOTORISTA: JOEL FLORENCO DE SOUZA</t>
  </si>
  <si>
    <t>01670</t>
  </si>
  <si>
    <t>MERCADORIA REF NF /1257, CARREGAMENTO Nº 01671, CONTRATO: 0198/25 - SO. PLACA: XXX-9999, MOTORISTA: JOEL FLORENCO DE SOUZA</t>
  </si>
  <si>
    <t>01671</t>
  </si>
  <si>
    <t>MERCADORIA REF NF 1262/1260, CARREGAMENTO Nº 01674, CONTRATO: 0198/25 - SO. PLACA: XXX-9999, MOTORISTA: JOEL FLORENCO DE SOUZA</t>
  </si>
  <si>
    <t>01674</t>
  </si>
  <si>
    <t>MERCADORIA REF NF /1258, CARREGAMENTO Nº 01672, CONTRATO: 0198/25 - SO. PLACA: XXX-9999, MOTORISTA: JOEL FLORENCO DE SOUZA</t>
  </si>
  <si>
    <t>01672</t>
  </si>
  <si>
    <t>MERCADORIA REF NF 1221 PARCIAL, CARREGAMENTO Nº 01649, CONTRATO: 0198/25 - SO. PLACA: XXX-9999, MOTORISTA: JOEL FLORENCO DE SOUZA</t>
  </si>
  <si>
    <t>01649</t>
  </si>
  <si>
    <t>MERCADORIA REF NF 1222, CARREGAMENTO Nº 01650, CONTRATO: 0198/25 - SO. PLACA: XXX-9999, MOTORISTA: JOEL FLORENCO DE SOUZA</t>
  </si>
  <si>
    <t>01650</t>
  </si>
  <si>
    <t>TRANSFERENCIA BTG</t>
  </si>
  <si>
    <t>COMPENSAÇÃO DE IMPOSTOS FISCAL, SENAR REF NF 946 e 933, CONTRATO: 0200/25 - SO 98,041 TONS.</t>
  </si>
  <si>
    <t xml:space="preserve"> FERNANDO CESAR FACHOLLI</t>
  </si>
  <si>
    <t>MERCADORIA REF NF 1385/1359 PARCIAL, CARREGAMENTO Nº 01769, CONTRATO: 0203/25 - SO. PLACA: XXX-9999, MOTORISTA: JOEL FLORENCO DE SOUZA</t>
  </si>
  <si>
    <t>01769</t>
  </si>
  <si>
    <t>MERCADORIA REF NF 1342/1343/1347/1401/1360/1400/1363/1399, CARREGAMENTO Nº 01792, CONTRATO: 0212/25 - SO. PLACA: XXX-9999, MOTORISTA: JOEL FLORENCO DE SOUZA</t>
  </si>
  <si>
    <t>01792</t>
  </si>
  <si>
    <t>MERCADORIA REF NF 1402, CARREGAMENTO Nº 01802, CONTRATO: 0208/25 - SO. PLACA: XXX-9999, MOTORISTA: JOEL FLORENCO DE SOUZA</t>
  </si>
  <si>
    <t>01802</t>
  </si>
  <si>
    <t>MERCADORIA REF NF 1418, CARREGAMENTO Nº 01816, CONTRATO: 0208/25 - SO. PLACA: XXX-9999, MOTORISTA: JOEL FLORENCO DE SOUZA</t>
  </si>
  <si>
    <t>01816</t>
  </si>
  <si>
    <t>MERCADORIA REF NF 1419, CARREGAMENTO Nº 01820, CONTRATO: 0213/25 - SO. PLACA: XXX-9999, MOTORISTA: JOEL FLORENCO DE SOUZA</t>
  </si>
  <si>
    <t>01820</t>
  </si>
  <si>
    <t>MERCADORIA REF NF 1420, CARREGAMENTO Nº 01824, CONTRATO: 0213/25 - SO. PLACA: XXX-9999, MOTORISTA: JOEL FLORENCO DE SOUZA</t>
  </si>
  <si>
    <t>01824</t>
  </si>
  <si>
    <t>MERCADORIA REF NF 1421, CARREGAMENTO Nº 01828, CONTRATO: 0213/25 - SO. PLACA: XXX-9999, MOTORISTA: JOEL FLORENCO DE SOUZA</t>
  </si>
  <si>
    <t>01828</t>
  </si>
  <si>
    <t>MERCADORIA REF NF 1439, CARREGAMENTO Nº 01852, CONTRATO: 0213/25 - SO. PLACA: XXX-9999, MOTORISTA: JOEL FLORENCO DE SOUZA</t>
  </si>
  <si>
    <t>01852</t>
  </si>
  <si>
    <t>MERCADORIA REF NF 1329/1387, CARREGAMENTO Nº 01741, CONTRATO: 0187/24 - SO. PLACA: XXX-9999, MOTORISTA: JOEL FLORENCO DE SOUZA. APLICADO DESCONTO ANTECIPACAO.</t>
  </si>
  <si>
    <t>01741</t>
  </si>
  <si>
    <t>MERCADORIA REF NF 1322, CARREGAMENTO Nº 01737, CONTRATO: 0187/24 - SO. PLACA: XXX-9999, MOTORISTA: JOEL FLORENCO DE SOUZA. DESCONTO DE ANTECIPACAO.</t>
  </si>
  <si>
    <t>01737</t>
  </si>
  <si>
    <t>MERCADORIA REF NF /1327, CARREGAMENTO Nº 01739, CONTRATO: 0187/24 - SO. PLACA: XXX-9999, MOTORISTA: JOEL FLORENCO DE SOUZA. DESCONTO D ANTECIPACAO.</t>
  </si>
  <si>
    <t>01739</t>
  </si>
  <si>
    <t>MERCADORIA REF NF /1330, CARREGAMENTO Nº 01742, CONTRATO: 0187/24 - SO. PLACA: XXX-9999, MOTORISTA: JOEL FLORENCO DE SOUZA. DESCONTO DE ANTECIPACAO.</t>
  </si>
  <si>
    <t>01742</t>
  </si>
  <si>
    <t>MERCADORIA REF NF /1321, CARREGAMENTO Nº 01736, CONTRATO: 0187/24 - SO. PLACA: XXX-9999, MOTORISTA: JOEL FLORENCO DE SOUZA. DECONTO DE ANTECIPACAO.</t>
  </si>
  <si>
    <t>01736</t>
  </si>
  <si>
    <t>MERCADORIA REF NF 1320, CARREGAMENTO Nº 01754, CONTRATO: 0187/24 - SO. PLACA: XXX-9999, MOTORISTA: JOEL FLORENCO DE SOUZA. DESCONTO DE ANTECIPACAO.</t>
  </si>
  <si>
    <t>01754</t>
  </si>
  <si>
    <t>MERCADORIA REF NF 1355/1341, CARREGAMENTO Nº 01753, CONTRATO: 0187/24 - SO. PLACA: XXX-9999, MOTORISTA: JOEL FLORENCO DE SOUZA. DESCONTO DE ANTECIPACAO.</t>
  </si>
  <si>
    <t>01753</t>
  </si>
  <si>
    <t>MERCADORIA REF NF 1310, CARREGAMENTO Nº 01721, CONTRATO: 0187/24 - SO. PLACA: XXX-9999, MOTORISTA: JOEL FLORENCO DE SOUZA. DESCONTO DE ANTECIPACAO.</t>
  </si>
  <si>
    <t>01721</t>
  </si>
  <si>
    <t>MERCADORIA REF NF 1328, CARREGAMENTO Nº 01740, CONTRATO: 0187/24 - SO. PLACA: XXX-9999, MOTORISTA: JOEL FLORENCO DE SOUZA. DESCONTO DE ANTECIPACAO.</t>
  </si>
  <si>
    <t>01740</t>
  </si>
  <si>
    <t>MERCADORIA REF NF /1344, CARREGAMENTO Nº 01755, CONTRATO: 0187/24 - SO. PLACA: XXX-9999, MOTORISTA: JOEL FLORENCO DE SOUZA. DESCONTO DE ANTECIPACAO.</t>
  </si>
  <si>
    <t>01755</t>
  </si>
  <si>
    <t>MERCADORIA REF NF /1348, CARREGAMENTO Nº 01764, CONTRATO: 0187/24 - SO. PLACA: XXX-9999, MOTORISTA: JOEL FLORENCO DE SOUZA. DESCONTO DE ANTECIPACAO.</t>
  </si>
  <si>
    <t>01764</t>
  </si>
  <si>
    <t>MERCADORIA REF NF /1354, CARREGAMENTO Nº 01766, CONTRATO: 0187/24 - SO. PLACA: XXX-9999, MOTORISTA: JOEL FLORENCO DE SOUZA. DESCONTO DE ANTECIPACAO.</t>
  </si>
  <si>
    <t>01766</t>
  </si>
  <si>
    <t>MERCADORIA REF NF 1359 PARCIAL, CARREGAMENTO Nº 01752, CONTRATO: 0187/24 - SO. PLACA: XXX-9999, MOTORISTA: JOEL FLORENCO DE SOUZA. DESCONTO DE ANTECIPACAO.</t>
  </si>
  <si>
    <t>01752</t>
  </si>
  <si>
    <t>DEVOLUCAO VALOR  NF 4.</t>
  </si>
  <si>
    <t xml:space="preserve"> BASE CORRETORA DE MERCADORIAS LTDA</t>
  </si>
  <si>
    <t>DESCONTO CONCEDIDO CONTRATO 187/24 - SO. FIZEMOS ANTECIPACAO DE RECEBIMENTO DO DIA 30/04 PARA 16/04.</t>
  </si>
  <si>
    <t>187/24 - SO</t>
  </si>
  <si>
    <t>CAPITAL DE GIRO CONTA GARANTIDA OPERACAO 713.915.169</t>
  </si>
  <si>
    <t>713.915.169</t>
  </si>
  <si>
    <t>MERCADORIA REF NF 1389 PARCIAL, CARREGAMENTO Nº 01768, CONTRATO: 0210/25 - SO. PLACA: XXX-9999, MOTORISTA: JOEL FLORENCO DE SOUZA</t>
  </si>
  <si>
    <t>01768</t>
  </si>
  <si>
    <t>MERCADORIA REF NF 1382/1416, CARREGAMENTO Nº 01778, CONTRATO: 0210/25 - SO. PLACA: XXX-9999, MOTORISTA: JOEL FLORENCO DE SOUZA</t>
  </si>
  <si>
    <t>01778</t>
  </si>
  <si>
    <t>MERCADORIA REF NF 1383/1417, CARREGAMENTO Nº 01779, CONTRATO: 0210/25 - SO. PLACA: XXX-9999, MOTORISTA: JOEL FLORENCO DE SOUZA</t>
  </si>
  <si>
    <t>01779</t>
  </si>
  <si>
    <t>MERCADORIA REF NF 1391, CARREGAMENTO Nº 01783, CONTRATO: 0210/25 - SO. PLACA: XXX-9999, MOTORISTA: JOEL FLORENCO DE SOUZA</t>
  </si>
  <si>
    <t>01783</t>
  </si>
  <si>
    <t>MERCADORIA REF NF /1314, CARREGAMENTO Nº 01728, CONTRATO: 0205/25 - SO. PLACA: XXX-9999, MOTORISTA: JOEL FLORENCO DE SOUZA</t>
  </si>
  <si>
    <t>01728</t>
  </si>
  <si>
    <t>MERCADORIA REF NF 1313/1376/1377, CARREGAMENTO Nº 01727, CONTRATO: 0205/25 - SO. PLACA: XXX-9999, MOTORISTA: JOEL FLORENCO DE SOUZA</t>
  </si>
  <si>
    <t>01727</t>
  </si>
  <si>
    <t>MERCADORIA REF NF /1323, CARREGAMENTO Nº 01738, CONTRATO: 0205/25 - SO. PLACA: XXX-9999, MOTORISTA: JOEL FLORENCO DE SOUZA</t>
  </si>
  <si>
    <t>01738</t>
  </si>
  <si>
    <t>MERCADORIA REF NF /1319, CARREGAMENTO Nº 01734, CONTRATO: 0205/25 - SO. PLACA: XXX-9999, MOTORISTA: JOEL FLORENCO DE SOUZA</t>
  </si>
  <si>
    <t>01734</t>
  </si>
  <si>
    <t>MERCADORIA REF NF /1315, CARREGAMENTO Nº 01729, CONTRATO: 0205/25 - SO. PLACA: XXX-9999, MOTORISTA: JOEL FLORENCO DE SOUZA</t>
  </si>
  <si>
    <t>01729</t>
  </si>
  <si>
    <t>MERCADORIA REF NF /1316, CARREGAMENTO Nº 01731, CONTRATO: 0205/25 - SO. PLACA: XXX-9999, MOTORISTA: JOEL FLORENCO DE SOUZA</t>
  </si>
  <si>
    <t>01731</t>
  </si>
  <si>
    <t>MERCADORIA REF NF /1286, CARREGAMENTO Nº 01699, CONTRATO: 0205/25 - SO. PLACA: XXX-9999, MOTORISTA: JOEL FLORENCO DE SOUZA. NF DEVOLUCAO 115246.</t>
  </si>
  <si>
    <t>01699</t>
  </si>
  <si>
    <t>MERCADORIA REF NF /1345, CARREGAMENTO Nº 01758, CONTRATO: 0205/25 - SO. PLACA: XXX-9999, MOTORISTA: JOEL FLORENCO DE SOUZA</t>
  </si>
  <si>
    <t>01758</t>
  </si>
  <si>
    <t>MERCADORIA REF NF /1364, CARREGAMENTO Nº 01713, CONTRATO: 0205/25 - SO. PLACA: XXX-9999, MOTORISTA: JOEL FLORENCO DE SOUZA</t>
  </si>
  <si>
    <t>01713</t>
  </si>
  <si>
    <t>MERCADORIA REF NF /1365, CARREGAMENTO Nº 01712, CONTRATO: 0205/25 - SO. PLACA: XXX-9999, MOTORISTA: JOEL FLORENCO DE SOUZA. NF DEVOLUCAO 115734 E 115735.</t>
  </si>
  <si>
    <t>01712</t>
  </si>
  <si>
    <t>MERCADORIA REF NF /1346, CARREGAMENTO Nº 01759, CONTRATO: 0205/25 - SO. PLACA: XXX-9999, MOTORISTA: JOEL FLORENCO DE SOUZA. NF DEVOLUCAO 115543.</t>
  </si>
  <si>
    <t>01759</t>
  </si>
  <si>
    <t>MERCADORIA REF NF 1361 PARCIAL, CARREGAMENTO Nº 01715, CONTRATO: 0205/25 - SO. PLACA: XXX-9999, MOTORISTA: JOEL FLORENCO DE SOUZA</t>
  </si>
  <si>
    <t>01715</t>
  </si>
  <si>
    <t>MERCADORIA REF NF /1285, CARREGAMENTO Nº 01698, CONTRATO: 0205/25 - SO. PLACA: XXX-9999, MOTORISTA: JOEL FLORENCO DE SOUZA. NF DEVOLUCAO 115483 E 115484.</t>
  </si>
  <si>
    <t>01698</t>
  </si>
  <si>
    <t>MERCADORIA REF NF 1261, CARREGAMENTO Nº 01675, CONTRATO: 0196/25 - SO. PLACA: 000-0000, MOTORISTA: LEANDRO WILDE</t>
  </si>
  <si>
    <t>01675</t>
  </si>
  <si>
    <t>MERCADORIA REF NF 1221, CARREGAMENTO Nº 01676, CONTRATO: 0196/25 - SO. PLACA: XXX-9999, MOTORISTA: JOEL FLORENCO DE SOUZA</t>
  </si>
  <si>
    <t>01676</t>
  </si>
  <si>
    <t>MERCADORIA REF NF 1309/1263, CARREGAMENTO Nº 01677, CONTRATO: 0196/25 - SO. PLACA: XXX-9999, MOTORISTA: JOEL FLORENCO DE SOUZA</t>
  </si>
  <si>
    <t>01677</t>
  </si>
  <si>
    <t>MERCADORIA REF NF 1308/1264, CARREGAMENTO Nº 01678, CONTRATO: 0196/25 - SO. PLACA: XXX-9999, MOTORISTA: JOEL FLORENCO DE SOUZA</t>
  </si>
  <si>
    <t>01678</t>
  </si>
  <si>
    <t>MERCADORIA REF NF 1307/1265, CARREGAMENTO Nº 01679, CONTRATO: 0196/25 - SO. PLACA: XXX-9999, MOTORISTA: JOEL FLORENCO DE SOUZA</t>
  </si>
  <si>
    <t>01679</t>
  </si>
  <si>
    <t>MERCADORIA REF NF /1266, CARREGAMENTO Nº 01680, CONTRATO: 0196/25 - SO. PLACA: XXX-9999, MOTORISTA: JOEL FLORENCO DE SOUZA</t>
  </si>
  <si>
    <t>01680</t>
  </si>
  <si>
    <t>MERCADORIA REF NF /1279, CARREGAMENTO Nº 01692, CONTRATO: 0196/25 - SO. PLACA: XXX-9999, MOTORISTA: JOEL FLORENCO DE SOUZA</t>
  </si>
  <si>
    <t>01692</t>
  </si>
  <si>
    <t>MERCADORIA REF NF /1281, CARREGAMENTO Nº 01694, CONTRATO: 0196/25 - SO. PLACA: XXX-9999, MOTORISTA: JOEL FLORENCO DE SOUZA</t>
  </si>
  <si>
    <t>01694</t>
  </si>
  <si>
    <t>MERCADORIA REF NF /1283, CARREGAMENTO Nº 01696, CONTRATO: 0196/25 - SO. PLACA: XXX-9999, MOTORISTA: JOEL FLORENCO DE SOUZA</t>
  </si>
  <si>
    <t>01696</t>
  </si>
  <si>
    <t>MERCADORIA REF NF /1282, CARREGAMENTO Nº 01695, CONTRATO: 0196/25 - SO. PLACA: XXX-9999, MOTORISTA: JOEL FLORENCO DE SOUZA</t>
  </si>
  <si>
    <t>01695</t>
  </si>
  <si>
    <t>MERCADORIA REF NF /1284, CARREGAMENTO Nº 01697, CONTRATO: 0196/25 - SO. PLACA: XXX-9999, MOTORISTA: JOEL FLORENCO DE SOUZA</t>
  </si>
  <si>
    <t>01697</t>
  </si>
  <si>
    <t>MERCADORIA REF NF /1280, CARREGAMENTO Nº 01693, CONTRATO: 0196/25 - SO. PLACA: XXX-9999, MOTORISTA: JOEL FLORENCO DE SOUZA</t>
  </si>
  <si>
    <t>01693</t>
  </si>
  <si>
    <t>MERCADORIA REF NF /1288, CARREGAMENTO Nº 01701, CONTRATO: 0196/25 - SO. PLACA: XXX-9999, MOTORISTA: JOEL FLORENCO DE SOUZA</t>
  </si>
  <si>
    <t>01701</t>
  </si>
  <si>
    <t>MERCADORIA REF NF 1287 PARCIAL, CARREGAMENTO Nº 01700, CONTRATO: 0196/25 - SO. PLACA: XXX-9999, MOTORISTA: JOEL FLORENCO DE SOUZA</t>
  </si>
  <si>
    <t>01700</t>
  </si>
  <si>
    <t>MERCADORIA REF NF 1287 PARCIAL, CARREGAMENTO Nº 01718, CONTRATO: 0191/25 - SO. PLACA: XXX-9999, MOTORISTA: JOEL FLORENCO DE SOUZA</t>
  </si>
  <si>
    <t>01718</t>
  </si>
  <si>
    <t>MERCADORIA REF NF 1405/1292, CARREGAMENTO Nº 01705, CONTRATO: 0191/25 - SO. PLACA: XXX-9999, MOTORISTA: JOEL FLORENCO DE SOUZA</t>
  </si>
  <si>
    <t>01705</t>
  </si>
  <si>
    <t>MERCADORIA REF NF /1289, CARREGAMENTO Nº 01702, CONTRATO: 0191/25 - SO. PLACA: XXX-9999, MOTORISTA: JOEL FLORENCO DE SOUZA</t>
  </si>
  <si>
    <t>01702</t>
  </si>
  <si>
    <t>MERCADORIA REF NF 1404/1356/1291, CARREGAMENTO Nº 01704, CONTRATO: 0191/25 - SO. PLACA: XXX-9999, MOTORISTA: JOEL FLORENCO DE SOUZA</t>
  </si>
  <si>
    <t>01704</t>
  </si>
  <si>
    <t>MERCADORIA REF NF 1403/1290, CARREGAMENTO Nº 01703, CONTRATO: 0191/25 - SO. PLACA: XXX-9999, MOTORISTA: JOEL FLORENCO DE SOUZA</t>
  </si>
  <si>
    <t>01703</t>
  </si>
  <si>
    <t>MERCADORIA REF NF 1361 PARCIAL, CARREGAMENTO Nº 01775, CONTRATO: 0191/25 - SO. PLACA: XXX-9999, MOTORISTA: JOEL FLORENCO DE SOUZA</t>
  </si>
  <si>
    <t>01775</t>
  </si>
  <si>
    <t>MERCADORIA REF NF /1362, CARREGAMENTO Nº 01714, CONTRATO: 0191/25 - SO. PLACA: XXX-9999, MOTORISTA: JOEL FLORENCO DE SOUZA. NF DEVOLUCAO 115819</t>
  </si>
  <si>
    <t>01714</t>
  </si>
  <si>
    <t>MERCADORIA REF NF /1389 PARCIAL, CARREGAMENTO Nº 01782, CONTRATO: 0191/25 - SO. PLACA: XXX-9999, MOTORISTA: JOEL FLORENCO DE SOUZA</t>
  </si>
  <si>
    <t>01782</t>
  </si>
  <si>
    <t>MERCADORIA REF NF 1272, CARREGAMENTO Nº 01685, CONTRATO: 0192/25 - SO. PLACA: XXX-9999, MOTORISTA: JOEL FLORENCO DE SOUZA</t>
  </si>
  <si>
    <t xml:space="preserve"> AMAGGI EXPORTACAO E IMPORTACAO LTDA</t>
  </si>
  <si>
    <t>01685</t>
  </si>
  <si>
    <t>MERCADORIA REF NF /1277, CARREGAMENTO Nº 01690, CONTRATO: 0192/25 - SO. PLACA: XXX-9999, MOTORISTA: JOEL FLORENCO DE SOUZA</t>
  </si>
  <si>
    <t>01690</t>
  </si>
  <si>
    <t>MERCADORIA REF NF /1276, CARREGAMENTO Nº 01689, CONTRATO: 0192/25 - SO. PLACA: XXX-9999, MOTORISTA: JOEL FLORENCO DE SOUZA</t>
  </si>
  <si>
    <t>01689</t>
  </si>
  <si>
    <t>MERCADORIA REF NF /1268, CARREGAMENTO Nº 01682, CONTRATO: 0192/25 - SO. PLACA: XXX-9999, MOTORISTA: JOEL FLORENCO DE SOUZA</t>
  </si>
  <si>
    <t>01682</t>
  </si>
  <si>
    <t>MERCADORIA REF NF /1274, CARREGAMENTO Nº 01687, CONTRATO: 0192/25 - SO. PLACA: XXX-9999, MOTORISTA: JOEL FLORENCO DE SOUZA</t>
  </si>
  <si>
    <t>01687</t>
  </si>
  <si>
    <t>MERCADORIA REF NF /1271, CARREGAMENTO Nº 01684, CONTRATO: 0192/25 - SO. PLACA: XXX-9999, MOTORISTA: JOEL FLORENCO DE SOUZA</t>
  </si>
  <si>
    <t>01684</t>
  </si>
  <si>
    <t>MERCADORIA REF NF /1273, CARREGAMENTO Nº 01686, CONTRATO: 0192/25 - SO. PLACA: XXX-9999, MOTORISTA: JOEL FLORENCO DE SOUZA</t>
  </si>
  <si>
    <t>01686</t>
  </si>
  <si>
    <t>MERCADORIA REF NF /1267, CARREGAMENTO Nº 01681, CONTRATO: 0192/25 - SO. PLACA: XXX-9999, MOTORISTA: JOEL FLORENCO DE SOUZA</t>
  </si>
  <si>
    <t>01681</t>
  </si>
  <si>
    <t>MERCADORIA REF NF 1340/1269, CARREGAMENTO Nº 01683, CONTRATO: 0192/25 - SO. PLACA: XXX-9999, MOTORISTA: JOEL FLORENCO DE SOUZA</t>
  </si>
  <si>
    <t>01683</t>
  </si>
  <si>
    <t>MERCADORIA REF NF /1278, CARREGAMENTO Nº 01691, CONTRATO: 0192/25 - SO. PLACA: XXX-9999, MOTORISTA: JOEL FLORENCO DE SOUZA</t>
  </si>
  <si>
    <t>01691</t>
  </si>
  <si>
    <t>MERCADORIA REF NF /1332, CARREGAMENTO Nº 01744, CONTRATO: 0192/25 - SO. PLACA: XXX-9999, MOTORISTA: JOEL FLORENCO DE SOUZA</t>
  </si>
  <si>
    <t>01744</t>
  </si>
  <si>
    <t>MERCADORIA REF NF 1380/1331, CARREGAMENTO Nº 01743, CONTRATO: 0192/25 - SO. PLACA: XXX-9999, MOTORISTA: JOEL FLORENCO DE SOUZA</t>
  </si>
  <si>
    <t>01743</t>
  </si>
  <si>
    <t>MERCADORIA REF NF 1275 PARCIAL, CARREGAMENTO Nº 01688, CONTRATO: 0192/25 - SO. PLACA: XXX-9999, MOTORISTA: JOEL FLORENCO DE SOUZA. VLR FISCAL R$ 40.965,69.</t>
  </si>
  <si>
    <t>01688</t>
  </si>
  <si>
    <t>MERCADORIA REF NF 1333 PARCIAL, CARREGAMENTO Nº 01745, CONTRATO: 0193/25 - SO. PLACA: XXX-9999, MOTORISTA: JOEL FLORENCO DE SOUZA. VALOR FISCAL CONTABILIZAR R$ 52.446,25.</t>
  </si>
  <si>
    <t>01745</t>
  </si>
  <si>
    <t>MERCADORIA REF NF /1334, CARREGAMENTO Nº 01746, CONTRATO: 0193/25 - SO. PLACA: XXX-9999, MOTORISTA: JOEL FLORENCO DE SOUZA</t>
  </si>
  <si>
    <t>01746</t>
  </si>
  <si>
    <t>MERCADORIA REF NF /1335, CARREGAMENTO Nº 01747, CONTRATO: 0193/25 - SO. PLACA: XXX-9999, MOTORISTA: JOEL FLORENCO DE SOUZA</t>
  </si>
  <si>
    <t>01747</t>
  </si>
  <si>
    <t>MERCADORIA REF NF 1336, CARREGAMENTO Nº 01748, CONTRATO: 0193/25 - SO. PLACA: XXX-9999, MOTORISTA: JOEL FLORENCO DE SOUZA</t>
  </si>
  <si>
    <t>01748</t>
  </si>
  <si>
    <t>MERCADORIA REF NF /1337, CARREGAMENTO Nº 01749, CONTRATO: 0193/25 - SO. PLACA: XXX-9999, MOTORISTA: JOEL FLORENCO DE SOUZA</t>
  </si>
  <si>
    <t>01749</t>
  </si>
  <si>
    <t>MERCADORIA REF NF /1338, CARREGAMENTO Nº 01750, CONTRATO: 0193/25 - SO. PLACA: XXX-9999, MOTORISTA: JOEL FLORENCO DE SOUZA</t>
  </si>
  <si>
    <t>01750</t>
  </si>
  <si>
    <t>MERCADORIA REF NF 1339/1381, CARREGAMENTO Nº 01751, CONTRATO: 0193/25 - SO. PLACA: XXX-9999, MOTORISTA: JOEL FLORENCO DE SOUZA</t>
  </si>
  <si>
    <t>01751</t>
  </si>
  <si>
    <t>MERCADORIA REF NF /1455, CARREGAMENTO Nº 01804, CONTRATO: 0206/25 - SO. PLACA: XXX-9999, MOTORISTA: JOEL FLORENCO DE SOUZA</t>
  </si>
  <si>
    <t xml:space="preserve"> AGRICOLA ALVORADA S.A.</t>
  </si>
  <si>
    <t>01804</t>
  </si>
  <si>
    <t>MERCADORIA REF NF /1455, CARREGAMENTO Nº 01805, CONTRATO: 0206/25 - SO. PLACA: XXX-9999, MOTORISTA: JOEL FLORENCO DE SOUZA</t>
  </si>
  <si>
    <t>01805</t>
  </si>
  <si>
    <t>MERCADORIA REF NF /1368, CARREGAMENTO Nº 01708, CONTRATO: 0206/25 - SO. PLACA: XXX-9999, MOTORISTA: JOEL FLORENCO DE SOUZA. NF DEVOLUCAO 7717.</t>
  </si>
  <si>
    <t>01708</t>
  </si>
  <si>
    <t>MERCADORIA REF NF 1438/1371, CARREGAMENTO Nº 01770, CONTRATO: 0206/25 - SO. PLACA: XXX-9999, MOTORISTA: JOEL FLORENCO DE SOUZA</t>
  </si>
  <si>
    <t>01770</t>
  </si>
  <si>
    <t>MERCADORIA REF NF 1438/1373, CARREGAMENTO Nº 01772, CONTRATO: 0206/25 - SO. PLACA: XXX-9999, MOTORISTA: JOEL FLORENCO DE SOUZA</t>
  </si>
  <si>
    <t>01772</t>
  </si>
  <si>
    <t>MERCADORIA REF NF /1367, CARREGAMENTO Nº 01707, CONTRATO: 0206/25 - SO. PLACA: XXX-9999, MOTORISTA: JOEL FLORENCO DE SOUZA. NF DEVOLUCAO 7717.</t>
  </si>
  <si>
    <t>01707</t>
  </si>
  <si>
    <t>MERCADORIA REF NF /1366, CARREGAMENTO Nº 01706, CONTRATO: 0206/25 - SO. PLACA: XXX-9999, MOTORISTA: JOEL FLORENCO DE SOUZA. NF DEVOLUCAO 7717.</t>
  </si>
  <si>
    <t>01706</t>
  </si>
  <si>
    <t>MERCADORIA REF NF /1374, CARREGAMENTO Nº 01773, CONTRATO: 0206/25 - SO. PLACA: XXX-9999, MOTORISTA: JOEL FLORENCO DE SOUZA. NF DEVOLUCAO 8106.</t>
  </si>
  <si>
    <t>01773</t>
  </si>
  <si>
    <t>MERCADORIA REF NF /1372, CARREGAMENTO Nº 01771, CONTRATO: 0206/25 - SO. PLACA: XXX-9999, MOTORISTA: JOEL FLORENCO DE SOUZA. NF DEVOLUCAO 8106.</t>
  </si>
  <si>
    <t>01771</t>
  </si>
  <si>
    <t>MERCADORIA REF NF 1422, CARREGAMENTO Nº 01829, CONTRATO: 0216/25 - SO. PLACA: XXX-9999, MOTORISTA: JOEL FLORENCO DE SOUZA</t>
  </si>
  <si>
    <t>01829</t>
  </si>
  <si>
    <t>MERCADORIA REF NF 1423, CARREGAMENTO Nº 01830, CONTRATO: 0216/25 - SO. PLACA: XXX-9999, MOTORISTA: JOEL FLORENCO DE SOUZA</t>
  </si>
  <si>
    <t>01830</t>
  </si>
  <si>
    <t>MERCADORIA REF NF 1424, CARREGAMENTO Nº 01831, CONTRATO: 0216/25 - SO. PLACA: XXX-9999, MOTORISTA: JOEL FLORENCO DE SOUZA</t>
  </si>
  <si>
    <t>01831</t>
  </si>
  <si>
    <t>MERCADORIA REF NF 1425, CARREGAMENTO Nº 01832, CONTRATO: 0206/25 - SO. PLACA: XXX-9999, MOTORISTA: JOEL FLORENCO DE SOUZA</t>
  </si>
  <si>
    <t>01832</t>
  </si>
  <si>
    <t>MERCADORIA REF NF 1426, CARREGAMENTO Nº 01834, CONTRATO: 0216/25 - SO. PLACA: XXX-9999, MOTORISTA: JOEL FLORENCO DE SOUZA</t>
  </si>
  <si>
    <t>01834</t>
  </si>
  <si>
    <t>MERCADORIA REF NF 1427, CARREGAMENTO Nº 01835, CONTRATO: 0216/25 - SO. PLACA: XXX-9999, MOTORISTA: JOEL FLORENCO DE SOUZA</t>
  </si>
  <si>
    <t>01835</t>
  </si>
  <si>
    <t>MERCADORIA REF NF 1428, CARREGAMENTO Nº 01836, CONTRATO: 0216/25 - SO. PLACA: XXX-9999, MOTORISTA: JOEL FLORENCO DE SOUZA</t>
  </si>
  <si>
    <t>01836</t>
  </si>
  <si>
    <t>MERCADORIA REF NF 1429, CARREGAMENTO Nº 01837, CONTRATO: 0216/25 - SO. PLACA: XXX-9999, MOTORISTA: JOEL FLORENCO DE SOUZA</t>
  </si>
  <si>
    <t>01837</t>
  </si>
  <si>
    <t>MERCADORIA REF NF 1430, CARREGAMENTO Nº 01838, CONTRATO: 0216/25 - SO. PLACA: XXX-9999, MOTORISTA: JOEL FLORENCO DE SOUZA</t>
  </si>
  <si>
    <t>01838</t>
  </si>
  <si>
    <t>MERCADORIA REF NF 1431, CARREGAMENTO Nº 01839, CONTRATO: 0216/25 - SO. PLACA: XXX-9999, MOTORISTA: JOEL FLORENCO DE SOUZA</t>
  </si>
  <si>
    <t>01839</t>
  </si>
  <si>
    <t>MERCADORIA REF NF 1432, CARREGAMENTO Nº 01840, CONTRATO: 0216/25 - SO. PLACA: XXX-9999, MOTORISTA: JOEL FLORENCO DE SOUZA</t>
  </si>
  <si>
    <t>01840</t>
  </si>
  <si>
    <t>MERCADORIA REF NF 1433, CARREGAMENTO Nº 01841, CONTRATO: 0216/25 - SO. PLACA: XXX-9999, MOTORISTA: JOEL FLORENCO DE SOUZA</t>
  </si>
  <si>
    <t>01841</t>
  </si>
  <si>
    <t>MERCADORIA REF NF 1434, CARREGAMENTO Nº 01842, CONTRATO: 0216/25 - SO. PLACA: XXX-9999, MOTORISTA: JOEL FLORENCO DE SOUZA</t>
  </si>
  <si>
    <t>01842</t>
  </si>
  <si>
    <t>MERCADORIA REF NF 1435, CARREGAMENTO Nº 01843, CONTRATO: 0216/25 - SO. PLACA: XXX-9999, MOTORISTA: JOEL FLORENCO DE SOUZA</t>
  </si>
  <si>
    <t>01843</t>
  </si>
  <si>
    <t>MERCADORIA REF NF 1436, CARREGAMENTO Nº 01844, CONTRATO: 0216/25 - SO. PLACA: XXX-9999, MOTORISTA: JOEL FLORENCO DE SOUZA</t>
  </si>
  <si>
    <t>01844</t>
  </si>
  <si>
    <t>MERCADORIA REF NF 1440, CARREGAMENTO Nº 01855, CONTRATO: 0216/25 - SO. PLACA: XXX-9999, MOTORISTA: JOEL FLORENCO DE SOUZA</t>
  </si>
  <si>
    <t>01855</t>
  </si>
  <si>
    <t>MERCADORIA REF NF 1441, CARREGAMENTO Nº 01856, CONTRATO: 0216/25 - SO. PLACA: XXX-9999, MOTORISTA: JOEL FLORENCO DE SOUZA</t>
  </si>
  <si>
    <t>01856</t>
  </si>
  <si>
    <t>MERCADORIA REF NF 1444, CARREGAMENTO Nº 01857, CONTRATO: 0216/25 - SO. PLACA: XXX-9999, MOTORISTA: JOEL FLORENCO DE SOUZA</t>
  </si>
  <si>
    <t>01857</t>
  </si>
  <si>
    <t>MERCADORIA REF NF 1443, CARREGAMENTO Nº 01858, CONTRATO: 0216/25 - SO. PLACA: XXX-9999, MOTORISTA: JOEL FLORENCO DE SOUZA</t>
  </si>
  <si>
    <t>01858</t>
  </si>
  <si>
    <t>MERCADORIA REF NF 1445, CARREGAMENTO Nº 01859, CONTRATO: 0216/25 - SO. PLACA: XXX-9999, MOTORISTA: JOEL FLORENCO DE SOUZA</t>
  </si>
  <si>
    <t>01859</t>
  </si>
  <si>
    <t>MERCADORIA REF NF 1446, CARREGAMENTO Nº 01865, CONTRATO: 0216/25 - SO. PLACA: XXX-9999, MOTORISTA: JOEL FLORENCO DE SOUZA</t>
  </si>
  <si>
    <t>01865</t>
  </si>
  <si>
    <t>MERCADORIA REF NF 1447, CARREGAMENTO Nº 01866, CONTRATO: 0216/25 - SO. PLACA: XXX-9999, MOTORISTA: JOEL FLORENCO DE SOUZA</t>
  </si>
  <si>
    <t>01866</t>
  </si>
  <si>
    <t>MERCADORIA REF NF 1449, CARREGAMENTO Nº 01868, CONTRATO: 0216/25 - SO. PLACA: XXX-9999, MOTORISTA: JOEL FLORENCO DE SOUZA</t>
  </si>
  <si>
    <t>01868</t>
  </si>
  <si>
    <t>MERCADORIA REF NF 1450, CARREGAMENTO Nº 01869, CONTRATO: 0216/25 - SO. PLACA: XXX-9999, MOTORISTA: JOEL FLORENCO DE SOUZA</t>
  </si>
  <si>
    <t>01869</t>
  </si>
  <si>
    <t>MERCADORIA REF NF 1451, CARREGAMENTO Nº 01871, CONTRATO: 0216/25 - SO. PLACA: XXX-9999, MOTORISTA: JOEL FLORENCO DE SOUZA</t>
  </si>
  <si>
    <t>01871</t>
  </si>
  <si>
    <t>MERCADORIA REF NF 1455, CARREGAMENTO Nº 01872, CONTRATO: 0206/25 - SO. PLACA: XXX-9999, MOTORISTA: JOEL FLORENCO DE SOUZA</t>
  </si>
  <si>
    <t>01872</t>
  </si>
  <si>
    <t>MERCADORIA REF NF 1455, CARREGAMENTO Nº 01710, CONTRATO: 0206/25 - SO. PLACA: XXX-9999, MOTORISTA: JOEL FLORENCO DE SOUZA</t>
  </si>
  <si>
    <t>01710</t>
  </si>
  <si>
    <t>MERCADORIA REF NF 1453, CARREGAMENTO Nº 01875, CONTRATO: 0216/25 - SO. PLACA: XXX-9999, MOTORISTA: JOEL FLORENCO DE SOUZA</t>
  </si>
  <si>
    <t>01875</t>
  </si>
  <si>
    <t>MERCADORIA REF NF 1454, CARREGAMENTO Nº 01876, CONTRATO: 0216/25 - SO. PLACA: XXX-9999, MOTORISTA: JOEL FLORENCO DE SOUZA</t>
  </si>
  <si>
    <t>01876</t>
  </si>
  <si>
    <t>MERCADORIA REF NF 1456, CARREGAMENTO Nº 01884, CONTRATO: 0216/25 - SO. PLACA: XXX-9999, MOTORISTA: JOEL FLORENCO DE SOUZA</t>
  </si>
  <si>
    <t>01884</t>
  </si>
  <si>
    <t>MERCADORIA REF NF 1458, CARREGAMENTO Nº 01887, CONTRATO: 0216/25 - SO. PLACA: XXX-9999, MOTORISTA: JOEL FLORENCO DE SOUZA</t>
  </si>
  <si>
    <t>01887</t>
  </si>
  <si>
    <t>MERCADORIA REF NF 1459, CARREGAMENTO Nº 01888, CONTRATO: 0216/25 - SO. PLACA: XXX-9999, MOTORISTA: JOEL FLORENCO DE SOUZA</t>
  </si>
  <si>
    <t>01888</t>
  </si>
  <si>
    <t>MERCADORIA REF NF 1460, CARREGAMENTO Nº 01889, CONTRATO: 0216/25 - SO. PLACA: XXX-9999, MOTORISTA: JOEL FLORENCO DE SOUZA</t>
  </si>
  <si>
    <t>01889</t>
  </si>
  <si>
    <t>MERCADORIA REF NF 1461, CARREGAMENTO Nº 01890, CONTRATO: 0216/25 - SO. PLACA: XXX-9999, MOTORISTA: JOEL FLORENCO DE SOUZA</t>
  </si>
  <si>
    <t>01890</t>
  </si>
  <si>
    <t>MERCADORIA REF NF 1462, CARREGAMENTO Nº 01891, CONTRATO: 0216/25 - SO. PLACA: XXX-9999, MOTORISTA: JOEL FLORENCO DE SOUZA</t>
  </si>
  <si>
    <t>01891</t>
  </si>
  <si>
    <t>MERCADORIA REF NF 1464, CARREGAMENTO Nº 01894, CONTRATO: 0216/25 - SO. PLACA: XXX-9999, MOTORISTA: JOEL FLORENCO DE SOUZA</t>
  </si>
  <si>
    <t>01894</t>
  </si>
  <si>
    <t>MERCADORIA REF NF 1465, CARREGAMENTO Nº 01897, CONTRATO: 0216/25 - SO. PLACA: XXX-9999, MOTORISTA: JOEL FLORENCO DE SOUZA</t>
  </si>
  <si>
    <t>01897</t>
  </si>
  <si>
    <t>MERCADORIA REF NF 1466, CARREGAMENTO Nº 01898, CONTRATO: 0216/25 - SO. PLACA: XXX-9999, MOTORISTA: JOEL FLORENCO DE SOUZA</t>
  </si>
  <si>
    <t>01898</t>
  </si>
  <si>
    <t>MERCADORIA REF NF 1467, CARREGAMENTO Nº 01901, CONTRATO: 0216/25 - SO. PLACA: XXX-9999, MOTORISTA: JOEL FLORENCO DE SOUZA</t>
  </si>
  <si>
    <t>01901</t>
  </si>
  <si>
    <t>INTEGRALIZACAO AUMENTO DE CAPITAL.</t>
  </si>
  <si>
    <t xml:space="preserve"> MARCIA MORATELLI</t>
  </si>
  <si>
    <t>INTEGRALIZACAO DE CAPITAL</t>
  </si>
  <si>
    <t>MERCADORIA REF NF /1304, CARREGAMENTO Nº 01717, CONTRATO: 0188/24 - SO. PLACA: XXX-9999, MOTORISTA: JOEL FLORENCO DE SOUZA</t>
  </si>
  <si>
    <t>01717</t>
  </si>
  <si>
    <t>MERCADORIA REF NF /1317, CARREGAMENTO Nº 01732, CONTRATO: 0188/24 - SO. PLACA: XXX-9999, MOTORISTA: JOEL FLORENCO DE SOUZA</t>
  </si>
  <si>
    <t>01732</t>
  </si>
  <si>
    <t>MERCADORIA REF NF /1318, CARREGAMENTO Nº 01733, CONTRATO: 0188/24 - SO. PLACA: XXX-9999, MOTORISTA: JOEL FLORENCO DE SOUZA</t>
  </si>
  <si>
    <t>01733</t>
  </si>
  <si>
    <t>MERCADORIA REF NF 1320 PARCIAL, CARREGAMENTO Nº 01735, CONTRATO: 0188/24 - SO. PLACA: XXX-9999, MOTORISTA: JOEL FLORENCO DE SOUZA</t>
  </si>
  <si>
    <t>01735</t>
  </si>
  <si>
    <t>MERCADORIA REF NF /1311, CARREGAMENTO Nº 01722, CONTRATO: 0188/24 - SO. PLACA: XXX-9999, MOTORISTA: JOEL FLORENCO DE SOUZA</t>
  </si>
  <si>
    <t>01722</t>
  </si>
  <si>
    <t>MERCADORIA REF NF /1312, CARREGAMENTO Nº 01725, CONTRATO: 0188/24 - SO. PLACA: XXX-9999, MOTORISTA: JOEL FLORENCO DE SOUZA</t>
  </si>
  <si>
    <t>01725</t>
  </si>
  <si>
    <t>MERCADORIA REF NF 1479/1303, CARREGAMENTO Nº 01716, CONTRATO: 0188/24 - SO. PLACA: XXX-9999, MOTORISTA: JOEL FLORENCO DE SOUZA</t>
  </si>
  <si>
    <t>01716</t>
  </si>
  <si>
    <t>TRANSFERENCIA CONTA BTG</t>
  </si>
  <si>
    <t>LIQUIDAÇÃO NDF OPERACAO 3.003.150</t>
  </si>
  <si>
    <t>3003150</t>
  </si>
  <si>
    <t>LIQUIDACAO NDF OPERACA 3.010.575</t>
  </si>
  <si>
    <t>3010575</t>
  </si>
  <si>
    <t>APLICACAO BB RF LP Corp Bancos</t>
  </si>
  <si>
    <t>MERCADORIA REF NF 1457, CARREGAMENTO Nº 01885 E 01886, CONTRATO: 0216/25 - SO. PLACA: XXX-9999, MOTORISTA: JOEL FLORENCO DE SOUZA. FATURA Nº 00077 REF. DOCUMENTOS: 01886, 01885.</t>
  </si>
  <si>
    <t>01886</t>
  </si>
  <si>
    <t>04/2024</t>
  </si>
  <si>
    <t>ADIANTAMENTO PARA PAGAMENTO ARMAZENAGEM MILHO/2024 DATA PGTO 19/07/2024. ENCONTRO DE CONTAS COM VALOR A PAGAR SOJA 2023</t>
  </si>
  <si>
    <t xml:space="preserve"> SILVIO CESAR VERDELIO E OUTRO</t>
  </si>
  <si>
    <t>MERCADORIA REF NF /1389, CARREGAMENTO Nº 01782, CONTRATO: 0191/25 - SO. PLACA: XXX-9999, MOTORISTA: JOEL FLORENCO DE SOUZA</t>
  </si>
  <si>
    <t>MERCADORIA REF NF , CARREGAMENTO Nº 01913, CONTRATO: 0220/25 - SO. PLACA: XXX-9999, MOTORISTA: JOEL FLORENCO DE SOUZA. EXTRATO AGRICOLA ALVORADA. Cessao de credito do contrato 4600067483/2025 de compra e venda realizada entre Silvio Verdelio e Agricola Al</t>
  </si>
  <si>
    <t>01913</t>
  </si>
  <si>
    <t>MERCADORIA REF NF , CARREGAMENTO Nº 01912, CONTRATO: 0220/25 - SO. PLACA: XXX-9999, MOTORISTA: JOEL FLORENCO DE SOUZA. EXTRATO AGRICOLA ALVORADA. Cessao de credito do contrato 4600067483/2025 de compra e venda realizada entre Silvio Verdelio e Agricola Al</t>
  </si>
  <si>
    <t>01912</t>
  </si>
  <si>
    <t>MERCADORIA REF NF , CARREGAMENTO Nº 01914, CONTRATO: 0220/25 - SO. PLACA: XXX-9999, MOTORISTA: JOEL FLORENCO DE SOUZA. EXTRATO AGRICOLA ALVORADA Cessao de credito do contrato 4600067483/2025 de compra e venda realizada entre Silvio Verdelio e Agricola Alv</t>
  </si>
  <si>
    <t>01914</t>
  </si>
  <si>
    <t>MERCADORIA REF NF 1320, CARREGAMENTO Nº 01735, CONTRATO: 0188/24 - SO. PLACA: XXX-9999, MOTORISTA: JOEL FLORENCO DE SOUZA</t>
  </si>
  <si>
    <t>MERCADORIA REF NF 1463, CARREGAMENTO Nº 01892, CONTRATO: 0216/25 - SO. PLACA: XXX-9999, MOTORISTA: JOEL FLORENCO DE SOUZA</t>
  </si>
  <si>
    <t>01892</t>
  </si>
  <si>
    <t>MERCADORIA REF NF 1468, CARREGAMENTO Nº 01904, CONTRATO: 0216/25 - SO. PLACA: XXX-9999, MOTORISTA: JOEL FLORENCO DE SOUZA</t>
  </si>
  <si>
    <t>01904</t>
  </si>
  <si>
    <t>MERCADORIA REF NF 1469, CARREGAMENTO Nº 01905, CONTRATO: 0216/25 - SO. PLACA: XXX-9999, MOTORISTA: JOEL FLORENCO DE SOUZA</t>
  </si>
  <si>
    <t>01905</t>
  </si>
  <si>
    <t>MERCADORIA REF NF 1474, CARREGAMENTO Nº 01906, CONTRATO: 0216/25 - SO. PLACA: XXX-9999, MOTORISTA: JOEL FLORENCO DE SOUZA</t>
  </si>
  <si>
    <t>01906</t>
  </si>
  <si>
    <t>MERCADORIA REF NF 1477, CARREGAMENTO Nº 01907, CONTRATO: 0216/25 - SO. PLACA: XXX-9999, MOTORISTA: JOEL FLORENCO DE SOUZA</t>
  </si>
  <si>
    <t>01907</t>
  </si>
  <si>
    <t>MERCADORIA REF NF 1472, CARREGAMENTO Nº 01908, CONTRATO: 0218/25 - SO. PLACA: XXX-9999, MOTORISTA: JOEL FLORENCO DE SOUZA</t>
  </si>
  <si>
    <t xml:space="preserve"> BTG PACTUAL COMMODITIES SERTRADING S.A.</t>
  </si>
  <si>
    <t>01908</t>
  </si>
  <si>
    <t>MERCADORIA REF NF 1473, CARREGAMENTO Nº 01909, CONTRATO: 0218/25 - SO. PLACA: XXX-9999, MOTORISTA: JOEL FLORENCO DE SOUZA</t>
  </si>
  <si>
    <t>01909</t>
  </si>
  <si>
    <t>MERCADORIA REF NF 1478, CARREGAMENTO Nº 01910, CONTRATO: 0218/25 - SO. PLACA: XXX-9999, MOTORISTA: JOEL FLORENCO DE SOUZA</t>
  </si>
  <si>
    <t>01910</t>
  </si>
  <si>
    <t>MERCADORIA REF NF 1480, CARREGAMENTO Nº 01911, CONTRATO: 0218/25 - SO. PLACA: XXX-9999, MOTORISTA: JOEL FLORENCO DE SOUZA</t>
  </si>
  <si>
    <t>01911</t>
  </si>
  <si>
    <t>MERCADORIA REF NF 1481, CARREGAMENTO Nº 01915, CONTRATO: 0218/25 - SO. PLACA: XXX-9999, MOTORISTA: JOEL FLORENCO DE SOUZA</t>
  </si>
  <si>
    <t>01915</t>
  </si>
  <si>
    <t>MERCADORIA REF NF 1482, CARREGAMENTO Nº 01916, CONTRATO: 0218/25 - SO. PLACA: XXX-9999, MOTORISTA: JOEL FLORENCO DE SOUZA</t>
  </si>
  <si>
    <t>01916</t>
  </si>
  <si>
    <t>MERCADORIA REF NF 1483, CARREGAMENTO Nº 01917, CONTRATO: 0218/25 - SO. PLACA: XXX-9999, MOTORISTA: JOEL FLORENCO DE SOUZA</t>
  </si>
  <si>
    <t>01917</t>
  </si>
  <si>
    <t>MERCADORIA REF NF 1484, CARREGAMENTO Nº 01918, CONTRATO: 0218/25 - SO. PLACA: XXX-9999, MOTORISTA: JOEL FLORENCO DE SOUZA</t>
  </si>
  <si>
    <t>01918</t>
  </si>
  <si>
    <t>MERCADORIA REF NF 1485, CARREGAMENTO Nº 01921, CONTRATO: 0218/25 - SO. PLACA: XXX-9999, MOTORISTA: JOEL FLORENCO DE SOUZA</t>
  </si>
  <si>
    <t>01921</t>
  </si>
  <si>
    <t>MERCADORIA REF NF 1486, CARREGAMENTO Nº 01920, CONTRATO: 0218/25 - SO. PLACA: RWT-0J41, MOTORISTA: MARCILIO NUNES BATISTA</t>
  </si>
  <si>
    <t>01920</t>
  </si>
  <si>
    <t>MERCADORIA REF NF 1487, CARREGAMENTO Nº 01923, CONTRATO: 0218/25 - SO. PLACA: XXX-9999, MOTORISTA: JOEL FLORENCO DE SOUZA</t>
  </si>
  <si>
    <t>01923</t>
  </si>
  <si>
    <t>MERCADORIA REF NF 1488, CARREGAMENTO Nº 01924, CONTRATO: 0218/25 - SO. PLACA: XXX-9999, MOTORISTA: JOEL FLORENCO DE SOUZA</t>
  </si>
  <si>
    <t>01924</t>
  </si>
  <si>
    <t>MERCADORIA REF NF 1489, CARREGAMENTO Nº 01937, CONTRATO: 0218/25 - SO. PLACA: XXX-9999, MOTORISTA: JOEL FLORENCO DE SOUZA</t>
  </si>
  <si>
    <t>01937</t>
  </si>
  <si>
    <t>MERCADORIA REF NF 1789, CARREGAMENTO Nº 01938, CONTRATO: 0218/25 - SO. PLACA: XXX-9999, MOTORISTA: JOEL FLORENCO DE SOUZA</t>
  </si>
  <si>
    <t>01938</t>
  </si>
  <si>
    <t>TRANSFERENCIA DO BTG PARA BB</t>
  </si>
  <si>
    <t>CREDITO REEMBOLSO SINISTRO NF 1453.</t>
  </si>
  <si>
    <t xml:space="preserve"> JCL JANDOTTI TRANSPORTES E LOGISTICA LTDA</t>
  </si>
  <si>
    <t>RENDIMENTO APLICACAO.</t>
  </si>
  <si>
    <t>ENTRADA</t>
  </si>
  <si>
    <t>MERCADORIA REF NF 1275/1333 PARCIAL, CARREGAMENTO Nº 01711, CONTRATO: 0207/25 - SO. PLACA: XXX-9999, MOTORISTA: JOEL FLORENCO DE SOUZA</t>
  </si>
  <si>
    <t>01711</t>
  </si>
  <si>
    <t>31/07/025 VALOR RECEBIDO CONFORME ACERTO ARQUIVO  SALVO D:\Rede_SM\Agro_Xingu\2025. ORIGEM VALOR A RECEBER ACERTO AGRO XINGU PLAN 2024_Fechamento_SojaAvariado_acerto3_setembro_2024.</t>
  </si>
  <si>
    <t>31/07/2025 RECEBIDO EMPRESTIMO 28/10/2024, CONFORME AJUSTE ACERTO ARQUIVO 2025_Fechamento_final_25072025 SALVO D:\Rede_SM\Agro_Xingu/2025.</t>
  </si>
  <si>
    <t>31/07/2025 RECEBIDO EMPRESTIMO 01/04/2025 AVAL SICOOB. LANCADO NEROWILLIAN BAIXA CTE. CONFORME AJUSTE ACERTO ARQUIVO 2025_Fechamento_final_25072025 ARQUIVADO D:\Rede_SM\Agro_Xingu/2025.</t>
  </si>
  <si>
    <t>31/07/2025 RECEBIDO EMPRESTIMO 01/04/2025 AVAL SICOOB. LANCADO CONTRATO 0211/25 - SO SILVIO VALOR MERCADORIA. CONFORME AJUSTE ACERTO ARQUIVO 2025_Fechamento_final_25072025 SALVO D:\Rede_SM\Agro_Xingu/2025.</t>
  </si>
  <si>
    <t>31/072025 RECEBIMENTO PREJUIZO CONTRATO 0217/25 - SO DIEGO. CONFORME AJUSTE ACERTO ARQUIVO 2025_Fechamento_final_25072025 SALVO D:\Rede_SM\Agro_Xingu/2025.</t>
  </si>
  <si>
    <t>REVERTIDO PARA LUCRO VALOR RECEBIDO REFERENTE A COMISSÃO CORRETOR, CONTRATO COMPRA: 0177/24 - SO.</t>
  </si>
  <si>
    <t>RENDIMENTO APLCIACAO</t>
  </si>
  <si>
    <t xml:space="preserve"> Rest. Tributos Rec. Fed.</t>
  </si>
  <si>
    <t xml:space="preserve"> MINISTERIO DA FAZENDA</t>
  </si>
  <si>
    <t>MERCADORIA REF NF 1522, CARREGAMENTO Nº 02052, CONTRATO: 0231/25 - CS. PLACA: XXX-9999, MOTORISTA: JOEL FLORENCO DE SOUZA</t>
  </si>
  <si>
    <t xml:space="preserve"> JOSE EDUARDO MUFFATO E OUTROS</t>
  </si>
  <si>
    <t>02052</t>
  </si>
  <si>
    <t>MERCADORIA REF NF 1523, CARREGAMENTO Nº 02053, CONTRATO: 0231/25 - CS. PLACA: XXX-9999, MOTORISTA: JOEL FLORENCO DE SOUZA</t>
  </si>
  <si>
    <t>02053</t>
  </si>
  <si>
    <t>MERCADORIA REF NF 1493, CARREGAMENTO Nº 01950, CONTRATO: 0226/25 - MP. PLACA: LWH-9454, MOTORISTA: JOAO ATALIBIO SOARES</t>
  </si>
  <si>
    <t>01950</t>
  </si>
  <si>
    <t>MERCADORIA REF NF 1494, CARREGAMENTO Nº 01952, CONTRATO: 0226/25 - MP. PLACA: JCR-4E60, MOTORISTA: JURANDIR OLIVEIRA RODRIGUES</t>
  </si>
  <si>
    <t>01952</t>
  </si>
  <si>
    <t>MERCADORIA REF NF 1525, CARREGAMENTO Nº 02055, CONTRATO: 0231/25 - CS. PLACA: XXX-9999, MOTORISTA: JOEL FLORENCO DE SOUZA</t>
  </si>
  <si>
    <t>02055</t>
  </si>
  <si>
    <t>MERCADORIA REF NF 1495, CARREGAMENTO Nº 01958, CONTRATO: 0226/25 - MP. PLACA: AOT-6G27, MOTORISTA: ARI INACIO DAHLEM</t>
  </si>
  <si>
    <t>01958</t>
  </si>
  <si>
    <t>MERCADORIA REF NF 1498, CARREGAMENTO Nº 01966, CONTRATO: 0226/25 - MP. PLACA: JCR-4E60, MOTORISTA: JURANDIR OLIVEIRA RODRIGUES</t>
  </si>
  <si>
    <t>01966</t>
  </si>
  <si>
    <t>MERCADORIA REF NF 1499, CARREGAMENTO Nº 01968, CONTRATO: 0226/25 - MP. PLACA: PRR-4I58, MOTORISTA: ELIAS MIGUEL ALVES</t>
  </si>
  <si>
    <t>01968</t>
  </si>
  <si>
    <t>MERCADORIA REF NF 1500, CARREGAMENTO Nº 01970, CONTRATO: 0226/25 - MP. PLACA: ATG-9C29, MOTORISTA: RENATO BRAGA PEREIRA</t>
  </si>
  <si>
    <t>01970</t>
  </si>
  <si>
    <t>MERCADORIA REF NF 1501, CARREGAMENTO Nº 01973, CONTRATO: 0226/25 - MP. PLACA: JCR-4E60, MOTORISTA: JURANDIR OLIVEIRA RODRIGUES</t>
  </si>
  <si>
    <t>01973</t>
  </si>
  <si>
    <t>MERCADORIA REF NF 1502, CARREGAMENTO Nº 01972, CONTRATO: 0226/25 - MP. PLACA: PJR-0J65, MOTORISTA: CRISTIANO FONTES DA SILVA</t>
  </si>
  <si>
    <t>01972</t>
  </si>
  <si>
    <t>MERCADORIA REF NF 1503, CARREGAMENTO Nº 01977, CONTRATO: 0226/25 - MP. PLACA: SJX-4H77, MOTORISTA: JOAO SANTANA DE SUOZA FILHO</t>
  </si>
  <si>
    <t>01977</t>
  </si>
  <si>
    <t>MERCADORIA REF NF 1507, CARREGAMENTO Nº 01979, CONTRATO: 0226/25 - MP. PLACA: LYC-9H54, MOTORISTA: JAIME KRIESE</t>
  </si>
  <si>
    <t>01979</t>
  </si>
  <si>
    <t>MERCADORIA REF NF 1508, CARREGAMENTO Nº 01981, CONTRATO: 0226/25 - MP. PLACA: OBL-1B90, MOTORISTA: BRUNNO DAMACENA PEREIRA</t>
  </si>
  <si>
    <t>01981</t>
  </si>
  <si>
    <t>MERCADORIA REF NF 1509, CARREGAMENTO Nº 01983, CONTRATO: 0226/25 - MP. PLACA: JCR-4E60, MOTORISTA: JURANDIR OLIVEIRA RODRIGUES</t>
  </si>
  <si>
    <t>01983</t>
  </si>
  <si>
    <t>MERCADORIA REF NF 1510, CARREGAMENTO Nº 01985, CONTRATO: 0226/25 - MP. PLACA: IKY-0H92, MOTORISTA: NEURO CIVARDI</t>
  </si>
  <si>
    <t>01985</t>
  </si>
  <si>
    <t>MERCADORIA REF NF 1524, CARREGAMENTO Nº 02054, CONTRATO: 0231/25 - CS. PLACA: XXX-9999, MOTORISTA: JOEL FLORENCO DE SOUZA</t>
  </si>
  <si>
    <t>02054</t>
  </si>
  <si>
    <t>RENDIMENTO APLCACAO</t>
  </si>
  <si>
    <t>MERCADORIA REF NF 1538, CARREGAMENTO Nº 02131, CONTRATO: 0236/25 - SO. PLACA: XXX-9999, MOTORISTA: JOEL FLORENCO DE SOUZA</t>
  </si>
  <si>
    <t xml:space="preserve"> PLANTA BRASIL AGRONEGOCIOS LTDA</t>
  </si>
  <si>
    <t>02131</t>
  </si>
  <si>
    <t>MERCADORIA REF NF 1539, CARREGAMENTO Nº 02132, CONTRATO: 0236/25 - SO. PLACA: XXX-9999, MOTORISTA: JOEL FLORENCO DE SOUZA</t>
  </si>
  <si>
    <t>02132</t>
  </si>
  <si>
    <t>MERCADORIA REF NF 1540, CARREGAMENTO Nº 02133, CONTRATO: 0236/25 - SO. PLACA: XXX-9999, MOTORISTA: JOEL FLORENCO DE SOUZA</t>
  </si>
  <si>
    <t>02133</t>
  </si>
  <si>
    <t>MERCADORIA REF NF 1541, CARREGAMENTO Nº 02135, CONTRATO: 0236/25 - SO. PLACA: XXX-9999, MOTORISTA: JOEL FLORENCO DE SOUZA</t>
  </si>
  <si>
    <t>02135</t>
  </si>
  <si>
    <t>MERCADORIA REF NF 1542, CARREGAMENTO Nº 02136, CONTRATO: 0236/25 - SO. PLACA: XXX-9999, MOTORISTA: JOEL FLORENCO DE SOUZA</t>
  </si>
  <si>
    <t>02136</t>
  </si>
  <si>
    <t>MERCADORIA REF NF 1543, CARREGAMENTO Nº 02137, CONTRATO: 0236/25 - SO. PLACA: XXX-9999, MOTORISTA: JOEL FLORENCO DE SOUZA</t>
  </si>
  <si>
    <t>02137</t>
  </si>
  <si>
    <t>MERCADORIA REF NF 1544, CARREGAMENTO Nº 02138, CONTRATO: 0238/25 - SO. PLACA: XXX-9999, MOTORISTA: JOEL FLORENCO DE SOUZA</t>
  </si>
  <si>
    <t>02138</t>
  </si>
  <si>
    <t>MERCADORIA REF NF 1545, CARREGAMENTO Nº 02139, CONTRATO: 0238/25 - SO. PLACA: XXX-9999, MOTORISTA: JOEL FLORENCO DE SOUZA</t>
  </si>
  <si>
    <t>02139</t>
  </si>
  <si>
    <t>MERCADORIA REF NF 1546, CARREGAMENTO Nº 02142, CONTRATO: 0238/25 - SO. PLACA: XXX-9999, MOTORISTA: JOEL FLORENCO DE SOUZA</t>
  </si>
  <si>
    <t>02142</t>
  </si>
  <si>
    <t>MERCADORIA REF NF 1547, CARREGAMENTO Nº 02145, CONTRATO: 0238/25 - SO. PLACA: XXX-9999, MOTORISTA: JOEL FLORENCO DE SOUZA</t>
  </si>
  <si>
    <t>02145</t>
  </si>
  <si>
    <t>MERCADORIA REF NF 1516, CARREGAMENTO Nº 02026, CONTRATO: 0228/25 - FC. PLACA: RXP-8H18, MOTORISTA: ALESSANDRO FUJITA</t>
  </si>
  <si>
    <t>02026</t>
  </si>
  <si>
    <t>MERCADORIA REF NF 1526, CARREGAMENTO Nº 02081, CONTRATO: 0234/25 - SO. PLACA: XXX-9999, MOTORISTA: JOEL FLORENCO DE SOUZA</t>
  </si>
  <si>
    <t>02081</t>
  </si>
  <si>
    <t>MERCADORIA REF NF 1527, CARREGAMENTO Nº 02085, CONTRATO: 0234/25 - SO. PLACA: XXX-9999, MOTORISTA: JOEL FLORENCO DE SOUZA</t>
  </si>
  <si>
    <t>02085</t>
  </si>
  <si>
    <t>MERCADORIA REF NF 1528, CARREGAMENTO Nº 02087, CONTRATO: 0234/25 - SO. PLACA: XXX-9999, MOTORISTA: JOEL FLORENCO DE SOUZA</t>
  </si>
  <si>
    <t>02087</t>
  </si>
  <si>
    <t>MERCADORIA REF NF 1529, CARREGAMENTO Nº 02089, CONTRATO: 0234/25 - SO. PLACA: XXX-9999, MOTORISTA: JOEL FLORENCO DE SOUZA</t>
  </si>
  <si>
    <t>02089</t>
  </si>
  <si>
    <t>MERCADORIA REF NF 1530, CARREGAMENTO Nº 02091, CONTRATO: 0234/25 - SO. PLACA: XXX-9999, MOTORISTA: JOEL FLORENCO DE SOUZA</t>
  </si>
  <si>
    <t>02091</t>
  </si>
  <si>
    <t>MERCADORIA REF NF 1531, CARREGAMENTO Nº 02093, CONTRATO: 0234/25 - SO. PLACA: XXX-9999, MOTORISTA: JOEL FLORENCO DE SOUZA</t>
  </si>
  <si>
    <t>02093</t>
  </si>
  <si>
    <t>MERCADORIA REF NF 1532, CARREGAMENTO Nº 02095, CONTRATO: 0234/25 - SO. PLACA: XXX-9999, MOTORISTA: JOEL FLORENCO DE SOUZA</t>
  </si>
  <si>
    <t>02095</t>
  </si>
  <si>
    <t>MERCADORIA REF NF 1533, CARREGAMENTO Nº 02098, CONTRATO: 0234/25 - SO. PLACA: XXX-9999, MOTORISTA: JOEL FLORENCO DE SOUZA</t>
  </si>
  <si>
    <t>02098</t>
  </si>
  <si>
    <t>MERCADORIA REF NF 1534, CARREGAMENTO Nº 02100, CONTRATO: 0234/25 - SO. PLACA: XXX-9999, MOTORISTA: JOEL FLORENCO DE SOUZA</t>
  </si>
  <si>
    <t>02100</t>
  </si>
  <si>
    <t>MERCADORIA REF NF 1535, CARREGAMENTO Nº 02102, CONTRATO: 0234/25 - SO. PLACA: XXX-9999, MOTORISTA: JOEL FLORENCO DE SOUZA</t>
  </si>
  <si>
    <t>02102</t>
  </si>
  <si>
    <t>MERCADORIA REF NF 1536, CARREGAMENTO Nº 02104, CONTRATO: 0234/25 - SO. PLACA: XXX-9999, MOTORISTA: JOEL FLORENCO DE SOUZA</t>
  </si>
  <si>
    <t>02104</t>
  </si>
  <si>
    <t>MERCADORIA REF NF 1549, CARREGAMENTO Nº 02147, CONTRATO: 0238/25 - SO. PLACA: XXX-9999, MOTORISTA: JOEL FLORENCO DE SOUZA</t>
  </si>
  <si>
    <t>02147</t>
  </si>
  <si>
    <t>MERCADORIA REF NF 1548, CARREGAMENTO Nº 02146, CONTRATO: 0238/25 - SO. PLACA: XXX-9999, MOTORISTA: JOEL FLORENCO DE SOUZA</t>
  </si>
  <si>
    <t>02146</t>
  </si>
  <si>
    <t>RENDIMENTO APICACAO</t>
  </si>
  <si>
    <t>MERCADORIA REF NF 1550, CARREGAMENTO Nº 02148, CONTRATO: 0239/25 - CA. PLACA: XXX-9999, MOTORISTA: JOEL FLORENCO DE SOUZA</t>
  </si>
  <si>
    <t>02148</t>
  </si>
  <si>
    <t>MERCADORIA REF NF 1551, CARREGAMENTO Nº 02151, CONTRATO: 0239/25 - CA. PLACA: QAU-2046, MOTORISTA: JOAO ANTONIO MARTINS DE GOES</t>
  </si>
  <si>
    <t>02151</t>
  </si>
  <si>
    <t>MERCADORIA REF NF 1552, CARREGAMENTO Nº 02153, CONTRATO: 0239/25 - CA. PLACA: JBN-5B89, MOTORISTA: SEDINEI DE LIMA</t>
  </si>
  <si>
    <t>02153</t>
  </si>
  <si>
    <t>MERCADORIA REF NF 1553, CARREGAMENTO Nº 02155, CONTRATO: 0239/25 - CA. PLACA: NUB-3J64, MOTORISTA: VALDEMAR JOSE FERREIRA</t>
  </si>
  <si>
    <t>02155</t>
  </si>
  <si>
    <t>MERCADORIA REF NF 1554, CARREGAMENTO Nº 02157, CONTRATO: 0239/25 - CA. PLACA: RYR-1A81, MOTORISTA: NELSON CARVALHO</t>
  </si>
  <si>
    <t>02157</t>
  </si>
  <si>
    <t>MERCADORIA CARREGAMENTO Nº 02170, CONTRATO: 0240/25 - MI. PLACA: XXX-9999</t>
  </si>
  <si>
    <t>02170</t>
  </si>
  <si>
    <t>RENDIMETNO APLICACA</t>
  </si>
  <si>
    <t>OC 1663, 1661, 1664, 1666. REVERTIDO LUCRO, NAO RECEBEMOS FATURA COBRANCO O VALOR</t>
  </si>
  <si>
    <t>MERCADORIA REF NF 1555, CARREGAMENTO Nº 02159, CONTRATO: 0239/25 - CA. PLACA: MZJ-8A27, MOTORISTA: SIMAO BARROO DE ARAUJO</t>
  </si>
  <si>
    <t>02159</t>
  </si>
  <si>
    <t>MERCADORIA REF NF 1556, CARREGAMENTO Nº 02162, CONTRATO: 0239/25 - CA. PLACA: SPQ-0E98, MOTORISTA: MAURICIO ARRUDA BARROS MAFFEI</t>
  </si>
  <si>
    <t>02162</t>
  </si>
  <si>
    <t>MERCADORIA REF NF 1557, CARREGAMENTO Nº 02165, CONTRATO: 0239/25 - CA. PLACA: QJR-5J57, MOTORISTA: ALCINEY SILVA DOS SANTOS</t>
  </si>
  <si>
    <t>02165</t>
  </si>
  <si>
    <t>MERCADORIA REF NF 1558, CARREGAMENTO Nº 02166, CONTRATO: 0239/25 - CA. PLACA: JCB-0C85, MOTORISTA: MARCELO REZENDE CUNHA</t>
  </si>
  <si>
    <t>02166</t>
  </si>
  <si>
    <t>MERCADORIA REF NF 1559, CARREGAMENTO Nº 02171, CONTRATO: 0239/25 - CA. PLACA: SLH-1H78, MOTORISTA: TIAGO FERNANDES COELHO</t>
  </si>
  <si>
    <t>02171</t>
  </si>
  <si>
    <t>LIQUIDACAO NDF 3044261</t>
  </si>
  <si>
    <t>3044261</t>
  </si>
  <si>
    <t>MERCADORIA REF NF 1560, CARREGAMENTO Nº 02172, CONTRATO: 0239/25 - CA. PLACA: SLK-8J20, MOTORISTA: LEANDRO GOMES COELHO</t>
  </si>
  <si>
    <t>02172</t>
  </si>
  <si>
    <t>MERCADORIA REF NF 1561, CARREGAMENTO Nº 02180, CONTRATO: 0239/25 - CA. PLACA: ODE-2G58, MOTORISTA: DANIEL AVILA CUNHA</t>
  </si>
  <si>
    <t>02180</t>
  </si>
  <si>
    <t>MERCADORIA REF NF 1562, CARREGAMENTO Nº 02178, CONTRATO: 0239/25 - CA. PLACA: FQC-6897, MOTORISTA: LEANDRO BATISTA DA SILVA</t>
  </si>
  <si>
    <t>02178</t>
  </si>
  <si>
    <t>MERCADORIA REF NF 1563, CARREGAMENTO Nº 02182, CONTRATO: 0239/25 - CA. PLACA: HKF-9B40, MOTORISTA: AXEL DA SILVA GOMES</t>
  </si>
  <si>
    <t>02182</t>
  </si>
  <si>
    <t>1/2026</t>
  </si>
  <si>
    <t>resgate</t>
  </si>
  <si>
    <t>LIQUIDACAO NDF 3054590</t>
  </si>
  <si>
    <t>3054590</t>
  </si>
  <si>
    <t xml:space="preserve"> BELA CEREAIS COMERCIO LTDA.</t>
  </si>
  <si>
    <t>LIQUIDACAO NDF 3054909</t>
  </si>
  <si>
    <t>3054909</t>
  </si>
  <si>
    <t>MERCADORIA REF NF 1567, CARREGAMENTO Nº 02215, CONTRATO: 0242/26 - SO. PLACA: XXX-9999, MOTORISTA: JOEL FLORENCO DE SOUZA</t>
  </si>
  <si>
    <t>02215</t>
  </si>
  <si>
    <t>MERCADORIA REF NF 1566, CARREGAMENTO Nº 02216, CONTRATO: 0242/26 - SO. PLACA: XXX-9999, MOTORISTA: JOEL FLORENCO DE SOUZA</t>
  </si>
  <si>
    <t>02216</t>
  </si>
  <si>
    <t>MERCADORIA REF NF 1568, CARREGAMENTO Nº 02217, CONTRATO: 0242/26 - SO. PLACA: XXX-9999, MOTORISTA: JOEL FLORENCO DE SOUZA</t>
  </si>
  <si>
    <t>02217</t>
  </si>
  <si>
    <t>MERCADORIA REF NF 1564, CARREGAMENTO Nº 02218, CONTRATO: 0242/26 - SO. PLACA: XXX-9999, MOTORISTA: JOEL FLORENCO DE SOUZA</t>
  </si>
  <si>
    <t>02218</t>
  </si>
  <si>
    <t>MERCADORIA REF NF 1565, CARREGAMENTO Nº 02219, CONTRATO: 0242/26 - SO. PLACA: XXX-9999, MOTORISTA: JOEL FLORENCO DE SOUZA</t>
  </si>
  <si>
    <t>02219</t>
  </si>
  <si>
    <t>MERCADORIA REF NF 1569, CARREGAMENTO Nº 02220, CONTRATO: 0242/26 - SO. PLACA: XXX-9999, MOTORISTA: JOEL FLORENCO DE SOUZA</t>
  </si>
  <si>
    <t>02220</t>
  </si>
  <si>
    <t>MERCADORIA REF NF 1571, CARREGAMENTO Nº 02221, CONTRATO: 0242/26 - SO. PLACA: XXX-9999, MOTORISTA: JOEL FLORENCO DE SOUZA</t>
  </si>
  <si>
    <t>02221</t>
  </si>
  <si>
    <t>MERCADORIA REF NF 1575, CARREGAMENTO Nº 02227, CONTRATO: 0242/26 - SO. PLACA: XXX-9999, MOTORISTA: JOEL FLORENCO DE SOUZA</t>
  </si>
  <si>
    <t>02227</t>
  </si>
  <si>
    <t>MERCADORIA REF NF 1572, CARREGAMENTO Nº 02225, CONTRATO: 0245/26 - SO. PLACA: XXX-9999, MOTORISTA: JOEL FLORENCO DE SOUZA</t>
  </si>
  <si>
    <t>02225</t>
  </si>
  <si>
    <t>MERCADORIA REF NF 1573, CARREGAMENTO Nº 02226, CONTRATO: 0245/26 - SO. PLACA: XXX-9999, MOTORISTA: JOEL FLORENCO DE SOUZA</t>
  </si>
  <si>
    <t>02226</t>
  </si>
  <si>
    <t>MERCADORIA REF NF 1574, CARREGAMENTO Nº 02229, CONTRATO: 0245/26 - SO. PLACA: XXX-9999, MOTORISTA: JOEL FLORENCO DE SOUZA</t>
  </si>
  <si>
    <t>02229</t>
  </si>
  <si>
    <t>MERCADORIA REF NF 1574, CARREGAMENTO Nº 02230, CONTRATO: 0245/26 - SO. PLACA: XXX-9999, MOTORISTA: JOEL FLORENCO DE SOUZA</t>
  </si>
  <si>
    <t>02230</t>
  </si>
  <si>
    <t>MERCADORIA REF NF 1577, CARREGAMENTO Nº 02231, CONTRATO: 0245/26 - SO. PLACA: XXX-9999, MOTORISTA: JOEL FLORENCO DE SOUZA</t>
  </si>
  <si>
    <t>02231</t>
  </si>
  <si>
    <t>MERCADORIA REF NF 1570, CARREGAMENTO Nº 02232, CONTRATO: 0245/26 - SO. PLACA: XXX-9999, MOTORISTA: JOEL FLORENCO DE SOUZA</t>
  </si>
  <si>
    <t>02232</t>
  </si>
  <si>
    <t>MERCADORIA REF NF 1570/1585/1586, CARREGAMENTO Nº 02233, CONTRATO: 0245/26 - SO. PLACA: XXX-9999, MOTORISTA: JOEL FLORENCO DE SOUZA</t>
  </si>
  <si>
    <t>02233</t>
  </si>
  <si>
    <t>MERCADORIA REF NF 1580, CARREGAMENTO Nº 02241, CONTRATO: 0249/26 - SO. PLACA: XXX-9999, MOTORISTA: JOEL FLORENCO DE SOUZA</t>
  </si>
  <si>
    <t>02241</t>
  </si>
  <si>
    <t>MERCADORIA REF NF 1581, CARREGAMENTO Nº 02242, CONTRATO: 0249/26 - SO. PLACA: XXX-9999, MOTORISTA: JOEL FLORENCO DE SOUZA</t>
  </si>
  <si>
    <t>02242</t>
  </si>
  <si>
    <t>MERCADORIA REF NF 1581/1593/1594, CARREGAMENTO Nº 02243, CONTRATO: 0249/26 - SO. PLACA: XXX-9999, MOTORISTA: JOEL FLORENCO DE SOUZA</t>
  </si>
  <si>
    <t>02243</t>
  </si>
  <si>
    <t>MERCADORIA REF NF 1577/1582/1583/1584, CARREGAMENTO Nº 02228, CONTRATO: 0242/26 - SO. PLACA: XXX-9999, MOTORISTA: JOEL FLORENCO DE SOUZA</t>
  </si>
  <si>
    <t>02228</t>
  </si>
  <si>
    <t>MERCADORIA REF NF 1570, CARREGAMENTO Nº 02235, CONTRATO: 0248/26 - SO. PLACA: XXX-9999, MOTORISTA: JOEL FLORENCO DE SOUZA</t>
  </si>
  <si>
    <t>02235</t>
  </si>
  <si>
    <t>MERCADORIA REF NF 1576, CARREGAMENTO Nº 02236, CONTRATO: 0248/26 - SO. PLACA: XXX-9999, MOTORISTA: JOEL FLORENCO DE SOUZA</t>
  </si>
  <si>
    <t>02236</t>
  </si>
  <si>
    <t>MERCADORIA REF NF 1576, CARREGAMENTO Nº 02237, CONTRATO: 0248/26 - SO. PLACA: XXX-9999, MOTORISTA: JOEL FLORENCO DE SOUZA</t>
  </si>
  <si>
    <t>02237</t>
  </si>
  <si>
    <t>MERCADORIA REF NF 1579, CARREGAMENTO Nº 02238, CONTRATO: 0248/26 - SO. PLACA: XXX-9999, MOTORISTA: JOEL FLORENCO DE SOUZA</t>
  </si>
  <si>
    <t>02238</t>
  </si>
  <si>
    <t>MERCADORIA REF NF 1579, CARREGAMENTO Nº 02239, CONTRATO: 0248/26 - SO. PLACA: XXX-9999, MOTORISTA: JOEL FLORENCO DE SOUZA</t>
  </si>
  <si>
    <t>02239</t>
  </si>
  <si>
    <t>MERCADORIA REF NF 1580, CARREGAMENTO Nº 02240, CONTRATO: 0248/26 - SO. PLACA: XXX-9999, MOTORISTA: JOEL FLORENCO DE SOUZA</t>
  </si>
  <si>
    <t>02240</t>
  </si>
  <si>
    <t>MERCADORIA REF NF 1581, CARREGAMENTO Nº 02244, CONTRATO: 0252/26 - SO. PLACA: XXX-9999, MOTORISTA: JOEL FLORENCO DE SOUZA</t>
  </si>
  <si>
    <t>02244</t>
  </si>
  <si>
    <t>MERCADORIA REF NF 1592, CARREGAMENTO Nº 02245, CONTRATO: 0252/26 - SO. PLACA: XXX-9999, MOTORISTA: JOEL FLORENCO DE SOUZA</t>
  </si>
  <si>
    <t>02245</t>
  </si>
  <si>
    <t>MERCADORIA REF NF , CARREGAMENTO Nº 02250, CONTRATO: 0252/26 - SO. PLACA: XXX-9999, MOTORISTA: JOEL FLORENCO DE SOUZA</t>
  </si>
  <si>
    <t>02250</t>
  </si>
  <si>
    <t>MERCADORIA REF NF 1612.</t>
  </si>
  <si>
    <t>1612</t>
  </si>
  <si>
    <t>RECEBIMENTO ANTECIPADO DO CONTRATO DE COMPRA E VENDA NUMERO 0044/2026. (BELA CEREAIS X MM COMERCIO).</t>
  </si>
  <si>
    <t>0044/2026</t>
  </si>
  <si>
    <t>MERCADORIA REF NF 1667, CARREGAMENTO Nº 02330, CONTRATO: 0258/26 - SO. PLACA: XXX-9999, MOTORISTA: JOEL FLORENCO DE SOUZA</t>
  </si>
  <si>
    <t>02330</t>
  </si>
  <si>
    <t>MERCADORIA REF NF 1578 PARCIAL E 1586, CARREGAMENTO Nº 02251, CONTRATO: 0253/26 - SO. PLACA: XXX-9999, MOTORISTA: JOEL FLORENCO DE SOUZA</t>
  </si>
  <si>
    <t>02251</t>
  </si>
  <si>
    <t>MERCADORIA REF NF 1635, CARREGAMENTO Nº 02357, CONTRATO: 0263/26 - SO. PLACA: XXX-9999, MOTORISTA: JOEL FLORENCO DE SOUZA</t>
  </si>
  <si>
    <t xml:space="preserve"> SIPAL INDUSTRIA E COMERCIO LTDA</t>
  </si>
  <si>
    <t>02357</t>
  </si>
  <si>
    <t>MERCADORIA REF NF 1636, CARREGAMENTO Nº 02358, CONTRATO: 0263/26 - SO. PLACA: XXX-9999, MOTORISTA: JOEL FLORENCO DE SOUZA</t>
  </si>
  <si>
    <t>02358</t>
  </si>
  <si>
    <t>MERCADORIA REF NF 1637, CARREGAMENTO Nº 02359, CONTRATO: 0263/26 - SO. PLACA: XXX-9999, MOTORISTA: JOEL FLORENCO DE SOUZA</t>
  </si>
  <si>
    <t>02359</t>
  </si>
  <si>
    <t>MERCADORIA REF NF 1638, CARREGAMENTO Nº 02360, CONTRATO: 0263/26 - SO. PLACA: XXX-9999, MOTORISTA: JOEL FLORENCO DE SOUZA</t>
  </si>
  <si>
    <t>02360</t>
  </si>
  <si>
    <t>MERCADORIA REF NF 1639, CARREGAMENTO Nº 02361, CONTRATO: 0263/26 - SO. PLACA: XXX-9999, MOTORISTA: JOEL FLORENCO DE SOUZA</t>
  </si>
  <si>
    <t>02361</t>
  </si>
  <si>
    <t>MERCADORIA REF NF 1640, CARREGAMENTO Nº 02362, CONTRATO: 0263/26 - SO. PLACA: XXX-9999, MOTORISTA: JOEL FLORENCO DE SOUZA</t>
  </si>
  <si>
    <t>02362</t>
  </si>
  <si>
    <t>MERCADORIA REF NF 1641, CARREGAMENTO Nº 02363, CONTRATO: 0263/26 - SO. PLACA: XXX-9999, MOTORISTA: JOEL FLORENCO DE SOUZA</t>
  </si>
  <si>
    <t>02363</t>
  </si>
  <si>
    <t>MERCADORIA REF NF 1642, CARREGAMENTO Nº 02364, CONTRATO: 0263/26 - SO. PLACA: XXX-9999, MOTORISTA: JOEL FLORENCO DE SOUZA</t>
  </si>
  <si>
    <t>02364</t>
  </si>
  <si>
    <t>MERCADORIA REF NF 1643, CARREGAMENTO Nº 02365, CONTRATO: 0263/26 - SO. PLACA: XXX-9999, MOTORISTA: JOEL FLORENCO DE SOUZA</t>
  </si>
  <si>
    <t>02365</t>
  </si>
  <si>
    <t>MERCADORIA REF NF 1644, CARREGAMENTO Nº 02366, CONTRATO: 0263/26 - SO. PLACA: XXX-9999, MOTORISTA: JOEL FLORENCO DE SOUZA</t>
  </si>
  <si>
    <t>02366</t>
  </si>
  <si>
    <t>MERCADORIA REF NF 1645, CARREGAMENTO Nº 02367, CONTRATO: 0263/26 - SO. PLACA: XXX-9999, MOTORISTA: JOEL FLORENCO DE SOUZA</t>
  </si>
  <si>
    <t>02367</t>
  </si>
  <si>
    <t>MERCADORIA REF NF 1646, CARREGAMENTO Nº 02368, CONTRATO: 0263/26 - SO. PLACA: XXX-9999, MOTORISTA: JOEL FLORENCO DE SOUZA</t>
  </si>
  <si>
    <t>02368</t>
  </si>
  <si>
    <t>MERCADORIA REF NF 1647, CARREGAMENTO Nº 02369, CONTRATO: 0263/26 - SO. PLACA: XXX-9999, MOTORISTA: JOEL FLORENCO DE SOUZA</t>
  </si>
  <si>
    <t>02369</t>
  </si>
  <si>
    <t>MERCADORIA REF NF 1648, CARREGAMENTO Nº 02370, CONTRATO: 0263/26 - SO. PLACA: XXX-9999, MOTORISTA: JOEL FLORENCO DE SOUZA</t>
  </si>
  <si>
    <t>02370</t>
  </si>
  <si>
    <t>MERCADORIA REF NF 1649, CARREGAMENTO Nº 02371, CONTRATO: 0263/26 - SO. PLACA: XXX-9999, MOTORISTA: JOEL FLORENCO DE SOUZA</t>
  </si>
  <si>
    <t>02371</t>
  </si>
  <si>
    <t>MERCADORIA REF NF 1650, CARREGAMENTO Nº 02372, CONTRATO: 0263/26 - SO. PLACA: XXX-9999, MOTORISTA: JOEL FLORENCO DE SOUZA</t>
  </si>
  <si>
    <t>02372</t>
  </si>
  <si>
    <t>MERCADORIA REF NF 1651, CARREGAMENTO Nº 02373, CONTRATO: 0263/26 - SO. PLACA: XXX-9999, MOTORISTA: JOEL FLORENCO DE SOUZA</t>
  </si>
  <si>
    <t>02373</t>
  </si>
  <si>
    <t>MERCADORIA REF NF 1652, CARREGAMENTO Nº 02374, CONTRATO: 0263/26 - SO. PLACA: XXX-9999, MOTORISTA: JOEL FLORENCO DE SOUZA</t>
  </si>
  <si>
    <t>02374</t>
  </si>
  <si>
    <t>MERCADORIA REF NF 1653, CARREGAMENTO Nº 02375, CONTRATO: 0263/26 - SO. PLACA: XXX-9999, MOTORISTA: JOEL FLORENCO DE SOUZA</t>
  </si>
  <si>
    <t>02375</t>
  </si>
  <si>
    <t>MERCADORIA REF NF 1654, CARREGAMENTO Nº 02376, CONTRATO: 0263/26 - SO. PLACA: XXX-9999, MOTORISTA: JOEL FLORENCO DE SOUZA</t>
  </si>
  <si>
    <t>02376</t>
  </si>
  <si>
    <t>MERCADORIA REF NF 1655, CARREGAMENTO Nº 02377, CONTRATO: 0263/26 - SO. PLACA: XXX-9999, MOTORISTA: JOEL FLORENCO DE SOUZA</t>
  </si>
  <si>
    <t>02377</t>
  </si>
  <si>
    <t>MERCADORIA REF NF 1656, CARREGAMENTO Nº 02378, CONTRATO: 0263/26 - SO. PLACA: XXX-9999, MOTORISTA: JOEL FLORENCO DE SOUZA</t>
  </si>
  <si>
    <t>02378</t>
  </si>
  <si>
    <t>MERCADORIA REF NF 1658, CARREGAMENTO Nº 02380, CONTRATO: 0263/26 - SO. PLACA: XXX-9999, MOTORISTA: JOEL FLORENCO DE SOUZA</t>
  </si>
  <si>
    <t>02380</t>
  </si>
  <si>
    <t>MERCADORIA REF NF 1659, CARREGAMENTO Nº 02381, CONTRATO: 0263/26 - SO. PLACA: XXX-9999, MOTORISTA: JOEL FLORENCO DE SOUZA</t>
  </si>
  <si>
    <t>02381</t>
  </si>
  <si>
    <t>MERCADORIA REF NF 1661, CARREGAMENTO Nº 02383, CONTRATO: 0263/26 - SO. PLACA: XXX-9999, MOTORISTA: JOEL FLORENCO DE SOUZA</t>
  </si>
  <si>
    <t>02383</t>
  </si>
  <si>
    <t>MERCADORIA REF NF 1662, CARREGAMENTO Nº 02384, CONTRATO: 0263/26 - SO. PLACA: XXX-9999, MOTORISTA: JOEL FLORENCO DE SOUZA</t>
  </si>
  <si>
    <t>02384</t>
  </si>
  <si>
    <t>MERCADORIA REF NF 1663, CARREGAMENTO Nº 02385, CONTRATO: 0263/26 - SO. PLACA: XXX-9999, MOTORISTA: JOEL FLORENCO DE SOUZA</t>
  </si>
  <si>
    <t>02385</t>
  </si>
  <si>
    <t>MERCADORIA REF NF 1664, CARREGAMENTO Nº 02379, CONTRATO: 0263/26 - SO. PLACA: XXX-9999, MOTORISTA: JOEL FLORENCO DE SOUZA</t>
  </si>
  <si>
    <t>02379</t>
  </si>
  <si>
    <t>MERCADORIA REF NF 1665, CARREGAMENTO Nº 02386, CONTRATO: 0263/26 - SO. PLACA: XXX-9999, MOTORISTA: JOEL FLORENCO DE SOUZA</t>
  </si>
  <si>
    <t>02386</t>
  </si>
  <si>
    <t>MERCADORIA REF NF 1666, CARREGAMENTO Nº 02387, CONTRATO: 0263/26 - SO. PLACA: XXX-9999, MOTORISTA: JOEL FLORENCO DE SOUZA</t>
  </si>
  <si>
    <t>02387</t>
  </si>
  <si>
    <t>MERCADORIA REF NF 1669, CARREGAMENTO Nº 02382, CONTRATO: 0263/26 - SO. PLACA: XXX-9999, MOTORISTA: JOEL FLORENCO DE SOUZA</t>
  </si>
  <si>
    <t>02382</t>
  </si>
  <si>
    <t>MERCADORIA REF NF 1668, CARREGAMENTO Nº 02388, CONTRATO: 0263/26 - SO. PLACA: XXX-9999, MOTORISTA: JOEL FLORENCO DE SOUZA</t>
  </si>
  <si>
    <t>02388</t>
  </si>
  <si>
    <t>MERCADORIA REF NF 1670, CARREGAMENTO Nº 02389, CONTRATO: 0263/26 - SO. PLACA: XXX-9999, MOTORISTA: JOEL FLORENCO DE SOUZA</t>
  </si>
  <si>
    <t>02389</t>
  </si>
  <si>
    <t>MERCADORIA REF NF 1673, CARREGAMENTO Nº 02392, CONTRATO: 0263/26 - SO. PLACA: XXX-9999, MOTORISTA: JOEL FLORENCO DE SOUZA</t>
  </si>
  <si>
    <t>02392</t>
  </si>
  <si>
    <t>MERCADORIA REF NF 1675, CARREGAMENTO Nº 02393, CONTRATO: 0263/26 - SO. PLACA: XXX-9999, MOTORISTA: JOEL FLORENCO DE SOUZA</t>
  </si>
  <si>
    <t>02393</t>
  </si>
  <si>
    <t>MERCADORIA REF NF 1676, CARREGAMENTO Nº 02394, CONTRATO: 0263/26 - SO. PLACA: XXX-9999, MOTORISTA: JOEL FLORENCO DE SOUZA</t>
  </si>
  <si>
    <t>02394</t>
  </si>
  <si>
    <t>MERCADORIA REF NF 1677, CARREGAMENTO Nº 02395, CONTRATO: 0263/26 - SO. PLACA: XXX-9999, MOTORISTA: JOEL FLORENCO DE SOUZA</t>
  </si>
  <si>
    <t>02395</t>
  </si>
  <si>
    <t>MERCADORIA REF NF 1678, CARREGAMENTO Nº 02399, CONTRATO: 0263/26 - SO. PLACA: XXX-9999, MOTORISTA: JOEL FLORENCO DE SOUZA</t>
  </si>
  <si>
    <t>02399</t>
  </si>
  <si>
    <t>MERCADORIA REF NF 1679, CARREGAMENTO Nº 02400, CONTRATO: 0263/26 - SO. PLACA: XXX-9999, MOTORISTA: JOEL FLORENCO DE SOUZA</t>
  </si>
  <si>
    <t>02400</t>
  </si>
  <si>
    <t>MERCADORIA REF NF 1680, CARREGAMENTO Nº 02401, CONTRATO: 0263/26 - SO. PLACA: XXX-9999, MOTORISTA: JOEL FLORENCO DE SOUZA</t>
  </si>
  <si>
    <t>02401</t>
  </si>
  <si>
    <t>MERCADORIA REF NF 1681, CARREGAMENTO Nº 02403, CONTRATO: 0263/26 - SO. PLACA: XXX-9999, MOTORISTA: JOEL FLORENCO DE SOUZA</t>
  </si>
  <si>
    <t>02403</t>
  </si>
  <si>
    <t>MERCADORIA REF NF 1682, CARREGAMENTO Nº 02404, CONTRATO: 0263/26 - SO. PLACA: XXX-9999, MOTORISTA: JOEL FLORENCO DE SOUZA</t>
  </si>
  <si>
    <t>02404</t>
  </si>
  <si>
    <t>MERCADORIA REF NF 1683, CARREGAMENTO Nº 02405, CONTRATO: 0263/26 - SO. PLACA: XXX-9999, MOTORISTA: JOEL FLORENCO DE SOUZA</t>
  </si>
  <si>
    <t>02405</t>
  </si>
  <si>
    <t>MERCADORIA REF NF 1684, CARREGAMENTO Nº 02406, CONTRATO: 0263/26 - SO. PLACA: XXX-9999, MOTORISTA: JOEL FLORENCO DE SOUZA</t>
  </si>
  <si>
    <t>02406</t>
  </si>
  <si>
    <t>MERCADORIA REF NF 1685, CARREGAMENTO Nº 02409, CONTRATO: 0263/26 - SO. PLACA: XXX-9999, MOTORISTA: JOEL FLORENCO DE SOUZA</t>
  </si>
  <si>
    <t>02409</t>
  </si>
  <si>
    <t>4/2026</t>
  </si>
  <si>
    <t>MERCADORIA REF NF /1600, CARREGAMENTO Nº 02256, CONTRATO: 0254/26 - SO. PLACA: XXX-9999, MOTORISTA: JOEL FLORENCO DE SOUZA</t>
  </si>
  <si>
    <t>02256</t>
  </si>
  <si>
    <t>MERCADORIA REF NF /1608, CARREGAMENTO Nº 02264, CONTRATO: 0254/26 - SO. PLACA: XXX-9999, MOTORISTA: JOEL FLORENCO DE SOUZA</t>
  </si>
  <si>
    <t>02264</t>
  </si>
  <si>
    <t>MERCADORIA REF NF /1607, CARREGAMENTO Nº 02263, CONTRATO: 0254/26 - SO. PLACA: XXX-9999, MOTORISTA: JOEL FLORENCO DE SOUZA</t>
  </si>
  <si>
    <t>02263</t>
  </si>
  <si>
    <t>MERCADORIA REF NF /1605, CARREGAMENTO Nº 02261, CONTRATO: 0254/26 - SO. PLACA: XXX-9999, MOTORISTA: JOEL FLORENCO DE SOUZA</t>
  </si>
  <si>
    <t>02261</t>
  </si>
  <si>
    <t>MERCADORIA REF NF /1601, CARREGAMENTO Nº 02257, CONTRATO: 0254/26 - SO. PLACA: XXX-9999, MOTORISTA: JOEL FLORENCO DE SOUZA</t>
  </si>
  <si>
    <t>02257</t>
  </si>
  <si>
    <t>MERCADORIA REF NF /1599, CARREGAMENTO Nº 02255, CONTRATO: 0254/26 - SO. PLACA: XXX-9999, MOTORISTA: JOEL FLORENCO DE SOUZA</t>
  </si>
  <si>
    <t>02255</t>
  </si>
  <si>
    <t>MERCADORIA REF NF /1603, CARREGAMENTO Nº 02259, CONTRATO: 0254/26 - SO. PLACA: XXX-9999, MOTORISTA: JOEL FLORENCO DE SOUZA</t>
  </si>
  <si>
    <t>02259</t>
  </si>
  <si>
    <t>MERCADORIA REF NF 1604, CARREGAMENTO Nº 02260, CONTRATO: 0254/26 - SO. PLACA: XXX-9999, MOTORISTA: JOEL FLORENCO DE SOUZA</t>
  </si>
  <si>
    <t>02260</t>
  </si>
  <si>
    <t>MERCADORIA REF NF /1609, CARREGAMENTO Nº 02265, CONTRATO: 0254/26 - SO. PLACA: XXX-9999, MOTORISTA: JOEL FLORENCO DE SOUZA</t>
  </si>
  <si>
    <t>02265</t>
  </si>
  <si>
    <t>MERCADORIA REF NF /1606, CARREGAMENTO Nº 02262, CONTRATO: 0254/26 - SO. PLACA: XXX-9999, MOTORISTA: JOEL FLORENCO DE SOUZA</t>
  </si>
  <si>
    <t>02262</t>
  </si>
  <si>
    <t>MERCADORIA REF NF /1602, CARREGAMENTO Nº 02258, CONTRATO: 0254/26 - SO. PLACA: XXX-9999, MOTORISTA: JOEL FLORENCO DE SOUZA</t>
  </si>
  <si>
    <t>02258</t>
  </si>
  <si>
    <t>MERCADORIA REF NF /1614, CARREGAMENTO Nº 02320, CONTRATO: 0254/26 - SO. PLACA: XXX-9999, MOTORISTA: JOEL FLORENCO DE SOUZA</t>
  </si>
  <si>
    <t>02320</t>
  </si>
  <si>
    <t>MERCADORIA REF NF /1616, CARREGAMENTO Nº 02322, CONTRATO: 0254/26 - SO. PLACA: XXX-9999, MOTORISTA: JOEL FLORENCO DE SOUZA</t>
  </si>
  <si>
    <t>02322</t>
  </si>
  <si>
    <t>MERCADORIA REF NF /1617, CARREGAMENTO Nº 02323, CONTRATO: 0254/26 - SO. PLACA: XXX-9999, MOTORISTA: JOEL FLORENCO DE SOUZA</t>
  </si>
  <si>
    <t>02323</t>
  </si>
  <si>
    <t>MERCADORIA REF NF /1618, CARREGAMENTO Nº 02324, CONTRATO: 0254/26 - SO. PLACA: XXX-9999, MOTORISTA: JOEL FLORENCO DE SOUZA</t>
  </si>
  <si>
    <t>02324</t>
  </si>
  <si>
    <t>MERCADORIA REF NF /1619, CARREGAMENTO Nº 02325, CONTRATO: 0254/26 - SO. PLACA: XXX-9999, MOTORISTA: JOEL FLORENCO DE SOUZA</t>
  </si>
  <si>
    <t>02325</t>
  </si>
  <si>
    <t>MERCADORIA REF NF /1620, CARREGAMENTO Nº 02326, CONTRATO: 0254/26 - SO. PLACA: XXX-9999, MOTORISTA: JOEL FLORENCO DE SOUZA</t>
  </si>
  <si>
    <t>02326</t>
  </si>
  <si>
    <t>MERCADORIA REF NF /1622, CARREGAMENTO Nº 02328, CONTRATO: 0254/26 - SO. PLACA: XXX-9999, MOTORISTA: JOEL FLORENCO DE SOUZA</t>
  </si>
  <si>
    <t>02328</t>
  </si>
  <si>
    <t>MERCADORIA REF NF /1623, CARREGAMENTO Nº 02329, CONTRATO: 0254/26 - SO. PLACA: XXX-9999, MOTORISTA: JOEL FLORENCO DE SOUZA</t>
  </si>
  <si>
    <t>02329</t>
  </si>
  <si>
    <t>MERCADORIA REF NF /1615, CARREGAMENTO Nº 02321, CONTRATO: 0254/26 - SO. PLACA: XXX-9999, MOTORISTA: JOEL FLORENCO DE SOUZA</t>
  </si>
  <si>
    <t>02321</t>
  </si>
  <si>
    <t>MERCADORIA REF NF /1621, CARREGAMENTO Nº 02327, CONTRATO: 0254/26 - SO. PLACA: XXX-9999, MOTORISTA: JOEL FLORENCO DE SOUZA</t>
  </si>
  <si>
    <t>02327</t>
  </si>
  <si>
    <t>MERCADORIA REF NF 1625, CARREGAMENTO Nº 02331, CONTRATO: 0254/26 - SO. PLACA: XXX-9999, MOTORISTA: JOEL FLORENCO DE SOUZA</t>
  </si>
  <si>
    <t>02331</t>
  </si>
  <si>
    <t>MERCADORIA REF NF 1626, CARREGAMENTO Nº 02332, CONTRATO: 0254/26 - SO. PLACA: XXX-9999, MOTORISTA: JOEL FLORENCO DE SOUZA</t>
  </si>
  <si>
    <t>02332</t>
  </si>
  <si>
    <t>MERCADORIA REF NF 1627 e 1699, CARREGAMENTO Nº 02333, CONTRATO: 0254/26 - SO. PLACA: XXX-9999, MOTORISTA: JOEL FLORENCO DE SOUZA</t>
  </si>
  <si>
    <t>02333</t>
  </si>
  <si>
    <t>MERCADORIA REF NF /1628, CARREGAMENTO Nº 02336, CONTRATO: 0254/26 - SO. PLACA: XXX-9999, MOTORISTA: JOEL FLORENCO DE SOUZA</t>
  </si>
  <si>
    <t>02336</t>
  </si>
  <si>
    <t>LIQUIDACAO NDF 3069838</t>
  </si>
  <si>
    <t>3069838</t>
  </si>
  <si>
    <t>LIQUIDACAO NDF 3069932</t>
  </si>
  <si>
    <t>3069932</t>
  </si>
  <si>
    <t>LIQUIDACAO NDF 3070964</t>
  </si>
  <si>
    <t>3070964</t>
  </si>
  <si>
    <t>LIQUIDACO NDF 3070984</t>
  </si>
  <si>
    <t>3070984</t>
  </si>
  <si>
    <t>LIQUIDACAO NDF 3071006</t>
  </si>
  <si>
    <t>3071006</t>
  </si>
  <si>
    <t>LIQUIDACAO NDF 3071029</t>
  </si>
  <si>
    <t>3071029</t>
  </si>
  <si>
    <t>COMPRA PARCELA Nº 01 Ref Documento nº 7191</t>
  </si>
  <si>
    <t xml:space="preserve"> REALCE EMBALAGENS DE RAFIA LTDA</t>
  </si>
  <si>
    <t>7191</t>
  </si>
  <si>
    <t>AJUSTE NDF 3069802</t>
  </si>
  <si>
    <t>3069802</t>
  </si>
  <si>
    <t>AJUSTE NDF 3069874</t>
  </si>
  <si>
    <t>3069874</t>
  </si>
  <si>
    <t>MERCADORIA REF 1225, CARREGAMENTO  Nº 01627, CONTRATO: 0347/24 - AR. PLACA: AEN-4B16, MOTORISTA: ALIPIO NEVES DE ANDRADE. EXTRATO Porto Cereais Agroindustri</t>
  </si>
  <si>
    <t>BELA CEREAIS COMERCIO</t>
  </si>
  <si>
    <t>01627</t>
  </si>
  <si>
    <t>FORNECEDORES MERCADORIA</t>
  </si>
  <si>
    <t>CTE 21419. CHAPA DESCARGA CONFRESA</t>
  </si>
  <si>
    <t>01628</t>
  </si>
  <si>
    <t>OUTRAS DESPESAS (CORRETORA)</t>
  </si>
  <si>
    <t>MERCADORIA REF NF 139 E 140, CARREGAMENTO  Nº 01940 E 01941, CONTRATO: 0355/25 - MV. PLACA: XXX-9999, MOTORISTA: JOEL FLORENCO DE SOUZA. FATURA Nº 00791 REF. DOCUMENTOS: 01940, 01941. CESSAO DE CREDITO DE CAMPO VERDE AGRONEGOCIO PARA PAGAMENTO ADEMAR VANZ</t>
  </si>
  <si>
    <t xml:space="preserve"> ADEMAR VANZELA</t>
  </si>
  <si>
    <t>01940</t>
  </si>
  <si>
    <t>MERCADORIA, CARREGAMENTO  Nº 01940 E 01941, CONTRATO: 0355/25 - MV. PLACA: XXX-9999, MOTORISTA: JOEL FLORENCO DE SOUZA. FATURA Nº 00791 REF. DOCUMENTOS: 01940, 01941. CESSAO DE CREDITO DE GRUPO ENZO PARA PAGAMENTO ADEMAR VANZELA.</t>
  </si>
  <si>
    <t>COMPRA PARCELA Nº 01 Ref Documento nº 189497</t>
  </si>
  <si>
    <t xml:space="preserve"> Rafitec S/A Ind. e Com. De Sacarias</t>
  </si>
  <si>
    <t>189497</t>
  </si>
  <si>
    <t>1/1</t>
  </si>
  <si>
    <t>SALDO FRETE Nº 01940, CTE 3524 PARCIAL GRUPO ENZO, CONTRATO: . PLACA: XXX-9999, MOTORISTA: JOEL FLORENCO DE SOUZA. EXTRATO KPA DEISEL.</t>
  </si>
  <si>
    <t>FRETE (ADTO/SALDO)</t>
  </si>
  <si>
    <t>SALDO FRETE Nº 01941, CTE 32122 NEROWILLIAN, CONTRATO: . PLACA: XXX-9999, MOTORISTA: JOEL FLORENCO DE SOUZA</t>
  </si>
  <si>
    <t>01941</t>
  </si>
  <si>
    <t>SALDO FRETE Nº 01940, CTE 23158 PARCIAL NEROWILLIAN, GRUPO ENZO, CONTRATO: . PLACA: XXX-9999, MOTORISTA: JOEL FLORENCO DE SOUZA. EXTRATO KPA DEISEL.</t>
  </si>
  <si>
    <t>CTE 17933 R$ 5.700,00.  CTE 32557 R$ 35,70 PARCIAL. CONTRATO FILIAL 0355/25 - MV OC 1940 E 1941.</t>
  </si>
  <si>
    <t>COMPRA PARCELA Nº 01 Ref Documento nº 189497 PARCIAL</t>
  </si>
  <si>
    <t>BENEFICIAMENTO FEIJAO MUNGO VERDE E CAUPI BERNARDO. ALOCACAO CRT 0382/25 MV SUKSAWADI E CRT FILIAL 0361/25 - FC AURELIO CAMPOS.</t>
  </si>
  <si>
    <t>202500000000002</t>
  </si>
  <si>
    <t>COMPRA PARCELA Nº 01 Ref Documento nº 7889. PENEIRAS DE CLASSIFICACAO.</t>
  </si>
  <si>
    <t xml:space="preserve"> WT Equipamentos Agroindustriais Ltda</t>
  </si>
  <si>
    <t>7889</t>
  </si>
  <si>
    <t>ADTO FRETE Nº 01991, CTE 14523 PARCIAL NEROWWILLIAN, CONTRATO: . PLACA: JJB-4D33, MOTORISTA: RANEY GOMES ARAUJO. EXTRATO Artvia Materiais E Locacoe</t>
  </si>
  <si>
    <t xml:space="preserve"> RANEY GOMES ARAUJO</t>
  </si>
  <si>
    <t>01991</t>
  </si>
  <si>
    <t>MERCADORIA REF NF 1777, CARREGAMENTO  Nº 01991, CONTRATO: 0357/25 - FC. PLACA: JJB-4D33, MOTORISTA: RANEY GOMES ARAUJO. EXTRATO Agro Jalapao CESSAO DE CREDITO.</t>
  </si>
  <si>
    <t>MERCADORIA REF NF 1778, CARREGAMENTO  Nº 01993, CONTRATO: 0357/25 - FC. PLACA: ILI-9911, MOTORISTA: RENATO ROSSINI. EXTRATO Agro Jalapao CESSAO DE CREDITO.</t>
  </si>
  <si>
    <t>01993</t>
  </si>
  <si>
    <t>SALDO FRETE Nº 01991, CTE 14523 PARCIAL NEROWWILLIAN, CONTRATO: . PLACA: JJB-4D33, MOTORISTA: RANEY GOMES ARAUJO.EXTRATO Artvia Materiais E Locacoe</t>
  </si>
  <si>
    <t>SALDO FRETE Nº 01993, CTE 15936 PARCIAL NEROWILLIAN, CONTRATO: . PLACA: ILI-9911, MOTORISTA: RENATO ROSSINI</t>
  </si>
  <si>
    <t xml:space="preserve"> RENATO ROSSINI</t>
  </si>
  <si>
    <t>CTE 14523 PARCIAL NEROWILLIAN. NOTA CONTRATO 0357/25 - FC OC 01991 E 01993 + NOTA CONTRATO 0358/25 - FC OC 01994. FATURA Nº 00812 REF. DOCUMENTOS: 01991, 01993, 01994.</t>
  </si>
  <si>
    <t>FATURA 00812</t>
  </si>
  <si>
    <t>ADTO FRETE Nº 01994, CTE 14523 PARCIAL NEROWILLIAN, CONTRATO: . PLACA: IKY-0H92, MOTORISTA: NEURO CIVARDI. EXTRATO RITA CASSIA G NOGUEIRA</t>
  </si>
  <si>
    <t xml:space="preserve"> NEURO CIVARDI</t>
  </si>
  <si>
    <t>01994</t>
  </si>
  <si>
    <t>MERCADORIA REF NF 878, CARREGAMENTO  Nº 01994, CONTRATO: 0358/25 - FC. PLACA: IKY-0H92, MOTORISTA: NEURO CIVARDI. EXTRATO Agro Jalapao CESSAO DE CREDITO.</t>
  </si>
  <si>
    <t xml:space="preserve"> C.E.L COMERCIO E FABRICACAO DE PRODUTOS VEGETAL LTDA</t>
  </si>
  <si>
    <t>NF 202500000000003. BENEFICIAMENTO FEIJAO MUNGO PRETO SILVIO E BERNARDO. ALOCADO CRT 0387/25 MP JASHAN.</t>
  </si>
  <si>
    <t>202500000000003</t>
  </si>
  <si>
    <t>SALDO FRETE Nº 01994, CTE 15936 PARCIAL NEROWILLIAN, CONTRATO: 0358/25 - FC. PLACA: IKY-0H92, MOTORISTA: NEURO CIVARDI. EXTRATO RITA CASSIA G NOGUEIRA</t>
  </si>
  <si>
    <t>SALDO FRETE Nº 01999, CTE 15936 PARCIAL NEROWILLIAN, CONTRATO: 0357/25 - FC. PLACA: ILI-9911, MOTORISTA: RENATO ROSSINI</t>
  </si>
  <si>
    <t>01999</t>
  </si>
  <si>
    <t>MERCADORIA REF NF 1780, CARREGAMENTO  Nº 01999, CONTRATO: 0357/25 - FC. PLACA: ILI-9911, MOTORISTA: RENATO ROSSINI. EXTRATO Agro Jalapao CESSAO DE CREDITO.</t>
  </si>
  <si>
    <t>MERCADORIA REF NF 1781,  CARREGAMENTO  Nº 02000, CONTRATO: 0357/25 - FC. PLACA: IKY-0H92, MOTORISTA: NEURO CIVARDI. EXTRATO Agro Jalapao CESSAO DE CREDITO.</t>
  </si>
  <si>
    <t>02000</t>
  </si>
  <si>
    <t>SALDO FRETE Nº 02000, CTE 16138 PARCIAL NEROWILLIAN, CONTRATO: . PLACA: IKY-0H92, MOTORISTA: NEURO CIVARDI</t>
  </si>
  <si>
    <t>CTE 16138 PARCIAL NEROWILLIAN. FATURA Nº 00815 REF. DOCUMENTOS: 01999, 02000.</t>
  </si>
  <si>
    <t>FATURA 00815</t>
  </si>
  <si>
    <t>CTE 16138 PARCIAL NEROWILLIAN. FATURA Nº 00816 REF. DOCUMENTOS: 01995, 01995, 01996, 01996, 01997, 01997, 01998, 01998, 01992.</t>
  </si>
  <si>
    <t>FATURA 00816</t>
  </si>
  <si>
    <t>MERCADORIA REF NF 1782, CARREGAMENTO  Nº 02001, CONTRATO: 0357/25 - FC. PLACA: ILI-9911, MOTORISTA: RENATO ROSSINI. EXTRATO Agro Jalapao CESSAO DE CREDITO.</t>
  </si>
  <si>
    <t>02001</t>
  </si>
  <si>
    <t>SALDO FRETE Nº 02001, CTE 16286 NEROWILLIAN, CONTRATO: . PLACA: ILI-9911, MOTORISTA: RENATO ROSSINI</t>
  </si>
  <si>
    <t>SALDO FRETE Nº 02007, CONTRATO: . PLACA: IKY-0H92, MOTORISTA: NEURO CIVARDI. CTE 16286 R$ 6.922,00 NEROWILLIAN. CTE 16757 R$ 143,00 NEROWILLIAN. EXTRATO RITA DE CASSIA G NOGUEIRA.</t>
  </si>
  <si>
    <t>02007</t>
  </si>
  <si>
    <t>MERCADORIA REF NF 1783, CARREGAMENTO  Nº 02007, CONTRATO: 0357/25 - FC. PLACA: IKY-0H92, MOTORISTA: NEURO CIVARDI. EXTRATO Agro Jalapao CESSAO DE CREDITO.</t>
  </si>
  <si>
    <t>CTE 16286 PARCIAL NEROWILLIAN. FATURA Nº 00822 REF. DOCUMENTOS: 02009, 02007, 02001.</t>
  </si>
  <si>
    <t>FATURA 00822</t>
  </si>
  <si>
    <t>MERCADORIA REF NF 1784, CARREGAMENTO  Nº 02009, CONTRATO: 0357/25 - FC. PLACA: ILI-9911, MOTORISTA: RENATO ROSSINI. EXTRATO Agro Jalapao CESSAO DE CREDITO.</t>
  </si>
  <si>
    <t>02009</t>
  </si>
  <si>
    <t>SALDO FRETE Nº 02009, CTE 17214 NEROWILLIAN, CONTRATO: . PLACA: ILI-9911, MOTORISTA: RENATO ROSSINI</t>
  </si>
  <si>
    <t>MERCADORIA REF NF 1785, CARREGAMENTO  Nº 02010, CONTRATO: 0357/25 - FC. PLACA: IKY-0H92, MOTORISTA: NEURO CIVARDI. EXTRATO Agro Jalapao CESSAO DE CREDITO.</t>
  </si>
  <si>
    <t>02010</t>
  </si>
  <si>
    <t>SALDO FRETE Nº 02010, CTE 17929 NEROWILLIAN, CONTRATO: . PLACA: IKY-0H92, MOTORISTA: NEURO CIVARDI. FATURA Nº 00825 REF. DOCUMENTOS: 02010, 02010. CTE 17214 R$ 78,00 NEROWILLIAN.</t>
  </si>
  <si>
    <t>MERCADORIA REF NF 1786, CARREGAMENTO  Nº 02011, CONTRATO: 0357/25 - FC. PLACA: ILI-9911, MOTORISTA: RENATO ROSSINI. EXTRATO Agro Jalapao CESSAO DE CREDITO.</t>
  </si>
  <si>
    <t>02011</t>
  </si>
  <si>
    <t>SALDO FRETE Nº 02011, CTE 24667 NEROWILLIAN, CONTRATO: . PLACA: ILI-9911, MOTORISTA: RENATO ROSSINI</t>
  </si>
  <si>
    <t>MERCADORIA REF NF 1787, CARREGAMENTO  Nº 02013, CONTRATO: 0360/25 - FC. PLACA: IKY-0H92, MOTORISTA: NEURO CIVARDI. EXTRATO Agro Jalapao CESSAO DE CREDITO.</t>
  </si>
  <si>
    <t>02013</t>
  </si>
  <si>
    <t>CTE 16950 NEROWILLIAN. FATURA Nº 00826 REF. DOCUMENTOS: 02010, 02011, 02013.</t>
  </si>
  <si>
    <t>FATURA 00826</t>
  </si>
  <si>
    <t>SALDO FRETE Nº 02013, CTE 16952 R$ 6909,72 NEROWILLAIN + CTE 27901 R$ 161,66 NEROWILLIAN, CONTRATO: . PLACA: IKY-0H92, MOTORISTA: NEURO CIVARDI. EXTRATO RITA DE CASSIA G NOGUEIRA.</t>
  </si>
  <si>
    <t>MERCADORIA REF NF 1788, CARREGAMENTO  Nº 02015, CONTRATO: 0360/25 - FC. PLACA: ILI-9911, MOTORISTA: RENATO ROSSINI. EXTRATO Agro Jalapao CESSAO DE CREDITO.</t>
  </si>
  <si>
    <t>02015</t>
  </si>
  <si>
    <t>COMPRA PARCELA Nº 01 Ref Documento nº 191915</t>
  </si>
  <si>
    <t>191915</t>
  </si>
  <si>
    <t>SALDO FRETE Nº 02015, CTE 16759 NWEOWILLIAN, CONTRATO: . PLACA: ILI-9911, MOTORISTA: RENATO ROSSINI</t>
  </si>
  <si>
    <t>CTE 16945 NEROWILLIAN. OC 02015 E 2016.</t>
  </si>
  <si>
    <t>SALDO FRETE Nº 02015, CTE 27097 NEROWILLIAN, CONTRATO: . PLACA: ILI-9911, MOTORISTA: RENATO ROSSINI</t>
  </si>
  <si>
    <t>SALDO FRETE Nº 02016, CONTRATO: . PLACA: IKY-0H92, MOTORISTA: NEURO CIVARDI. CTE 16949 NEROWILLIAN R$ 4.605,50. CTE 25830 R$ 594,50 PARCIAL NEROWILLIAN.</t>
  </si>
  <si>
    <t>02016</t>
  </si>
  <si>
    <t>MERCADORIA REF NF 1789, CARREGAMENTO  Nº 02016, CONTRATO: 0360/25 - FC. PLACA: IKY-0H92, MOTORISTA: NEURO CIVARDI. EXTRATO Agro Jalapao CESSAO DE CREDITO.</t>
  </si>
  <si>
    <t>MERCADORIA REF NF 6781/6782/6783/6784, CARREGAMENTO  Nº 02040, CONTRATO: 0362/25 - FC. PLACA: XXX-9999, MOTORISTA: JOEL FLORENCO DE SOUZA. EXTRATYO ARMAZEM JK.</t>
  </si>
  <si>
    <t xml:space="preserve"> ANTARES AGRONEGOCIO LTDA</t>
  </si>
  <si>
    <t>02040</t>
  </si>
  <si>
    <t>COMISSAO WARLEY NF 878, CARREGAMENTO  Nº 01994, CONTRATO: 0358/25 - FC. PLACA: IKY-0H92, MOTORISTA: NEURO CIVARDI. EXTRATO Agro Jalapao.</t>
  </si>
  <si>
    <t xml:space="preserve">MERCADORIA REF NF 1789, CONTRATO: 0357/25 - FC. CESSAO DE CREDITO PAGAMENTO PARA WESLEY MOREIRA SILVA. FATURA Nº 00860 REF. DOCUMENTOS: 01991, 01993, 02001, 02007, 02016, 01999, 02000, 02009, 02010, 02011, 02013, 02015. COMISSAO WARLEY VALOR AJUSTADO COM </t>
  </si>
  <si>
    <t>FATURA 00860</t>
  </si>
  <si>
    <t>ANTECIPACAO CONTRATO 0363/25 - MP. NF 18707, 18724, 18969 PARCIAL. EXTRATO LUIZA LUCKMANN. CESSAO DE CREDITO PARA LUIZA LUCKMANN.</t>
  </si>
  <si>
    <t xml:space="preserve"> HMS GRAOS LTDA</t>
  </si>
  <si>
    <t>ANTECIPACAO CONTRATO 0363/25 - MP. NF 18696 PARCIAL. CESSAO DE CREDITO ADEMAR VANZELA NF 3760 PARA LIMA COMERCIO DE FEIJAO R$ 108.024,37. CESSAO DE CREDITO HMS GRAOS PARA LIMA COMERCIO DE FEIJAO R$ 110.755,63. EXTRATO ARMAZENS JK - COMPRA DE LUIZA LUCKMAN</t>
  </si>
  <si>
    <t xml:space="preserve"> 0363/25 - MP</t>
  </si>
  <si>
    <t>CTE 32266 NEROWILLIAN. FATURA Nº 00863 REF. DOCUMENTOS: 02077, 02078.</t>
  </si>
  <si>
    <t>FATURA 00863</t>
  </si>
  <si>
    <t>AJUSTE  CONTRATO: 0002/24 - AZ.</t>
  </si>
  <si>
    <t xml:space="preserve"> ARMAZEM BECKKER LTDA</t>
  </si>
  <si>
    <t>COMISSÃO CORRETOR CARREGAMENTO Nº 01940, CONTRATO COMPRA: 0355/25 - MV. MUNGO VERDE ADEMAR VANZELA PARA. EXTRATI JOEL FLORENCO DE SOUZA. FATURA Nº 00878 REF. DOCUMENTOS: 01940, 01941. CONTABILIDADE BAIXAR MUTUO.</t>
  </si>
  <si>
    <t>0355/25 - MV</t>
  </si>
  <si>
    <t>COMISSÃO CONTRATOS (CORRETORA)</t>
  </si>
  <si>
    <t>COMPRA PARCELA Nº 01 Ref Documento nº 342107</t>
  </si>
  <si>
    <t xml:space="preserve"> M. C. COM. ATAC. DE MAT. DE CONST LTDA 3215-3346</t>
  </si>
  <si>
    <t>342107</t>
  </si>
  <si>
    <t>NOTA</t>
  </si>
  <si>
    <t>COMPRA PARCELA Nº 01 Ref Documento nº 33570. EXTRATO JOEL FLORENCO DE SOUZA</t>
  </si>
  <si>
    <t xml:space="preserve"> REVEST REVESTIMENTOS LTDA-ME</t>
  </si>
  <si>
    <t>33570</t>
  </si>
  <si>
    <t>COMPRA PARCELA Nº 01 Ref Documento nº 791</t>
  </si>
  <si>
    <t xml:space="preserve"> TRATERRA LUZIMANGUES COMERCIO DE PECAS AGRICOLA</t>
  </si>
  <si>
    <t>791</t>
  </si>
  <si>
    <t>COMPRA PARCELA Nº 01 Ref Documento nº 15</t>
  </si>
  <si>
    <t xml:space="preserve"> R A MARMORARIA CRISTAL E GRANITOS LTDA</t>
  </si>
  <si>
    <t>15</t>
  </si>
  <si>
    <t>COMPRA PARCELA Nº 01 Ref Documento nº 27544</t>
  </si>
  <si>
    <t xml:space="preserve"> DIVIPLACAS COMERCIO E SERVICOS DE DIVISORIAS LTDA</t>
  </si>
  <si>
    <t>27544</t>
  </si>
  <si>
    <t>COMPRA PARCELA Nº 01 Ref Documento nº 33964</t>
  </si>
  <si>
    <t>33964</t>
  </si>
  <si>
    <t>COMPRA PARCELA Nº 01 Ref Documento nº 803</t>
  </si>
  <si>
    <t>803</t>
  </si>
  <si>
    <t>COMPRA PARCELA Nº 01 Ref Documento nº 123547</t>
  </si>
  <si>
    <t>123547</t>
  </si>
  <si>
    <t>COMPRA PARCELA Nº 01 Ref Documento nº 16037</t>
  </si>
  <si>
    <t xml:space="preserve"> COMERCIAL INSTALADORA JODE LTDA- EPP -63-3215-1155</t>
  </si>
  <si>
    <t>16037</t>
  </si>
  <si>
    <t>COMPRA PARCELA Nº 01 Ref Documento nº 14736</t>
  </si>
  <si>
    <t>14736</t>
  </si>
  <si>
    <t>COMPRA PARCELA Nº 01 Ref Documento nº 1401</t>
  </si>
  <si>
    <t>1401</t>
  </si>
  <si>
    <t>MATERIAIS DE ESCRITÓRIO - RÉGUA, GRAMPO, PASTA SANFONADA, CLIPS, MOUSE PAD, TESOURA, PASTA ABA ELAS, PORTA CANETAS, POST IT, GRAMPEADOR, , LIVRO PONTO</t>
  </si>
  <si>
    <t xml:space="preserve"> T M FERREIRA LTDA</t>
  </si>
  <si>
    <t>12972</t>
  </si>
  <si>
    <t>HONORÁRIOS DIVÉRSOS</t>
  </si>
  <si>
    <t xml:space="preserve"> TOCANTINS GRAOS LTDA</t>
  </si>
  <si>
    <t>1</t>
  </si>
  <si>
    <t>COMPRA PARCELA Nº 01 Ref Documento nº 8. BAIXAR R$ 678,00 DE ADIANTAMENTO A FORNCEDORES PAGO EM 09/02/2026.</t>
  </si>
  <si>
    <t>CARTAO DE CREDITO. NF 85268 R$ 3.927,88. NF 282192 FRETEBRAS R$ 500,00. ADIANTAMENTO A FORNECEDORES R$ 337,50 NF 692.</t>
  </si>
  <si>
    <t>COMPRA PARCELA Nº 01 Ref Documento nº 692. BAIXAR R$ R$ 337,50 DE ADIANTAMENTO A FORNECEDORES NF 692 (CARTAO DE CRETIDO).</t>
  </si>
  <si>
    <t xml:space="preserve"> PAZINI CONFECCOES LTDA</t>
  </si>
  <si>
    <t>692</t>
  </si>
  <si>
    <t>NF 202600000000006. ARMAZENAMENTO FEIJAO OLHO NEGRO 10.360 KG (JUN/25 A MAR/26) E MUNGO VERDE 18.808 KG (JUL/25 A MAR/26).</t>
  </si>
  <si>
    <t>202600000000006</t>
  </si>
  <si>
    <t>SALDO FRETE Nº 02410, CTE 11156 HMS, CONTRATO: 0367/26 - MV. PLACA: IKY-0H92, MOTORISTA: NEURO CIVARDI</t>
  </si>
  <si>
    <t>02410</t>
  </si>
  <si>
    <t>SALDO FRETE Nº 02411, CTE 11156 HMS, CONTRATO: 0368/26 - FC. PLACA: IKY-0H92, MOTORISTA: NEURO CIVARDI</t>
  </si>
  <si>
    <t>02411</t>
  </si>
  <si>
    <t>NomeCC</t>
  </si>
  <si>
    <t>NF 5966.</t>
  </si>
  <si>
    <t xml:space="preserve"> GERENTE MAX SOFTWARES EIRELI</t>
  </si>
  <si>
    <t>5966</t>
  </si>
  <si>
    <t>1/12</t>
  </si>
  <si>
    <t>AJUSTE TEMO DE MOEDA OPERACAO Nº 2998848.</t>
  </si>
  <si>
    <t>2998848</t>
  </si>
  <si>
    <t>FCO LIBRELATO 713.904.432.</t>
  </si>
  <si>
    <t>713.904.432</t>
  </si>
  <si>
    <t>PRESTACAO</t>
  </si>
  <si>
    <t>53/60</t>
  </si>
  <si>
    <t>JUROS FCO</t>
  </si>
  <si>
    <t>FCO DAF 713.906.837 PARCELA 41/60.</t>
  </si>
  <si>
    <t>713.906.837</t>
  </si>
  <si>
    <t>41/60</t>
  </si>
  <si>
    <t>TARIFA</t>
  </si>
  <si>
    <t>INTERNET ESCRITORIO FATURA 2412928778748.</t>
  </si>
  <si>
    <t xml:space="preserve"> CLARO S.A.</t>
  </si>
  <si>
    <t>2412928778748</t>
  </si>
  <si>
    <t>12/12</t>
  </si>
  <si>
    <t>COMISSÃO CORRETOR, CONTRATO VENDA: 0295/24 - SO. FATURA Nº 00738 REF. DOCUMENTOS: 01027, 01052, 01053, 01025, 01026, 01028, 01029, 01030, 01031, 01041, 01040, 01032, 01033, 01034, 01035, 01036, 01037, 01038, 01039, 01042, 01043, 01045, 01047, 01046, 01048</t>
  </si>
  <si>
    <t>FATURA 00738</t>
  </si>
  <si>
    <t>NF 265. DESENVOLVIMENTO FOLDER.</t>
  </si>
  <si>
    <t xml:space="preserve"> ORBITAL DESENVOLVIMENTO E INTELIGENCIA DIGITAL LTDA</t>
  </si>
  <si>
    <t>265</t>
  </si>
  <si>
    <t>1/2</t>
  </si>
  <si>
    <t>NF 2 SERVICO DE SUPORTE TECNICO EM INFRAESTRUTURA DE TI.</t>
  </si>
  <si>
    <t xml:space="preserve"> G. M. PAIAO TECNOLOGIA</t>
  </si>
  <si>
    <t>2</t>
  </si>
  <si>
    <t>APLICE 01121021000209 REF 11/2024. FATURA Nº 00759 REF. DOCUMENTOS: 01629, 01623, 01626, FATURA 00743.</t>
  </si>
  <si>
    <t xml:space="preserve"> HDI SEGUROS S.A.</t>
  </si>
  <si>
    <t>11/2024</t>
  </si>
  <si>
    <t>TARIFA CONTA GARANTIDA.</t>
  </si>
  <si>
    <t>TARIFA MANUTENCAO CONTA.</t>
  </si>
  <si>
    <t>CONSORCIO.</t>
  </si>
  <si>
    <t>CONSORCIO</t>
  </si>
  <si>
    <t>TAXA FLET CAPITAL DE GIRO CEDULA DE CREDITO BANCARIO NR 713.914.635.</t>
  </si>
  <si>
    <t>IOF CAPITAL DE GIRO CEDULA DE CREDITO BANCARIO NR 713.914.635.</t>
  </si>
  <si>
    <t>TAXA CAPTACAO CAPITAL DE GIRO CEDULA DE CREDITO BANCARIO NR 713.914.635.</t>
  </si>
  <si>
    <t>TAXA REGISTRO LIVROS FISCAS DIARIO OUT/2024.</t>
  </si>
  <si>
    <t xml:space="preserve"> SEFAZ MT ESTADO DE MATO GROSSO</t>
  </si>
  <si>
    <t>DESENVOLVIMENTO WEBSITE.</t>
  </si>
  <si>
    <t>MERCADORIA REF NF 127, CARREGAMENTO  Nº 01636, CONTRATO: 0351/25 - ML. PLACA: FIV-1F92, MOTORISTA: EDER EDUARDO BARBOSA. NF 1497 DEVOLUCAO VALOR.</t>
  </si>
  <si>
    <t xml:space="preserve"> OSCAR NOBUHIRO ISHIDA</t>
  </si>
  <si>
    <t>TELEFONE 12/2024. Nº da conta: 149591054.</t>
  </si>
  <si>
    <t>149591054</t>
  </si>
  <si>
    <t>REPARCELAMENTO REFIS. NUMERO DO PARCELAMENTO 11257711 ICMS. VALOR TOTAL R$ 338.571,58 15/60 PARCELAS.</t>
  </si>
  <si>
    <t>15/60</t>
  </si>
  <si>
    <t>PAGAMENTO ANTECIPADO CONTRATO CONTRA E VANDA 041/2025 (BELA X MM).</t>
  </si>
  <si>
    <t>041/2025</t>
  </si>
  <si>
    <t>CAPITAL DE GIRO CEDULA DE CREDITO BANCARIO NR 713.912.618. 10/18 PARCELAS PRIMEIRA 20/04/2024 ULTIMA 20/08/2025 VALOR PARCELA: R$ 55.555,56. ENCARGO FINANCEIRO 1,48 % MES. TAXA FLAT 0,50%.</t>
  </si>
  <si>
    <t>713.912.618</t>
  </si>
  <si>
    <t>10/18</t>
  </si>
  <si>
    <t>CSSL 4º TRIMESTRE 2024.</t>
  </si>
  <si>
    <t>12/2024</t>
  </si>
  <si>
    <t>REFERENCA JANEIRO/2025.</t>
  </si>
  <si>
    <t xml:space="preserve"> COMPANHIA DE SANEAMENTO DO TOCANTINS - SANEATINS</t>
  </si>
  <si>
    <t>REFERENTE 12/2024</t>
  </si>
  <si>
    <t xml:space="preserve"> INSS INSTITUTO NACIONAL DE SEGURANCA SOCIAL</t>
  </si>
  <si>
    <t>TARIFA SERVICO DE CAMBIO</t>
  </si>
  <si>
    <t>TARIFA EXPORTACAO</t>
  </si>
  <si>
    <t>NF 39502. FRETE ANALISE LABORATORIO FEIJAO CTR 0340/24 - MP</t>
  </si>
  <si>
    <t xml:space="preserve"> INTECSO - SOLUCOES E INOVACOES EM AGRONEGOCIOS LTDA</t>
  </si>
  <si>
    <t>39502</t>
  </si>
  <si>
    <t>CAPITAL DE GIRO CEDULA DE CREDITO BANCARIO NR 713.912.396. 12/30 PARCELAS PRIMEIRA 26/02/2024 ULTIMA 26/07/2026 VALOR PARCELA: R$ 33.666,57. ENCARGO FINANCEIRO 1,40 % MES. TAXA FLAT 0,50%.</t>
  </si>
  <si>
    <t>713.912.396</t>
  </si>
  <si>
    <t>12/30</t>
  </si>
  <si>
    <t>CARTAO DE CREDITO</t>
  </si>
  <si>
    <t>MERCADORIA REF NF 128, CARREGAMENTO  Nº 01637, CONTRATO: 0351/25 - ML. PLACA: XXX-9999, MOTORISTA: JOEL FLORENCO DE SOUZA. NF BELA 1497 DEVOLUCAO VALOR.</t>
  </si>
  <si>
    <t>MERCADORIA REF NF 129, CARREGAMENTO  Nº 01638, CONTRATO: 0351/25 - ML. PLACA: XXX-9999, MOTORISTA: JOEL FLORENCO DE SOUZA. NF BELA 1497 DEVOLUCAO VALOR.</t>
  </si>
  <si>
    <t>TAXA REGISTRO LIVROS FISCAS 2022.</t>
  </si>
  <si>
    <t>PAGAMENTO ANTECIPADO CONTRATO CONTRA E VANDA 042/2025 (BELA X MM).</t>
  </si>
  <si>
    <t>042/2025</t>
  </si>
  <si>
    <t>REGISTRO DOMINIO MARCA MM.</t>
  </si>
  <si>
    <t xml:space="preserve"> NUCLEO DE INFORMACAO E COORDENACAO DO PONTO BR - NIC .BR</t>
  </si>
  <si>
    <t>IRPJ 4º TRIMESTRE 2024.</t>
  </si>
  <si>
    <t>PRO LABORE.</t>
  </si>
  <si>
    <t>ARRECADAÇÃO MUNICIPAL TAXA LICENCA FUNCIONAMENTO 2025.</t>
  </si>
  <si>
    <t xml:space="preserve"> PREFEITURA DE CUIABA</t>
  </si>
  <si>
    <t>SALDO FRETE Nº 01636, CTE 17359, CONTRATO: 0354/25 - ML. PLACA: FIV-1F92, MOTORISTA: EDER EDUARDO BARBOSA. EXTRATO FEROLI TRANSPORTES.</t>
  </si>
  <si>
    <t xml:space="preserve"> EDER EDUARDO BARBOSA</t>
  </si>
  <si>
    <t>SALDO FRETE Nº 01638, CTE 17366, CONTRATO: 0354/25 - ML. PLACA: XXX-9999, MOTORISTA: JOEL FLORENCO DE SOUZA. EXTRATO FEROLI TRANSPORTES.</t>
  </si>
  <si>
    <t>SALDO FRETE Nº 01637, CTE 17363, CONTRATO: 0354/25 - ML. PLACA: XXX-9999, MOTORISTA: JOEL FLORENCO DE SOUZA. FATURA Nº 00760 REF. DOCUMENTOS: 01637, 01637. EXTRATO FEROLI TRANSPORTES.</t>
  </si>
  <si>
    <t>SALDO FRETE Nº 01636, CTE 26868 PARCIAL, CONTRATO: 0354/25 - ML. PLACA: FIV-1F92, MOTORISTA: EDER EDUARDO BARBOSA. EXTRATO FEROLI TRANSPORTES.</t>
  </si>
  <si>
    <t>SALDO FRETE Nº 01638, CTE 17363, CONTRATO: 0354/25 - ML. PLACA: XXX-9999, MOTORISTA: JOEL FLORENCO DE SOUZA. EXTRATO FEROLI TRANSPORTES.</t>
  </si>
  <si>
    <t>SALDO FRETE Nº 01638, CTE 32200 PARCIAL,  CONTRATO: 0354/25 - ML. PLACA: XXX-9999, MOTORISTA: JOEL FLORENCO DE SOUZA. EXTRATO FEROLI TRANSPORTES.</t>
  </si>
  <si>
    <t>RELATORIO DE DESPESAS JAN/2025.</t>
  </si>
  <si>
    <t>IR APLICACAO</t>
  </si>
  <si>
    <t>IOF APLICACAO</t>
  </si>
  <si>
    <t>NF 6121.</t>
  </si>
  <si>
    <t>6121</t>
  </si>
  <si>
    <t>2/12</t>
  </si>
  <si>
    <t>54/60</t>
  </si>
  <si>
    <t>FCO DAF 713.906.837 PARCELA 42/60.</t>
  </si>
  <si>
    <t>42/60</t>
  </si>
  <si>
    <t>HONORARIOS 01/2025. NF 1711.</t>
  </si>
  <si>
    <t>1711</t>
  </si>
  <si>
    <t>NF 271. DESENVOLVIMENTO FOLDER.</t>
  </si>
  <si>
    <t>271</t>
  </si>
  <si>
    <t>2/2</t>
  </si>
  <si>
    <t>SAIDA DE MUTUO.</t>
  </si>
  <si>
    <t>INTERNET ESCRITORIO FATURA 2501928768731.</t>
  </si>
  <si>
    <t>2501928768731</t>
  </si>
  <si>
    <t>MERCADORIA REF NF 127, 128, 129 PARCIAL, CARREGAMENTO  Nº 01638, 01637, 01636, CONTRATO: 0351/25 - ML. PLACA: XXX-9999, MOTORISTA: JOEL FLORENCO DE SOUZA. NF BELA 1497 DEVOLUCAO VALOR. FATURA Nº 00761 REF. DOCUMENTOS: 01630, 01638, 01637.</t>
  </si>
  <si>
    <t>BAIXAR MUTUO.</t>
  </si>
  <si>
    <t>REGISTRO BACEN CPR EUROCHEM X BOCALON.</t>
  </si>
  <si>
    <t xml:space="preserve"> B3 S.A. - BRASIL</t>
  </si>
  <si>
    <t>5270116201</t>
  </si>
  <si>
    <t>NF 14 SERVICO DE SUPORTE TECNICO EM INFRAESTRUTURA DE TI.</t>
  </si>
  <si>
    <t>14</t>
  </si>
  <si>
    <t>JUROS CAPITAL DE GIRO CEDULA DE CREDITO BANCARIO NR 713.914.635</t>
  </si>
  <si>
    <t>ANUIDADE ASSOCIACAO.</t>
  </si>
  <si>
    <t xml:space="preserve"> CAMARA DE COMERCIO ARABE BRASILEIRA</t>
  </si>
  <si>
    <t>2/5</t>
  </si>
  <si>
    <t>REFERENCA FEVEREIRO/2025.</t>
  </si>
  <si>
    <t>PAGAMENTO ANTECIPADO CRT 0357/25 - SO. NF 1546, 1547, 1548, 1549.</t>
  </si>
  <si>
    <t xml:space="preserve"> CESAR TORRES VEDANA</t>
  </si>
  <si>
    <t>ANTECIPACAO CONTRATO 0355/25 - CA</t>
  </si>
  <si>
    <t xml:space="preserve"> M.R. CEREAIS LTDA</t>
  </si>
  <si>
    <t>TELEFONE 01/2025. Nº da conta: 149591054.</t>
  </si>
  <si>
    <t>FUNRURAL MERCADORIA REF NF 127, 128, 129, CARREGAMENTO  Nº 01638, CONTRATO: 0351/25 - ML. PLACA: XXX-9999, MOTORISTA: JOEL FLORENCO DE SOUZA. NF BELA 1497 DEVOLUCAO VALOR. FATURA Nº 00761 REF. DOCUMENTOS: 01630, 01638, 01637.</t>
  </si>
  <si>
    <t>FUNRURAL</t>
  </si>
  <si>
    <t>REFERENTE 01/2025</t>
  </si>
  <si>
    <t>PAGAMENTO ANTECIPADO CRT 0357/25 - SO. NF 1538, 1540, 1543, 1544.</t>
  </si>
  <si>
    <t>CAPITAL DE GIRO CEDULA DE CREDITO BANCARIO NR 713.912.618. 11/18 PARCELAS PRIMEIRA 20/04/2024 ULTIMA 20/08/2025 VALOR PARCELA: R$ 55.555,56. ENCARGO FINANCEIRO 1,48 % MES. TAXA FLAT 0,50%.</t>
  </si>
  <si>
    <t>11/18</t>
  </si>
  <si>
    <t>COMISSÃO CORRETOR, CONTRATO VENDA: 0354/25 - ML. FATURA Nº 00764 REF. DOCUMENTOS: 01636, 01637, 01638.</t>
  </si>
  <si>
    <t xml:space="preserve"> PAULISTA CORRETORA DE CEREAIS LTDA</t>
  </si>
  <si>
    <t>FATURA 00764</t>
  </si>
  <si>
    <t>CURSO HALAL.</t>
  </si>
  <si>
    <t>CAPITAL DE GIRO CEDULA DE CREDITO BANCARIO NR 713.912.396. 13/30 PARCELAS PRIMEIRA 26/02/2024 ULTIMA 26/07/2026 VALOR PARCELA: R$ 33.666,57. ENCARGO FINANCEIRO 1,40 % MES. TAXA FLAT 0,50%.</t>
  </si>
  <si>
    <t>13/30</t>
  </si>
  <si>
    <t>RELATORIO DE DESPESAS FEV/2025.</t>
  </si>
  <si>
    <t xml:space="preserve"> BANCO DA AMAZONIA</t>
  </si>
  <si>
    <t>HONORARIOS 02/2025. NF 1743.</t>
  </si>
  <si>
    <t>1743</t>
  </si>
  <si>
    <t>REPARCELAMENTO REFIS. NUMERO DO PARCELAMENTO 11257711 ICMS. VALOR TOTAL R$ 338.571,58 16/60 PARCELAS.</t>
  </si>
  <si>
    <t>16/60</t>
  </si>
  <si>
    <t>APLICE 01121021000209 REF 12/2024. FATURA Nº 00759 REF. DOCUMENTOS: 01629, 01623, 01626, FATURA 00743.</t>
  </si>
  <si>
    <t>CARTAO DE CREDITO. NF 1254 GRAFICA.</t>
  </si>
  <si>
    <t>ANTECIPACAO CONTRATO 0356/25 - CA. REF NF 1024, 1038, 1041, 1049, 1058, 1053, 1063, 1092, 1093.</t>
  </si>
  <si>
    <t xml:space="preserve"> SHEILLA MARIE MONTAGNI BREZOLIN</t>
  </si>
  <si>
    <t>NF 163439 E 1109.</t>
  </si>
  <si>
    <t xml:space="preserve"> DISTRIBUIDORA DE VEICULOS PALMAS LTDA</t>
  </si>
  <si>
    <t>163439</t>
  </si>
  <si>
    <t>INTERNET ESCRITORIO FATURA 2502928758916.</t>
  </si>
  <si>
    <t>2502928758916</t>
  </si>
  <si>
    <t>NF 6268.</t>
  </si>
  <si>
    <t>6268</t>
  </si>
  <si>
    <t>3/12</t>
  </si>
  <si>
    <t>55/60</t>
  </si>
  <si>
    <t>FCO DAF 713.906.837 PARCELA 43/60.</t>
  </si>
  <si>
    <t>43/60</t>
  </si>
  <si>
    <t>3/5</t>
  </si>
  <si>
    <t>5275625901</t>
  </si>
  <si>
    <t>NF 20. SERVICO DE SUPORTE TECNICO EM INFRAESTRUTURA DE TI.</t>
  </si>
  <si>
    <t>20</t>
  </si>
  <si>
    <t>TARIFA.</t>
  </si>
  <si>
    <t>NF 161. HONORARIOS ADVOCATICIO PROCESSO SEFAZ 5205697/2017. PROCESSO JUDICIAL Número: 1024461-44.2022.8.11.0041.</t>
  </si>
  <si>
    <t xml:space="preserve"> MARTINS PORTO SOCIEDADE INDIVIDUAL DE ADVOCACIA</t>
  </si>
  <si>
    <t>161</t>
  </si>
  <si>
    <t>TELEFONE 02/2025. Nº da conta: 149591054.</t>
  </si>
  <si>
    <t>PAGAMENTO CONTRATO 0357/25 - SO</t>
  </si>
  <si>
    <t>SENAR REF NF 1139, CARREGAMENTO  Nº 01720, CONTRATO: 0359/25 - MP. PLACA: XXX-9999, MOTORISTA: JOEL FLORENCO DE SOUZA</t>
  </si>
  <si>
    <t>APLICE 01121021000209 REF 01/2025. FATURA Nº 00759 REF. DOCUMENTOS: 01629, 01623, 01626, FATURA 00743.</t>
  </si>
  <si>
    <t>MERCADORIA REF NF 3907, CARREGAMENTO Nº 01776, CONTRATO: 0365/25 - SO. PLACA: XXX-9999, MOTORISTA: JOEL FLORENCO DE SOUZA</t>
  </si>
  <si>
    <t>MERCADORIA REF NF 3911, CARREGAMENTO Nº 01777, CONTRATO COMPRA: 0364/25 - SO. PLACA: XXX-9999, MOTORISTA: JOEL FLORENCO DE SOUZA</t>
  </si>
  <si>
    <t>REFERENTE 02/2025</t>
  </si>
  <si>
    <t>CAPITAL DE GIRO CEDULA DE CREDITO BANCARIO NR 713.912.618. 12/18 PARCELAS PRIMEIRA 20/04/2024 ULTIMA 20/08/2025 VALOR PARCELA: R$ 55.555,56. ENCARGO FINANCEIRO 1,48 % MES. TAXA FLAT 0,50%.</t>
  </si>
  <si>
    <t>12/18</t>
  </si>
  <si>
    <t>REFERENCA MARCO/2025.</t>
  </si>
  <si>
    <t>MERCADORIA REF NF 3927, CARREGAMENTO Nº 01780, CONTRATO VENDA: 0365/25 - SO. PLACA: XXX-9999, MOTORISTA: JOEL FLORENCO DE SOUZA</t>
  </si>
  <si>
    <t>ADTO FRETE Nº 01781, CTE 37645, CONTRATO: 0365/25 - SO. PLACA: HBG-7932, MOTORISTA: WAGNER VEIGA DOMICIANO</t>
  </si>
  <si>
    <t xml:space="preserve"> WAGNER VEIGA DOMICIANO</t>
  </si>
  <si>
    <t>MERCADORIA REF NF 3938, CARREGAMENTO  Nº 01781, CONTRATO: 0364/25 - SO. PLACA: HBG-7932, MOTORISTA: WAGNER VEIGA DOMICIANO</t>
  </si>
  <si>
    <t>SALDO FRETE Nº 01781, CTE 37645, CONTRATO: 0365/25 - SO. PLACA: HBG-7932, MOTORISTA: WAGNER VEIGA DOMICIANO</t>
  </si>
  <si>
    <t>EXPORTACAO FEIJAO</t>
  </si>
  <si>
    <t xml:space="preserve"> CMA CGM DO BRASIL AGENCIA MARITIMA LTDA</t>
  </si>
  <si>
    <t>MERCADORIA REF NF 3945, CARREGAMENTO  Nº 01788, CONTRATO: 0364/25 - SO. PLACA: XXX-9999, MOTORISTA: JOEL FLORENCO DE SOUZA</t>
  </si>
  <si>
    <t>MERCADORIA REF NF 3944,  CARREGAMENTO  Nº 01789, CONTRATO: 0364/25 - SO. PLACA: XXX-9999, MOTORISTA: JOEL FLORENCO DE SOUZA</t>
  </si>
  <si>
    <t>ADTO FRETE Nº 01784, CTE 37677, CONTRATO: 0365/25 - SO. PLACA: MML-4E30, MOTORISTA: PATRICK MARCOS DE OLIVEIRA SILVA. EXTRATO AF DIESEL.</t>
  </si>
  <si>
    <t xml:space="preserve"> PATRICK MARCOS DE OLIVEIRA SILVA</t>
  </si>
  <si>
    <t>MERCADORIA REF NF 3946, CARREGAMENTO  Nº 01784, CONTRATO: 0364/25 - SO. PLACA: MML-4E30, MOTORISTA: PATRICK MARCOS DE OLIVEIRA SILVA</t>
  </si>
  <si>
    <t>ADTO FRETE Nº 01785, CTE 37679, CONTRATO: 0365/25 - SO. PLACA: MPI-2I18, MOTORISTA: MATHEUS DE OLIVEIRA BARBOSA. EXTRATO AF DIESEL.</t>
  </si>
  <si>
    <t xml:space="preserve"> MATHEUS DE OLIVEIRA BARBOSA</t>
  </si>
  <si>
    <t>MERCADORIA REF NF 3947, CARREGAMENTO  Nº 01785, CONTRATO: 0364/25 - SO. PLACA: MPI-2I18, MOTORISTA: MATHEUS DE OLIVEIRA BARBOSA</t>
  </si>
  <si>
    <t>ADTO FRETE Nº 01787, CTE 37685, CONTRATO: 0365/25 - SO. PLACA: FEI-5G29, MOTORISTA: DECIO FLORENTINO. EXTRATO T Z Transporte e Prestadora de Servicos</t>
  </si>
  <si>
    <t xml:space="preserve"> DECIO FLORENTINO</t>
  </si>
  <si>
    <t>MERCADORIA REF NF 3948, CARREGAMENTO  Nº 01787, CONTRATO: 0364/25 - SO. PLACA: FEI-5G29, MOTORISTA: DECIO FLORENTINO</t>
  </si>
  <si>
    <t>ADTO FRETE Nº 01786, CTE 37686, CONTRATO: 0365/25 - SO. PLACA: GEJ-0D18, MOTORISTA: GILBERTO DE JESUS SEGURO. EXTRATO T Z Transporte e Prestadora de Servicos</t>
  </si>
  <si>
    <t xml:space="preserve"> GILBERTO DE JESUS SEGURO</t>
  </si>
  <si>
    <t>MERCADORIA REF NF 3949, CARREGAMENTO  Nº 01786, CONTRATO: 0364/25 - SO. PLACA: GEJ-0D18, MOTORISTA: GILBERTO DE JESUS SEGURO</t>
  </si>
  <si>
    <t>CAPITAL DE GIRO CEDULA DE CREDITO BANCARIO NR 713.912.396. 14/30 PARCELAS PRIMEIRA 26/02/2024 ULTIMA 26/07/2026 VALOR PARCELA: R$ 33.666,57. ENCARGO FINANCEIRO 1,40 % MES. TAXA FLAT 0,50%.</t>
  </si>
  <si>
    <t>14/30</t>
  </si>
  <si>
    <t>BAIXAR MUTUO</t>
  </si>
  <si>
    <t>ANUIDADE 2025.</t>
  </si>
  <si>
    <t xml:space="preserve"> CONSELHO REG DOS REPRES COMERCIAIS DO ESTADO DE MT</t>
  </si>
  <si>
    <t>HONORARIOS 03/2025. NF 1751.</t>
  </si>
  <si>
    <t>1751</t>
  </si>
  <si>
    <t>MERCADORIA REF NF 3952, CARREGAMENTO  Nº 01796, CONTRATO: 0364/25 - SO. PLACA: XXX-9999, MOTORISTA: JOEL FLORENCO DE SOUZA</t>
  </si>
  <si>
    <t>MERCADORIA REF NF 3953, CARREGAMENTO  Nº 01798, CONTRATO: 0364/25 - SO. PLACA: XXX-9999, MOTORISTA: JOEL FLORENCO DE SOUZA</t>
  </si>
  <si>
    <t>MERCADORIA REF NF 3955, CARREGAMENTO  Nº 01801, CONTRATO: 0364/25 - SO. PLACA: XXX-9999, MOTORISTA: JOEL FLORENCO DE SOUZA</t>
  </si>
  <si>
    <t>MERCADORIA REF NF 3956, CARREGAMENTO  Nº 01803, CONTRATO: 0364/25 - SO. PLACA: XXX-9999, MOTORISTA: JOEL FLORENCO DE SOUZA</t>
  </si>
  <si>
    <t>MERCADORIA REF NF 3954, CARREGAMENTO  Nº 01797, CONTRATO: 0364/25 - SO. PLACA: XXX-9999, MOTORISTA: JOEL FLORENCO DE SOUZA</t>
  </si>
  <si>
    <t>MERCADORIA REF NF 3966, CARREGAMENTO  Nº 01709, CONTRATO: 0364/25 - SO. PLACA: XXX-9999, MOTORISTA: JOEL FLORENCO DE SOUZA</t>
  </si>
  <si>
    <t>REPARCELAMENTO REFIS. NUMERO DO PARCELAMENTO 11257711 ICMS. VALOR TOTAL R$ 338.571,58 17/60 PARCELAS.</t>
  </si>
  <si>
    <t>17/60</t>
  </si>
  <si>
    <t>ADTO FRETE Nº 01794, CTE 20332, CONTRATO: 0365/25 - SO. PLACA: GCB-5I68, MOTORISTA: JAIR RIBEIRO. EXTRATO TZ TRANSPORTES.</t>
  </si>
  <si>
    <t xml:space="preserve"> JAIR RIBEIRO</t>
  </si>
  <si>
    <t>MERCADORIA REF NF 3958, CARREGAMENTO  Nº 01794, CONTRATO: 0364/25 - SO. PLACA: GCB-5I68, MOTORISTA: JAIR RIBEIRO</t>
  </si>
  <si>
    <t>ADTO FRETE Nº 01793, CTE 20350, CONTRATO: 0365/25 - SO. PLACA: GEQ-7D51, MOTORISTA: RICARDO CAVALANI. EXTRATO TZ TRANSPORTES.</t>
  </si>
  <si>
    <t xml:space="preserve"> RICARDO CAVALANI</t>
  </si>
  <si>
    <t>MERCADORIA REF NF 3963, CARREGAMENTO  Nº 01793, CONTRATO: 0364/25 - SO. PLACA: GEQ-7D51, MOTORISTA: RICARDO CAVALANI</t>
  </si>
  <si>
    <t>ADTO FRETE Nº 01795, CTE 20349, CONTRATO: 0365/25 - SO. PLACA: ONL-9C64, MOTORISTA: JOSE EDMILSON DA SILVA. EXTRATO TZ TRANSPORTES</t>
  </si>
  <si>
    <t xml:space="preserve"> JOSE EDMILSON DA SILVA</t>
  </si>
  <si>
    <t>MERCADORIA REF NF 3962, CARREGAMENTO  Nº 01795, CONTRATO: 0364/25 - SO. PLACA: ONL-9C64, MOTORISTA: JOSE EDMILSON DA SILVA</t>
  </si>
  <si>
    <t>CTE 19536. FATURA Nº 00767 REF. DOCUMENTOS: 01795, 01784, 01785, 01787, 01793, 01786, 01794.</t>
  </si>
  <si>
    <t>FATURA 00767</t>
  </si>
  <si>
    <t>RELATORIO DE DESPESAS</t>
  </si>
  <si>
    <t>TARIFAS</t>
  </si>
  <si>
    <t>CANCELAMENTO NF 1518.</t>
  </si>
  <si>
    <t>NF 6411.</t>
  </si>
  <si>
    <t>6411</t>
  </si>
  <si>
    <t>4/12</t>
  </si>
  <si>
    <t>56/60</t>
  </si>
  <si>
    <t>FCO DAF 713.906.837 PARCELA 44/60.</t>
  </si>
  <si>
    <t>44/60</t>
  </si>
  <si>
    <t>SALDO FRETE Nº 01784, CTE 37677, CONTRATO: 0365/25 - SO. PLACA: MML-4E30, MOTORISTA: PATRICK MARCOS DE OLIVEIRA SILVA. EXTRATO AF DIESEL.</t>
  </si>
  <si>
    <t>SALDO FRETE Nº 01785, CTE 37679, CONTRATO: 0365/25 - SO. PLACA: MPI-2I18, MOTORISTA: MATHEUS DE OLIVEIRA BARBOSA. EXTRATO AF DIESEL.</t>
  </si>
  <si>
    <t>ANUIDADE ASSOCIACAO</t>
  </si>
  <si>
    <t>4/5</t>
  </si>
  <si>
    <t>INTERNET ESCRITORIO FATURA 2503928765908.</t>
  </si>
  <si>
    <t>2503928765908</t>
  </si>
  <si>
    <t>FETHAB CONTRATO COMPRA: 0364/25 - SO. 828,18 tons. FATURA Nº 00770 REF. DOCUMENTOS: 01780, 01788, 01784, 01785, 01787, 01786, 01796, 01798, 01797, 01776, 01777, 01781, 01789, 01801, 01803, 01794, 01795, 01793, 01709.</t>
  </si>
  <si>
    <t>FETHAB</t>
  </si>
  <si>
    <t>IAGRO CONTRATO COMPRA: 0364/25 - SO. 828,18 tons. FATURA Nº 00770 REF. DOCUMENTOS: 01780, 01788, 01784, 01785, 01787, 01786, 01796, 01798, 01797, 01776, 01777, 01781, 01789, 01801, 01803, 01794, 01795, 01793, 01709.</t>
  </si>
  <si>
    <t>FETHAB CONTRATO 0357/25 - SO. 360 TONS.</t>
  </si>
  <si>
    <t>SENAR CONTRATO 0357/25 - SO. 360 TONS.</t>
  </si>
  <si>
    <t>MERCADORIA REF NF 3970, CARREGAMENTO  Nº 01774, CONTRATO: 0364/25 - SO. PLACA: XXX-9999, MOTORISTA: JOEL FLORENCO DE SOUZA</t>
  </si>
  <si>
    <t>MERCADORIA REF NF 3971, CARREGAMENTO  Nº 01806, CONTRATO: 0364/25 - SO. PLACA: XXX-9999, MOTORISTA: JOEL FLORENCO DE SOUZA</t>
  </si>
  <si>
    <t>MERCADORIA REF NF 3989, CARREGAMENTO  Nº 01807, CONTRATO: 0364/25 - SO. PLACA: XXX-9999, MOTORISTA: JOEL FLORENCO DE SOUZA</t>
  </si>
  <si>
    <t>MERCADORIA REFNF 3990, CARREGAMENTO  Nº 01809 E 01883, CONTRATO: 0364/25 - SO. PLACA: XXX-9999, MOTORISTA: JOEL FLORENCO DE SOUZA</t>
  </si>
  <si>
    <t>MERCADORIA REF NF 3991, CARREGAMENTO  Nº 01813, CONTRATO: 0364/25 - SO. PLACA: XXX-9999, MOTORISTA: JOEL FLORENCO DE SOUZA</t>
  </si>
  <si>
    <t>SALDO FRETE Nº 01787, CTE 37685, CONTRATO: 0365/25 - SO. PLACA: FEI-5G29, MOTORISTA: DECIO FLORENTINO. EXTRATO TZ TRANSPORTES.</t>
  </si>
  <si>
    <t>SALDO FRETE Nº 01786, CTE 37686, CONTRATO: 0365/25 - SO. PLACA: GEJ-0D18, MOTORISTA: GILBERTO DE JESUS SEGURO. EXTRATO TZ TRANSPORTES.</t>
  </si>
  <si>
    <t>SALDO FRETE Nº 01794, CTE 20332, CONTRATO: 0365/25 - SO. PLACA: GCB-5I68, MOTORISTA: JAIR RIBEIRO. EXTRATO TZ TRANSPORTES.</t>
  </si>
  <si>
    <t>SALDO FRETE Nº 01793, CTE 20350, CONTRATO: 0365/25 - SO. PLACA: GEQ-7D51, MOTORISTA: RICARDO CAVALANI. EXTRATO TZ TRANSPORTES.</t>
  </si>
  <si>
    <t>SALDO FRETE Nº 01795, CTE 20349, CONTRATO: 0365/25 - SO. PLACA: ONL-9C64, MOTORISTA: JOSE EDMILSON DA SILVA. EXTRATO TZ TRANSPORTES.</t>
  </si>
  <si>
    <t>NF 994. CONSULTA A PROFISSIONAL. FATURA Nº 00768 REF. DOCUMENTOS: 01795, 01784, 01785, 01786, 01787, 01793, 01794.</t>
  </si>
  <si>
    <t xml:space="preserve"> SGR GERENCIAMENTO DE RISCO LTDA</t>
  </si>
  <si>
    <t>994</t>
  </si>
  <si>
    <t>ADTO FRETE Nº 01808, CTE 20419, CONTRATO: 0365/25 - SO. PLACA: FCE-0J64, MOTORISTA: ELCIO LUIZ DOMINGUES FILHO. EXTRATO Airton santos transportes</t>
  </si>
  <si>
    <t xml:space="preserve"> ELCIO LUIZ DOMINGUES FILHO</t>
  </si>
  <si>
    <t>ADTO FRETE Nº 01811, CTE 20424, CONTRATO: 0365/25 - SO. PLACA: CVC-9D70, MOTORISTA: VANDER LEITE DOS SANTOS. EXTRATO GUERBES TRANSPORTES.</t>
  </si>
  <si>
    <t xml:space="preserve"> VANDER LEITE DOS SANTOS</t>
  </si>
  <si>
    <t>ADTO FRETE Nº 01810, CTE 20425, CONTRATO: 0365/25 - SO. PLACA: BCY-4I29, MOTORISTA: AGENOR MARCELINO. EXTRATO Rudimar Antônio Mondadori</t>
  </si>
  <si>
    <t xml:space="preserve"> AGENOR MARCELINO</t>
  </si>
  <si>
    <t>NF 26. SERVICO DE SUPORTE TECNICO EM INFRAESTRUTURA DE TI.</t>
  </si>
  <si>
    <t>26</t>
  </si>
  <si>
    <t>SALDO FRETE Nº 01776, CTE 4183, CONTRATO: 0365/25 - SO. PLACA: XXX-9999, MOTORISTA: JOEL FLORENCO DE SOUZA</t>
  </si>
  <si>
    <t xml:space="preserve"> RHPAMPA TRANSPORTES LTDA</t>
  </si>
  <si>
    <t>SALDO FRETE Nº 01777, CTE 4181, CONTRATO: 0365/25 - SO. PLACA: XXX-9999, MOTORISTA: JOEL FLORENCO DE SOUZA</t>
  </si>
  <si>
    <t>SALDO FRETE Nº 01780, CTE 4199, CONTRATO: 0365/25 - SO. PLACA: XXX-9999, MOTORISTA: JOEL FLORENCO DE SOUZA</t>
  </si>
  <si>
    <t>SALDO FRETE Nº 01788, CTE 61635, CONTRATO: 0365/25 - SO. PLACA: XXX-9999, MOTORISTA: JOEL FLORENCO DE SOUZA</t>
  </si>
  <si>
    <t>SALDO FRETE Nº 01796, CTE 61795, CONTRATO: 0365/25 - SO. PLACA: XXX-9999, MOTORISTA: JOEL FLORENCO DE SOUZA</t>
  </si>
  <si>
    <t>SALDO FRETE Nº 01798, CTE 61796, CONTRATO: 0365/25 - SO. PLACA: XXX-9999, MOTORISTA: JOEL FLORENCO DE SOUZA</t>
  </si>
  <si>
    <t>SALDO FRETE Nº 01797, CTE 61864, CONTRATO: 0365/25 - SO. PLACA: XXX-9999, MOTORISTA: JOEL FLORENCO DE SOUZA</t>
  </si>
  <si>
    <t>SALDO FRETE Nº 01808, CTE 20419, CONTRATO: 0365/25 - SO. PLACA: FCE-0J64, MOTORISTA: ELCIO LUIZ DOMINGUES FILHO. EXTRATO AIRTON SANTOS TRANSPORTE.</t>
  </si>
  <si>
    <t>MERCADORIA REF NF 1402, CARREGAMENTO  Nº 01800, 01790, 01791,  CONTRATO: 0362/25 - SO. PLACA: XXX-9999, MOTORISTA: JOEL FLORENCO DE SOUZA. FATURA Nº 00771 REF. DOCUMENTOS: 01800, 01790, 01791.</t>
  </si>
  <si>
    <t>1402</t>
  </si>
  <si>
    <t>MERCADORIA REF NF 1418, CARREGAMENTO  Nº 01812, 01814, 01815, CONTRATO: 0362/25 - SO. PLACA: XXX-9999, MOTORISTA: JOEL FLORENCO DE SOUZA. FATURA Nº 00772 REF. DOCUMENTOS: 01812, 01814, 01815.</t>
  </si>
  <si>
    <t>1418</t>
  </si>
  <si>
    <t>MERCADORIA REF NF 1419, CARREGAMENTO  Nº 01817, 01818, 01819, CONTRATO: 0367/25 - SO. PLACA: XXX-9999, MOTORISTA: JOEL FLORENCO DE SOUZA. FATURA Nº 00774 REF. DOCUMENTOS: 01817, 01818, 01819.</t>
  </si>
  <si>
    <t>1419</t>
  </si>
  <si>
    <t>MERCADORIA REF NF 1420, CARREGAMENTO  Nº 01821, 01823, CONTRATO: 0367/25 - SO. PLACA: XXX-9999, MOTORISTA: JOEL FLORENCO DE SOUZA. FATURA Nº 00775 REF. DOCUMENTOS: 01821, 01823.</t>
  </si>
  <si>
    <t>1420</t>
  </si>
  <si>
    <t>MERCADORIA REF NF 1421 PARCIAL, CARREGAMENTO  Nº 01825, 01826, 01827, CONTRATO: 0367/25 - SO. PLACA: XXX-9999, MOTORISTA: JOEL FLORENCO DE SOUZA. FATURA Nº 00776 REF. DOCUMENTOS: 01825, 01826, 01827.</t>
  </si>
  <si>
    <t>1421</t>
  </si>
  <si>
    <t>SALDO FRETE Nº 01789, CTE 61647 CONTRATO: 0365/25 - SO. PLACA: XXX-9999, MOTORISTA: JOEL FLORENCO DE SOUZA</t>
  </si>
  <si>
    <t>SALDO FRETE Nº 01801, CTE 61819, CONTRATO: 0365/25 - SO. PLACA: XXX-9999, MOTORISTA: JOEL FLORENCO DE SOUZA</t>
  </si>
  <si>
    <t>SALDO FRETE Nº 01803, CTE 61822, CONTRATO: 0365/25 - SO. PLACA: XXX-9999, MOTORISTA: JOEL FLORENCO DE SOUZA</t>
  </si>
  <si>
    <t>MERCADORIA REF NF 3996, CARREGAMENTO  Nº 01822, CONTRATO: 0368/25 - SO. PLACA: XXX-9999, MOTORISTA: JOEL FLORENCO DE SOUZA. CESSAO DE CREDITO ADRIANA V REZENDE.</t>
  </si>
  <si>
    <t>MERCADORIA REF NF 4023, CARREGAMENTO  Nº 01845, CONTRATO: 0368/25 - SO. PLACA: XXX-9999, MOTORISTA: JOEL FLORENCO DE SOUZA. CESSAO DE CREDITO ADRIANA V REZENDE.</t>
  </si>
  <si>
    <t>MERCADORIA REF NF 4022, CARREGAMENTO  Nº 01846, CONTRATO: 0368/25 - SO. PLACA: XXX-9999, MOTORISTA: JOEL FLORENCO DE SOUZA. CESSAO DE CREDITO ADRIANA V REZENDE.</t>
  </si>
  <si>
    <t>MERCADORIA REF NF 4024, CARREGAMENTO  Nº 01847, CONTRATO: 0368/25 - SO. PLACA: XXX-9999, MOTORISTA: JOEL FLORENCO DE SOUZA. CESSAO DE CREDITO ADRIANA V REZENDE</t>
  </si>
  <si>
    <t>MERCADORIA REF NF 4025, CARREGAMENTO  Nº 01848, CONTRATO: 0368/25 - SO. PLACA: XXX-9999, MOTORISTA: JOEL FLORENCO DE SOUZA. CESSAO DE CREDITO ADRIANA V REZENDE.</t>
  </si>
  <si>
    <t>MERCADORIA REF NF 1421, CARREGAMENTO  Nº 01825, 01826, 01827, CONTRATO: 0367/25 - SO. PLACA: XXX-9999, MOTORISTA: JOEL FLORENCO DE SOUZA. FATURA Nº 00776 REF. DOCUMENTOS: 01825, 01826, 01827.</t>
  </si>
  <si>
    <t>MERCADORIA REF NF 4030, CARREGAMENTO  Nº 01849, CONTRATO: 0368/25 - SO. PLACA: XXX-9999, MOTORISTA: JOEL FLORENCO DE SOUZA. CESSAO DE CREDITO ADRIANA V REZENDE.</t>
  </si>
  <si>
    <t>MERCADORIA REF NF 4031,  CARREGAMENTO  Nº 01850, CONTRATO: 0368/25 - SO. PLACA: XXX-9999, MOTORISTA: JOEL FLORENCO DE SOUZA. CESSAO DE CREDITO ADRIANA V REZENDE</t>
  </si>
  <si>
    <t>MERCADORIA REF NF 4039, CARREGAMENTO  Nº 01851, CONTRATO: 0368/25 - SO. PLACA: XXX-9999, MOTORISTA: JOEL FLORENCO DE SOUZA. CESSAO DE CREDITO ADRIANA V REZENDE.</t>
  </si>
  <si>
    <t>MERCADORIA REF NF 1439, CARREGAMENTO  Nº 01853, CONTRATO: 0367/25 - SO. PLACA: XXX-9999, MOTORISTA: JOEL FLORENCO DE SOUZA</t>
  </si>
  <si>
    <t>MERCADORIA REF NF 4049, CARREGAMENTO  Nº 01854, CONTRATO: 0368/25 - SO. PLACA: XXX-9999, MOTORISTA: JOEL FLORENCO DE SOUZA. CESSAO DE CREDITO ADRIANA V REZENDE.</t>
  </si>
  <si>
    <t>MERCADORIA REF NF 4052, CARREGAMENTO  Nº 01861, CONTRATO: 0368/25 - SO. PLACA: XXX-9999, MOTORISTA: JOEL FLORENCO DE SOUZA. CESSAO DE CREDITO ADRIANA V REZENDE</t>
  </si>
  <si>
    <t>MERCADORIA REF NF 4048, CARREGAMENTO  Nº 01860, CONTRATO: 0368/25 - SO. PLACA: XXX-9999, MOTORISTA: JOEL FLORENCO DE SOUZA. CESSAO DE CREDITO ADRIANA V REZENDE.</t>
  </si>
  <si>
    <t>MERCADORIA REF NF4053, CARREGAMENTO  Nº 01862, CONTRATO: 0368/25 - SO. PLACA: XXX-9999, MOTORISTA: JOEL FLORENCO DE SOUZA. CESSAO DE CREDITO ADRIANA V REZENDE.</t>
  </si>
  <si>
    <t>CTE 31785. FATURA Nº 00777 REF. DOCUMENTOS: 01808, 01810.</t>
  </si>
  <si>
    <t>FATURA 00777</t>
  </si>
  <si>
    <t>MERCADORIA REF NF 4056, CARREGAMENTO  Nº 01863, CONTRATO: 0368/25 - SO. PLACA: XXX-9999, MOTORISTA: JOEL FLORENCO DE SOUZA. CESSAO DE CREDITO ADRIANA V REZENDE</t>
  </si>
  <si>
    <t>MERCADORIA REF NF 4055, CARREGAMENTO  Nº 01864, CONTRATO: 0368/25 - SO. PLACA: XXX-9999, MOTORISTA: JOEL FLORENCO DE SOUZA. CESSAO DE CREDITO ADRIANA V REZENDE</t>
  </si>
  <si>
    <t>MERCADORIA REF NF 4057, CARREGAMENTO  Nº 01867, CONTRATO: 0368/25 - SO. PLACA: XXX-9999, MOTORISTA: JOEL FLORENCO DE SOUZA. CESSAO DE CREDITO ADRIANA V REZENDE</t>
  </si>
  <si>
    <t>MERCADORIA REF NF 4058, CARREGAMENTO  Nº 01870, CONTRATO: 0368/25 - SO. PLACA: XXX-9999, MOTORISTA: JOEL FLORENCO DE SOUZA</t>
  </si>
  <si>
    <t>SALDO FRETE Nº 01810, CTE 20425, CONTRATO: 0365/25 - SO. PLACA: BCY-4I29, MOTORISTA: AGENOR MARCELINO. EXTRATO ANTONIO MANDADORI.</t>
  </si>
  <si>
    <t>REFERENCA abril/2025.</t>
  </si>
  <si>
    <t>NF 333147 CONSULTA DE PERFIL PROFISSIONAL.</t>
  </si>
  <si>
    <t xml:space="preserve"> BUONNY PROJETOS E SERVICOS DE RISCOS SECURITARIOS LTDA.</t>
  </si>
  <si>
    <t>113147</t>
  </si>
  <si>
    <t>SALDO FRETE Nº 01811, CTE 20424, CONTRATO: 0365/25 - SO. PLACA: CVC-9D70, MOTORISTA: VANDER LEITE DOS SANTOS. EXTRATO Guerbe Transportes.</t>
  </si>
  <si>
    <t>MERCADORIA REF NF 5197, CARREGAMENTO  Nº 01874, CONTRATO: 0371/25 - SO. PLACA: XXX-9999, MOTORISTA: JOEL FLORENCO DE SOUZA</t>
  </si>
  <si>
    <t xml:space="preserve"> VALQUIRIA MARCELINO FERREIRA ABREU</t>
  </si>
  <si>
    <t>MERCADORIA REF NF 5196, CARREGAMENTO  Nº 01873, CONTRATO: 0371/25 - SO. PLACA: XXX-9999, MOTORISTA: JOEL FLORENCO DE SOUZA</t>
  </si>
  <si>
    <t>SALDO FRETE Nº 01709, CTE 61973, CONTRATO: 0365/25 - SO. PLACA: XXX-9999, MOTORISTA: JOEL FLORENCO DE SOUZA</t>
  </si>
  <si>
    <t>SALDO FRETE Nº 01774, CTE 62167, CONTRATO: 0365/25 - SO. PLACA: XXX-9999, MOTORISTA: JOEL FLORENCO DE SOUZA</t>
  </si>
  <si>
    <t>TELEFONE 03/2025. Nº da conta: 149591054.</t>
  </si>
  <si>
    <t>MERCADORIA REF NF 5200, CARREGAMENTO  Nº 01877, CONTRATO: 0371/25 - SO. PLACA: XXX-9999, MOTORISTA: JOEL FLORENCO DE SOUZA</t>
  </si>
  <si>
    <t>SALDO FRETE Nº 01806, CTE 62263, CONTRATO: 0365/25 - SO. PLACA: XXX-9999, MOTORISTA: JOEL FLORENCO DE SOUZA</t>
  </si>
  <si>
    <t>SENAR CONTRATO COMPRA: 0364/25 - SO. 828,18 tons. FATURA Nº 00770 REF. DOCUMENTOS: 01780, 01788, 01784, 01785, 01787, 01786, 01796, 01798, 01797, 01776, 01777, 01781, 01789, 01801, 01803, 01794, 01795, 01793, 01709.</t>
  </si>
  <si>
    <t>MERCADORIA REF NF 3993, CARREGAMENTO  Nº 01808, CONTRATO: 0364/25 - SO. PLACA: FCE-0J64, MOTORISTA: ELCIO LUIZ DOMINGUES FILHO</t>
  </si>
  <si>
    <t>MERCADORIA REF NF 3997, CARREGAMENTO  Nº 01811, CONTRATO: 0364/25 - SO. PLACA: CVC-9D70, MOTORISTA: VANDER LEITE DOS SANTOS</t>
  </si>
  <si>
    <t>MERCADORIA REF NF 3999, CARREGAMENTO  Nº 01810, CONTRATO: 0364/25 - SO. PLACA: BCY-4I29, MOTORISTA: AGENOR MARCELINO</t>
  </si>
  <si>
    <t>MERCADORIA REF NF 4019, CARREGAMENTO  Nº 01833 E 018833, CONTRATO: 0364/25 - SO. PLACA: XXX-9999, MOTORISTA: JOEL FLORENCO DE SOUZA</t>
  </si>
  <si>
    <t>MERCADORIA REF NF 5204, CARREGAMENTO  Nº 01882, CONTRATO: 0371/25 - SO. PLACA: XXX-9999, MOTORISTA: JOEL FLORENCO DE SOUZA</t>
  </si>
  <si>
    <t>MERCADORIA REF NF 5201, CARREGAMENTO  Nº 01879, CONTRATO: 0371/25 - SO. PLACA: XXX-9999, MOTORISTA: JOEL FLORENCO DE SOUZA</t>
  </si>
  <si>
    <t>MERCADORIA REF NF 5202, CARREGAMENTO  Nº 01880, CONTRATO: 0371/25 - SO. PLACA: XXX-9999, MOTORISTA: JOEL FLORENCO DE SOUZA</t>
  </si>
  <si>
    <t>MERCADORIA REF NF 5203, CARREGAMENTO  Nº 01881, CONTRATO: 0371/25 - SO. PLACA: XXX-9999, MOTORISTA: JOEL FLORENCO DE SOUZA</t>
  </si>
  <si>
    <t>MERCADORIA REF NF 4061 E 4062, CARREGAMENTO  Nº 01878 e 01903, CONTRATO: 0368/25 - SO. PLACA: XXX-9999, MOTORISTA: JOEL FLORENCO DE SOUZA</t>
  </si>
  <si>
    <t>REFERENTE 03/2025</t>
  </si>
  <si>
    <t>CAPITAL DE GIRO CEDULA DE CREDITO BANCARIO NR 713.912.618. 13/18 PARCELAS PRIMEIRA 20/04/2024 ULTIMA 20/08/2025 VALOR PARCELA: R$ 55.555,56. ENCARGO FINANCEIRO 1,48 % MES. TAXA FLAT 0,50%.</t>
  </si>
  <si>
    <t>13/18</t>
  </si>
  <si>
    <t>JUROS CAPITAL DE GIRO CONTRATO 713.913.371.</t>
  </si>
  <si>
    <t>SALDO FRETE Nº 01813, CTE 62549, CONTRATO: 0365/25 - SO. PLACA: XXX-9999, MOTORISTA: JOEL FLORENCO DE SOUZA</t>
  </si>
  <si>
    <t>MERCADORIA REF NF 5208, CARREGAMENTO  Nº 01893, CONTRATO: 0371/25 - SO. PLACA: XXX-9999, MOTORISTA: JOEL FLORENCO DE SOUZA</t>
  </si>
  <si>
    <t>APLICE 01121021000209 REF 02/2025. FATURA Nº 00769 REF. DOCUMENTOS: 01795, 01784, 01785, 01786, 01787, 01793, 01794.</t>
  </si>
  <si>
    <t>MERCADORIA REF NF 5210, CARREGAMENTO  Nº 01895, CONTRATO: 0371/25 - SO. PLACA: XXX-9999, MOTORISTA: JOEL FLORENCO DE SOUZA</t>
  </si>
  <si>
    <t>MERCADORIA REF NF 5211, CARREGAMENTO  Nº 01896, CONTRATO: 0371/25 - SO. PLACA: XXX-9999, MOTORISTA: JOEL FLORENCO DE SOUZA</t>
  </si>
  <si>
    <t>CARTAO DE CREDIDO</t>
  </si>
  <si>
    <t>MERCADORIA REF NF 5222, CARREGAMENTO  Nº 01899, CONTRATO: 0371/25 - SO. PLACA: XXX-9999, MOTORISTA: JOEL FLORENCO DE SOUZA</t>
  </si>
  <si>
    <t>MERCADORIA REF NF 5223, CARREGAMENTO  Nº 01900, CONTRATO: 0371/25 - SO. PLACA: XXX-9999, MOTORISTA: JOEL FLORENCO DE SOUZA</t>
  </si>
  <si>
    <t>MERCADORIA REF NF 5224, CARREGAMENTO  Nº 01902 e 1933, CONTRATO: 0371/25 - SO. PLACA: XXX-9999, MOTORISTA: JOEL FLORENCO DE SOUZA</t>
  </si>
  <si>
    <t>CAPITAL DE GIRO CEDULA DE CREDITO BANCARIO NR 713.912.396. 15/30 PARCELAS PRIMEIRA 26/02/2024 ULTIMA 26/07/2026 VALOR PARCELA: R$ 33.666,57. ENCARGO FINANCEIRO 1,40 % MES. TAXA FLAT 0,50%.</t>
  </si>
  <si>
    <t>15/30</t>
  </si>
  <si>
    <t>SALDO FRETE Nº 01807, CTE 4308, CONTRATO: 0365/25 - SO. PLACA: XXX-9999, MOTORISTA: JOEL FLORENCO DE SOUZA</t>
  </si>
  <si>
    <t>SALDO FRETE Nº 01833, CTE 4354, CONTRATO: 0365/25 - SO. PLACA: XXX-9999, MOTORISTA: JOEL FLORENCO DE SOUZA. JUNTO OC 1883.</t>
  </si>
  <si>
    <t>SALDO FRETE Nº 01809 E 01883, CTE 62504, CONTRATO: 0365/25 - SO. PLACA: XXX-9999, MOTORISTA: JOEL FLORENCO DE SOUZA. FATURA Nº 00781 REF. DOCUMENTOS: 01809, 01883.</t>
  </si>
  <si>
    <t>FATURA 00781</t>
  </si>
  <si>
    <t>HONORARIOS 04/2025. NF 1792.</t>
  </si>
  <si>
    <t>1792</t>
  </si>
  <si>
    <t>REPARCELAMENTO REFIS. NUMERO DO PARCELAMENTO 11257711 ICMS. VALOR TOTAL R$ 338.571,58 18/60 PARCELAS.</t>
  </si>
  <si>
    <t>18/60</t>
  </si>
  <si>
    <t>CSSL E IR 1º TRIMESTRE 2025.</t>
  </si>
  <si>
    <t>ANTECIPACAO CONTRATO 0375/25 - SO. NF 4078, 4079, 4080, 4081, 4082, 4083, 4084, 4085, 4086, 4087, 4088 PARCIAL.</t>
  </si>
  <si>
    <t>IR APLICACAO RF CP Corpor Ágil</t>
  </si>
  <si>
    <t>NF 6556.</t>
  </si>
  <si>
    <t>6556</t>
  </si>
  <si>
    <t>5/12</t>
  </si>
  <si>
    <t>57/60</t>
  </si>
  <si>
    <t>FCO DAF 713.906.837 PARCELA 45/60.</t>
  </si>
  <si>
    <t>45/60</t>
  </si>
  <si>
    <t>IOF CAPITAL DE GIRO CONTRATO 713.913.371.</t>
  </si>
  <si>
    <t>FETHAB CONTRATO: 0364/25 - SO. FATURA Nº 00778 REF. DOCUMENTOS: 01813, 01774, 01808, 01811, 01810, 01806, 01807, 01809, 01833.</t>
  </si>
  <si>
    <t>FETHAB CONTRATO: 0368/25 - SO. FATURA Nº 00779 REF. DOCUMENTOS: 01848, 01849, 01850, 01851, 01854, 01861, 01860, 01862, 01863, 01864, 01867, 01822, 01846, 01845, 01847, 01870, 01878.</t>
  </si>
  <si>
    <t>FETHAB CONTRATO: 0371/25 - SO 620,24 tons. FATURA Nº 00784 REF. DOCUMENTOS: 01893, 01899, 01900, 01902, 01877, 01873, 01874, 01879, 01880, 01881, 01882, 01895, 01896.</t>
  </si>
  <si>
    <t>IAGRO CONTRATO: 0371/25 - SO 620,24 tons. FATURA Nº 00784 REF. DOCUMENTOS: 01893, 01899, 01900, 01902, 01877, 01873, 01874, 01879, 01880, 01881, 01882, 01895, 01896.</t>
  </si>
  <si>
    <t>IAGRO CONTRATO: 0364/25 - SO. FATURA Nº 00778 REF. DOCUMENTOS: 01813, 01774, 01808, 01811, 01810, 01806, 01807, 01809, 01833.</t>
  </si>
  <si>
    <t>IAGRO CONTRATO: 0368/25 - SO. FATURA Nº 00779 REF. DOCUMENTOS: 01848, 01849, 01850, 01851, 01854, 01861, 01860, 01862, 01863, 01864, 01867, 01822, 01846, 01845, 01847, 01870, 01878.</t>
  </si>
  <si>
    <t>INTERNET ESCRITORIO FATURA 2504928765530.</t>
  </si>
  <si>
    <t>2504928765530</t>
  </si>
  <si>
    <t>5/5</t>
  </si>
  <si>
    <t>NF 37046. EXTRATO JOEL FLORENCO DE SOUZA</t>
  </si>
  <si>
    <t xml:space="preserve"> BRY TECNOLOGIA S.A</t>
  </si>
  <si>
    <t>37046</t>
  </si>
  <si>
    <t>NF  202500000000022</t>
  </si>
  <si>
    <t xml:space="preserve"> SILVIO DA SILVA BRASIL</t>
  </si>
  <si>
    <t>202500000000022</t>
  </si>
  <si>
    <t>ALTERACAO CONTRATUAL - AUMENTO CAPITAL.</t>
  </si>
  <si>
    <t>NF 30. SERVICO DE SUPORTE TECNICO EM INFRAESTRUTURA DE TI.</t>
  </si>
  <si>
    <t>30</t>
  </si>
  <si>
    <t>NF 1104. CONSULTA A PROFISSIONAL. FATURA Nº 00783 REF. DOCUMENTOS: 01808, 01810.</t>
  </si>
  <si>
    <t>FATURA 00783</t>
  </si>
  <si>
    <t>CTE 31787 ICMS S/ FRETE.</t>
  </si>
  <si>
    <t>CERTIDAO SIMPLIFICADA JUCEMAT</t>
  </si>
  <si>
    <t>REFERENTE MAIO/2025.</t>
  </si>
  <si>
    <t>SALDO FRETE Nº 01945, CTE 20745, CONTRATO: . PLACA: XXX-9999, MOTORISTA: JOEL FLORENCO DE SOUZA. EXTRATO Paula Rejane Machado.</t>
  </si>
  <si>
    <t>TELEFONE 04/2025. Nº da conta: 149591054.</t>
  </si>
  <si>
    <t>APOLICE 21.94.2025.0001911 REF 03/2025. EXTRATO YELUM SEGUROS S.A.</t>
  </si>
  <si>
    <t>SENAR CONTRATO: 0371/25 - SO 620,24 tons. FATURA Nº 00784 REF. DOCUMENTOS: 01893, 01899, 01900, 01902, 01877, 01873, 01874, 01879, 01880, 01881, 01882, 01895, 01896.</t>
  </si>
  <si>
    <t>SENAR CONTRATO: 0364/25 - SO. FATURA Nº 00778 REF. DOCUMENTOS: 01813, 01774, 01808, 01811, 01810, 01806, 01807, 01809, 01833.</t>
  </si>
  <si>
    <t>SENAR CONTRATO: 0368/25 - SO. FATURA Nº 00779 REF. DOCUMENTOS: 01848, 01849, 01850, 01851, 01854, 01861, 01860, 01862, 01863, 01864, 01867, 01822, 01846, 01845, 01847, 01870, 01878.</t>
  </si>
  <si>
    <t>MERCADORIA REF NF 3.446, CARREGAMENTO  Nº 01942, CONTRATO: 0378/25 - MV. PLACA: JCR-4E60, MOTORISTA: JURANDIR OLIVEIRA RODRIGUES</t>
  </si>
  <si>
    <t>01942</t>
  </si>
  <si>
    <t>MERCADORIA REF NF 3441, CARREGAMENTO  Nº 01943, CONTRATO: 0378/25 - MV. PLACA: PJR-0J65, MOTORISTA: CRISTIANO FONTES DA SILVA</t>
  </si>
  <si>
    <t>01943</t>
  </si>
  <si>
    <t>REFERENTE 04/2025</t>
  </si>
  <si>
    <t>ANTECIPACAO CONTRATO 0379/25 - MP</t>
  </si>
  <si>
    <t>CAPITAL DE GIRO CEDULA DE CREDITO BANCARIO NR 713.912.618. 14/18 PARCELAS PRIMEIRA 20/04/2024 ULTIMA 20/08/2025 VALOR PARCELA: R$ 55.555,56. ENCARGO FINANCEIRO 1,48 % MES. TAXA FLAT 0,50%.</t>
  </si>
  <si>
    <t>14/18</t>
  </si>
  <si>
    <t>CTE 25297 PARCIAL.</t>
  </si>
  <si>
    <t>CANCELAMENTO NF 1615 E 1616.</t>
  </si>
  <si>
    <t>SALDO FRETE Nº 01942, CTE 20848,  CONTRATO: . PLACA: JCR-4E60, MOTORISTA: JURANDIR OLIVEIRA RODRIGUES. FATURA Nº 00793 REF. DOCUMENTOS: 01942, 01942. EXTRATO Kpa Diesel</t>
  </si>
  <si>
    <t xml:space="preserve"> JURANDIR OLIVEIRA RODRIGUES</t>
  </si>
  <si>
    <t>SALDO FRETE Nº 01943, CTE 20847, CONTRATO: . PLACA: PJR-0J65, MOTORISTA: CRISTIANO FONTES DA SILVA. FATURA Nº 00794 REF. DOCUMENTOS: 01943, 01943. . EXTRATO Kpa Diesel</t>
  </si>
  <si>
    <t xml:space="preserve"> CRISTIANO FONTES DA SILVA</t>
  </si>
  <si>
    <t>CAPITAL DE GIRO CEDULA DE CREDITO BANCARIO NR 713.912.396. 16/30 PARCELAS PRIMEIRA 26/02/2024 ULTIMA 26/07/2026 VALOR PARCELA: R$ 33.666,57. ENCARGO FINANCEIRO 1,40 % MES. TAXA FLAT 0,50%.</t>
  </si>
  <si>
    <t>16/30</t>
  </si>
  <si>
    <t>RELATORIO DE DESPESAS MAIO/2025.</t>
  </si>
  <si>
    <t>CTE 32214 ICMS S/ FRETE.</t>
  </si>
  <si>
    <t>CARTAO DE CREDITO. NF 788 E 789 CURINGA. NF 4257 BIKHAB.</t>
  </si>
  <si>
    <t>REPARCELAMENTO REFIS. NUMERO DO PARCELAMENTO 11257711 ICMS. VALOR TOTAL R$ 338.571,58 19/60 PARCELAS.</t>
  </si>
  <si>
    <t>19/60</t>
  </si>
  <si>
    <t>HONORARIOS 05/2025. NF 1799. MAIS ALTERACAO CONTRATUAL.</t>
  </si>
  <si>
    <t>1799</t>
  </si>
  <si>
    <t>CTE 17021 ICMS S/FRETE</t>
  </si>
  <si>
    <t>SALDO FRETE Nº 01951, CTE 38589, CONTRATO: . PLACA: LWH-9454, MOTORISTA: JOAO ATALIBIO SOARES</t>
  </si>
  <si>
    <t xml:space="preserve"> JOAO ATALIBIO SOARES</t>
  </si>
  <si>
    <t>01951</t>
  </si>
  <si>
    <t>SALDO FRETE Nº 01954, CTE 38635, CONTRATO: . PLACA: JCR-4E60, MOTORISTA: JURANDIR OLIVEIRA RODRIGUES. EXTRATO KPA DIESEL.</t>
  </si>
  <si>
    <t>01954</t>
  </si>
  <si>
    <t>NF 6699.</t>
  </si>
  <si>
    <t>6699</t>
  </si>
  <si>
    <t>6/12</t>
  </si>
  <si>
    <t>58/60</t>
  </si>
  <si>
    <t>FCO DAF 713.906.837 PARCELA 46/60.</t>
  </si>
  <si>
    <t>46/60</t>
  </si>
  <si>
    <t>CTE 19046. FATURA Nº 00797 REF. DOCUMENTOS: 01942, 01943 01951.</t>
  </si>
  <si>
    <t>FATURA 00797</t>
  </si>
  <si>
    <t>SALDO FRETE Nº 01959, CTE 20931, CONTRATO: . PLACA: AOT-6G27, MOTORISTA: ARI INACIO DAHLEM</t>
  </si>
  <si>
    <t xml:space="preserve"> ARI INACIO DAHLEM</t>
  </si>
  <si>
    <t>01959</t>
  </si>
  <si>
    <t>CTE 31604 NEROWILLIAN PARCIAL. EXTRATO Luiz Marques De Oliveira</t>
  </si>
  <si>
    <t>MM COMERCIO DE CEREAIS</t>
  </si>
  <si>
    <t>FETHAB CONTRATO: 0375/25 - SO. 565,68 TONS .</t>
  </si>
  <si>
    <t>IAGRO CONTRATO: 0375/25 - SO. 565,68 TONS .</t>
  </si>
  <si>
    <t>FETHAB REF NF 3441 E 3.446, CONTRATO: 0378/25 - MV. FATURA Nº 00798 REF. DOCUMENTOS: 01942, 01943.</t>
  </si>
  <si>
    <t>IAGRO REF NF 3441 E 3.446, CONTRATO: 0378/25 - MV. FATURA Nº 00798 REF. DOCUMENTOS: 01942, 01943.</t>
  </si>
  <si>
    <t>FETHAB MERCADORIA NF 41, CARREGAMENTO  Nº 01945, CONTRATO: 0380/25 - AR.</t>
  </si>
  <si>
    <t>IAGRO MERCADORIA NF 41, CARREGAMENTO  Nº 01945, CONTRATO: 0380/25 - AR.</t>
  </si>
  <si>
    <t>CTE 32170 R$ 115,00. CTE 3185 R$ 60,00. ICMS S/ FRETE.</t>
  </si>
  <si>
    <t>CTE 22079 R$ 1.904,40 NEROWILLIAN PARCIAL. CAMINHAO CARREGAR FEIJAO VANZELA FALTOU PRODUTO.</t>
  </si>
  <si>
    <t>INTERNET ESCRITORIO FATURA 2505928771760.</t>
  </si>
  <si>
    <t>2505928771760</t>
  </si>
  <si>
    <t>IMPOSTO ICMS REF NF EMITIDAS EM MAIO/2025.</t>
  </si>
  <si>
    <t>ICMS</t>
  </si>
  <si>
    <t>NF 202500000000003. SERVICO DE SUPORTE TECNICO EM INFRAESTRUTURA DE TI.</t>
  </si>
  <si>
    <t xml:space="preserve"> SKILLS IT SOLUCOES EM TECNOLOGIA LTDA</t>
  </si>
  <si>
    <t>NF 1237 CONSULTA PERFIL DE PROFISSIONAL. FATURA Nº 00799 REF. DOCUMENTOS: 01942, 01943.</t>
  </si>
  <si>
    <t>1237</t>
  </si>
  <si>
    <t>SALDO FRETE Nº 01956, CTE 20957 WESLLEY, CONTRATO: 0382/25 - MV. PLACA: JAC-5G18, MOTORISTA: EMERSON DE SOUZA. EXTRATO SAO JORGE CARGAS.</t>
  </si>
  <si>
    <t xml:space="preserve"> EMERSON DE SOUZA</t>
  </si>
  <si>
    <t>BAIXA MUTUO</t>
  </si>
  <si>
    <t>CTE 25661 PARCIAL NEROWILLIAN. FATURA Nº 00800 REF. DOCUMENTOS: 01959, 01956, 01957, 01960.</t>
  </si>
  <si>
    <t>FATURA 00800</t>
  </si>
  <si>
    <t>CTE 25114 NEROWILLIAN PARCIAL. ICMS S/ FRETE.</t>
  </si>
  <si>
    <t>SALDO FRETE Nº 01957, CTE 20963 WESLLEY, CONTRATO: 0382/25 - MV. PLACA: TAS-4A70, MOTORISTA: REGINALDO RIBEIRO. EXTRATO IMPERIO SOLUCOES LOGISTICA.</t>
  </si>
  <si>
    <t xml:space="preserve"> REGINALDO RIBEIRO</t>
  </si>
  <si>
    <t>CTE 28154 NEROWILLIAN PARCIAL. ICMS S/ FRETE.</t>
  </si>
  <si>
    <t>ADTO FRETE Nº 01969, CTE 21080 WESLLEY, CONTRATO: . PLACA: PRR-4I58, MOTORISTA: ELIAS MIGUEL ALVES</t>
  </si>
  <si>
    <t xml:space="preserve"> ELIAS MIGUEL ALVES</t>
  </si>
  <si>
    <t>01969</t>
  </si>
  <si>
    <t>SALDO FRETE Nº 01969, CTE 21080 WESLLEY, CONTRATO: . PLACA: PRR-4I58, MOTORISTA: ELIAS MIGUEL ALVES</t>
  </si>
  <si>
    <t>CTE 31702 NEROWILLIAN PARCIAL. ICMS S/ FRETE.</t>
  </si>
  <si>
    <t>ADTO FRETE Nº 01971, CTE 21087 WESLEY, CONTRATO: . PLACA: ATG-9C29, MOTORISTA: RENATO BRAGA PEREIRA. EXTRATO RBP TRANSPORTES</t>
  </si>
  <si>
    <t xml:space="preserve"> RENATO BRAGA PEREIRA</t>
  </si>
  <si>
    <t>01971</t>
  </si>
  <si>
    <t>SALDO FRETE Nº 01967, CTE 21074 WESLLEY, CONTRATO: . PLACA: JCR-4E60, MOTORISTA: JURANDIR OLIVEIRA RODRIGUES. EXTRATO KPA DIESEL. FATURA Nº 00801 REF. DOCUMENTOS: 01967, 01967. CTE 28156 R$ 41,71 PARCIAL NEROWILLIAN. CTE 30976 R$ 475,10 PARCIAL NEROWILLIA</t>
  </si>
  <si>
    <t>01967</t>
  </si>
  <si>
    <t>NF 202500000019165. CERTIFICADO DIGITAL.</t>
  </si>
  <si>
    <t xml:space="preserve"> CERTIFICAMINAS LTDA</t>
  </si>
  <si>
    <t>202500000019165</t>
  </si>
  <si>
    <t>SALDO FRETE Nº 01971, CTE 21087 WESLEY, CONTRATO: . PLACA: ATG-9C29, MOTORISTA: RENATO BRAGA PEREIRA. EXTRATO RBP TRANSPORTES</t>
  </si>
  <si>
    <t>CTE 22657 PARCIAL NEROWILLIAN. ICMS S/ FRETE.</t>
  </si>
  <si>
    <t>CTE 17617 PARCIAL NEROWILLIAN. ICMS S/ FRETE.</t>
  </si>
  <si>
    <t>CTE 27902 PARCIAL NEROWILLIAN. ICMS S/ FRETE.</t>
  </si>
  <si>
    <t>CTE 31761 PARCIAL NEROWILLIAN. ICMS S/ RETE.</t>
  </si>
  <si>
    <t>NF 355275 CONSULTA DE PERFIL PROFISSIONAL.</t>
  </si>
  <si>
    <t>355275</t>
  </si>
  <si>
    <t>TELEFONE 05/2025. Nº da conta: 149591054.</t>
  </si>
  <si>
    <t>SALDO FRETE Nº 01976 E Nº 01978, CTE 21125 WESLEY, CONTRATO: . PLACA: SJX-4H77, MOTORISTA: JOAO SANTANA DE SUOZA FILHO. FATURA Nº 00802 REF. DOCUMENTOS: 01978, 01978, 01976, 01976.</t>
  </si>
  <si>
    <t xml:space="preserve"> JOAO SANTANA DE SOUZA FILHO</t>
  </si>
  <si>
    <t>01978</t>
  </si>
  <si>
    <t>SALDO FRETE Nº 01976 E Nº 01978, CTE 33308 PARCIAL NEROWILLIAN, CONTRATO: . PLACA: SJX-4H77, MOTORISTA: JOAO SANTANA DE SUOZA FILHO. FATURA Nº 00802 REF. DOCUMENTOS: 01978, 01978, 01976, 01976.</t>
  </si>
  <si>
    <t>ADTO FRETE Nº 01980, CTE 21135 WESLWY, CONTRATO: . PLACA: LYC-9H54, MOTORISTA: JAIME KRIESE</t>
  </si>
  <si>
    <t xml:space="preserve"> JAIME KRIESE</t>
  </si>
  <si>
    <t>01980</t>
  </si>
  <si>
    <t>CTE 32169 PARCIAL NEROWILLIAN. ICMS S/ FRETE.</t>
  </si>
  <si>
    <t>ADTO FRETE Nº 01982, CTE 21144 WESLLEY, CONTRATO: . PLACA: OBL-1B90, MOTORISTA: BRUNNO DAMACENA PEREIRA. EXTRATO Abraão Jorge da Silva.</t>
  </si>
  <si>
    <t xml:space="preserve"> BRUNNO DAMACENA PEREIRA</t>
  </si>
  <si>
    <t>01982</t>
  </si>
  <si>
    <t>SALDO FRETE Nº 01975, CTE 21119 WESLEY, CONTRATO: . PLACA: JCR-4E60, MOTORISTA: JURANDIR OLIVEIRA RODRIGUES. FATURA Nº 00803 REF. DOCUMENTOS: 01975, 01975. EXTRATO KPA DIESEL.</t>
  </si>
  <si>
    <t>01975</t>
  </si>
  <si>
    <t>SALDO FRETE Nº 01974, CTE 21118 WESLEY, CONTRATO: . PLACA: PJR-0J65, MOTORISTA: CRISTIANO FONTES DA SILVA. FATURA Nº 00804 REF. DOCUMENTOS: 01974, 01974. EXTRATO Kpa Diesel</t>
  </si>
  <si>
    <t>01974</t>
  </si>
  <si>
    <t>CTE 31856 R$ 586,00 PARCIAL NEROWILLIAN. CTE 31857 R$ 639,80 PARCIAL NEROWILLIAN. ICMS S/ FRETE.</t>
  </si>
  <si>
    <t>NF 2317. PENEIRA BENEFICIAMENTO FEIIJAO</t>
  </si>
  <si>
    <t xml:space="preserve"> MUTUM PENEIRAS E PECAS AGRO LTDA</t>
  </si>
  <si>
    <t>SALDO FRETE Nº 01980, CTE 21135 WESLWY, CONTRATO: . PLACA: LYC-9H54, MOTORISTA: JAIME KRIESE</t>
  </si>
  <si>
    <t>MERCADORIA REF NF 4089, CARREGAMENTO  Nº 01936, CONTRATO: 0375/25 - SO. PLACA: XXX-9999, MOTORISTA: JOEL FLORENCO DE SOUZA</t>
  </si>
  <si>
    <t>MERCADORIA REF NF 4088 PARCIAL, CARREGAMENTO Nº 01935, CONTRATO COMPRA: 0375/25 - SO. PLACA: XXX-9999, MOTORISTA: JOEL FLORENCO DE SOUZA</t>
  </si>
  <si>
    <t>MERCADORIA REF NF 4090, CARREGAMENTO  Nº 01939, CONTRATO: 0375/25 - SO. PLACA: XXX-9999, MOTORISTA: JOEL FLORENCO DE SOUZA</t>
  </si>
  <si>
    <t>FUNRURAL MERCADORIA NF 41, CARREGAMENTO  Nº 01945, CONTRATO: 0380/25 - AR. PLACA: XXX-9999, MOTORISTA: JOEL FLORENCO DE SOUZA. (COMPENCOU)</t>
  </si>
  <si>
    <t>SENAR REF NF 3441 E 3.446, CONTRATO: 0378/25 - MV. FATURA Nº 00798 REF. DOCUMENTOS: 01942, 01943. COMPENSACAO DA GUIA.</t>
  </si>
  <si>
    <t>SALDO FRETE Nº 01982, CTE 21144 WESLLEY, CONTRATO: . PLACA: OBL-1B90, MOTORISTA: BRUNNO DAMACENA PEREIRA. EXTRATO Abraão Jorge da Silva.</t>
  </si>
  <si>
    <t>CTE 24138 PARCIAL NEROWILLIAN. FATURA Nº 00805 REF. DOCUMENTOS: 01971, 01975, FATURA 00797, 01969, 01974, 01978, 01967.</t>
  </si>
  <si>
    <t>FATURA 00805</t>
  </si>
  <si>
    <t>CTE 31784 PARCIAL NEROWILLIAN. ICMS S/ FRETE.</t>
  </si>
  <si>
    <t>CAPITAL DE GIRO CEDULA DE CREDITO BANCARIO NR 713.912.618. 15/18 PARCELAS PRIMEIRA 20/04/2024 ULTIMA 20/08/2025 VALOR PARCELA: R$ 55.555,56. ENCARGO FINANCEIRO 1,48 % MES. TAXA FLAT 0,50%.</t>
  </si>
  <si>
    <t>15/18</t>
  </si>
  <si>
    <t>SENAR CONTRATO: 0375/25 - SO. 565,68 TONS . (COMPENSOU)</t>
  </si>
  <si>
    <t>REFERENTE 05/2025 (COMPENSOU)</t>
  </si>
  <si>
    <t>05/2028</t>
  </si>
  <si>
    <t>REFERENTE JUNHO/2025.</t>
  </si>
  <si>
    <t>SALDO FRETE Nº 01984, CTE 21153 WESLEY, CONTRATO: . PLACA: JCR-4E60, MOTORISTA: JURANDIR OLIVEIRA RODRIGUES FATURA Nº 00806 REF. DOCUMENTOS: 01984, 01984. EXTRATO KPA DIESEL</t>
  </si>
  <si>
    <t>01984</t>
  </si>
  <si>
    <t>ADTO FRETE Nº 01986 E 01987, CTE 21194 WESLEY, CONTRATO: . PLACA: IKY-0H92, MOTORISTA: NEURO CIVARDI. FATURA Nº 00807 REF. DOCUMENTOS: 01986, 01987.</t>
  </si>
  <si>
    <t>01987</t>
  </si>
  <si>
    <t>SALDO FRETE Nº 01986 E 01987, CTE 21194 WESLEY, CONTRATO: . PLACA: IKY-0H92, MOTORISTA: NEURO CIVARDI. FATURA Nº 00808 REF. DOCUMENTOS: 01986, 01987, FATURA 00807.</t>
  </si>
  <si>
    <t>CTE 22860 PARCIAL NEROWILLIAN. FATURA Nº 00809 REF. DOCUMENTOS: 01980, 01954, 01982, 01984, 01987.</t>
  </si>
  <si>
    <t>FATURA 00809</t>
  </si>
  <si>
    <t>REF. A 05/2025. ISSQN NF 130- 131 - 132 REPRESTACAO.</t>
  </si>
  <si>
    <t>APOLICE 21.94.2025.0001911 REF 04/2025.</t>
  </si>
  <si>
    <t>CAPITAL DE GIRO CEDULA DE CREDITO BANCARIO NR 713.912.396. 17/30 PARCELAS PRIMEIRA 26/02/2024 ULTIMA 26/07/2026 VALOR PARCELA: R$ 33.666,57. ENCARGO FINANCEIRO 1,40 % MES. TAXA FLAT 0,50%.</t>
  </si>
  <si>
    <t>17/30</t>
  </si>
  <si>
    <t>SERVICOS DE PORTO CONTRATO VENDA: 0382/25 - MV MUNGO VERDE. CARREGAMENTO Nº 01956, 01957, 01960.  FATURA Nº 00810 REF. DOCUMENTOS: 01956, 01957, 01960. PROCESSO EXP 032/25.</t>
  </si>
  <si>
    <t>REPARCELAMENTO REFIS. NUMERO DO PARCELAMENTO 11257711 ICMS. VALOR TOTAL R$ 338.571,58 20/60 PARCELAS.</t>
  </si>
  <si>
    <t>20/60</t>
  </si>
  <si>
    <t>CARTAO DE CREDITO. NF 2687 E 166213 DISBRAVA</t>
  </si>
  <si>
    <t>PRO LABORE</t>
  </si>
  <si>
    <t>HONORARIOS 06/2025. NF 1824.</t>
  </si>
  <si>
    <t>1824</t>
  </si>
  <si>
    <t>REFIS PROCESSO 5868712_2021.</t>
  </si>
  <si>
    <t>ADTO FRETE Nº 01992, CTE 39025 NEROWILLIAN, CONTRATO: 0386/25 - MV. PLACA: IVV-9092, MOTORISTA: CLEITON LORENZET</t>
  </si>
  <si>
    <t xml:space="preserve"> CLEITON LORENZET</t>
  </si>
  <si>
    <t>MERCADORIA REF NF 3486, CARREGAMENTO  Nº 01992, CONTRATO: 0385/25 - MV. PLACA: IVV-9092, MOTORISTA: CLEITON LORENZET. PAGAMENTO COM CESSAO DE CREDITO DA MMXBELAX WILLIAN.</t>
  </si>
  <si>
    <t xml:space="preserve"> WILLIAN RICARDO CHOPTIAN</t>
  </si>
  <si>
    <t>RELATORIO DE DESPESAS JUNHO/2025.</t>
  </si>
  <si>
    <t>NF 6840.</t>
  </si>
  <si>
    <t>6840</t>
  </si>
  <si>
    <t>7/12</t>
  </si>
  <si>
    <t>59/60</t>
  </si>
  <si>
    <t>FCO DAF 713.906.837 PARCELA 47/60.</t>
  </si>
  <si>
    <t>47/60</t>
  </si>
  <si>
    <t>COMISSÃO CORRETOR NF 202500000000004, CARREGAMENTO Nº 01992, CONTRATO COMPRA: 0385/25 - MV. PLACA: IVV-9092, MOTORISTA: CLEITON LORENZET</t>
  </si>
  <si>
    <t>SALDO FRETE Nº 01992, CTE 39025 NEROWILLIAN, CONTRATO: 0386/25 - MV. PLACA: IVV-9092, MOTORISTA: CLEITON LORENZET</t>
  </si>
  <si>
    <t>CTE 39025 PARCIAL NEROWILLIAN - AGENCIAMENTO</t>
  </si>
  <si>
    <t>FETHAB REF NF 3486, CARREGAMENTO  Nº 01992, CONTRATO: 0385/25 - MV. PLACA: IVV-9092, MOTORISTA: CLEITON LORENZET. PAGAMENTO COM CESSAO DE CREDITO DA MMXBELAX WILLIAN.</t>
  </si>
  <si>
    <t>PAGAMENTO JUROS REFERENTE AO CONTRATO DE MUTUO ENTRE SOCIO E EMPRESA DATADO DE 02/06/2025.</t>
  </si>
  <si>
    <t>INTERNET ESCRITORIO FATURA 2506928763122
.</t>
  </si>
  <si>
    <t>2506928763122</t>
  </si>
  <si>
    <t>FETHAB MERCADORIA NF 42 E 45, CONTRATO: 0379/25 - AR.</t>
  </si>
  <si>
    <t>CONTRIB ENTIDADE REPRES FEIJAO MERCADORIA NF 42 E 45, CONTRATO: 0379/25 - AR.</t>
  </si>
  <si>
    <t>0379/25 - AR</t>
  </si>
  <si>
    <t>IAGRO</t>
  </si>
  <si>
    <t>CONTRIB ENTIDADE REPRES FEIJAO REF NF 3486, CARREGAMENTO  Nº 01992, CONTRATO: 0385/25 - MV. PLACA: IVV-9092, MOTORISTA: CLEITON LORENZET. PAGAMENTO COM CESSAO DE CREDITO DA MMXBELAX WILLIAN.</t>
  </si>
  <si>
    <t>CANCELAMENTO NF 1655 E 1656.</t>
  </si>
  <si>
    <t>NF 1351 CONSULTA DE PERFIL PROFISSIONAL NF 1351. FATURA Nº 00818 REF. DOCUMENTOS: 01971, 01956, 01957, 01969, 01960, 01967.</t>
  </si>
  <si>
    <t>1351</t>
  </si>
  <si>
    <t>NF 43630. ANALISE AMOSTRA FEIJAO NOVA AGRI.</t>
  </si>
  <si>
    <t>43630</t>
  </si>
  <si>
    <t>NF 202500000000009. SERVICO DE SUPORTE TECNICO EM INFRAESTRUTURA DE TI.</t>
  </si>
  <si>
    <t>202500000000009</t>
  </si>
  <si>
    <t>SERVICOS DE PORTO CONTRATO VENDA: 0386/25 - MV. CARREGAMENTO Nº 01992, PLACA: IVV-9092, MOTORISTA: CLEITON LORENZET. CONTRATO EXP-034/25.</t>
  </si>
  <si>
    <t xml:space="preserve">COMISSÃO CORRETOR NF 3, CONTRATO VENDA: 0365/25 - SO. FATURA Nº 00819 REF. DOCUMENTOS: 01789, 01798, 01801, 01803, 01797, 01795, 01776, 01777, 01780, 01781, 01784, 01785, 01709, 01793, 01788, 01787, 01786, 01796, 01794, 01774, 01806, 01807, 01809, 01808, </t>
  </si>
  <si>
    <t xml:space="preserve"> BUCH SERVICOS E REPRESENTACAO LTDA</t>
  </si>
  <si>
    <t>3</t>
  </si>
  <si>
    <t>COMISSÃO CORRETOR NF 3, CONTRATO VENDA: 0366/25 - SO. FATURA Nº 00820 REF. DOCUMENTOS: 01845, 01848, 01849, 01863, 01870, 01878, 01846, 01847, 01850, 01851, 01854, 01861, 01864, 01860, 01862, 01867, 01822.</t>
  </si>
  <si>
    <t>COMISSÃO CORRETOR NF 3, CONTRATO VENDA: 0372/25 - SO. FATURA Nº 00821 REF. DOCUMENTOS: 01880, 01881, 01895, 01900, 01874, 01877, 01873, 01882, 01879, 01893, 01896, 01899, 01902, 01933.</t>
  </si>
  <si>
    <t>FRETE MARITIMO CONTRATO VENDA: 0382/25 - MV. CARREGAMENTOS Nº 01956, 01957, 01960. FATURA Nº 00817 REF. DOCUMENTOS: 01956, 01957, 01960. PROCESSO EXP 032/25.</t>
  </si>
  <si>
    <t>CTE 16138 PARCIAL NEROWILLIAN.</t>
  </si>
  <si>
    <t>CANCELAMENTO NF 1665.</t>
  </si>
  <si>
    <t>CTE 16757 PARCIAL NEROWILLIAN.</t>
  </si>
  <si>
    <t>NF 366252 CONSULTA DE PERFIL PROFISSIONAL. FATURA Nº 00814 REF. DOCUMENTOS: 01980, 01959, 01978, 01982, 01987, 01992.</t>
  </si>
  <si>
    <t>366252</t>
  </si>
  <si>
    <t>TELEFONE 06/2025. Nº da conta: 149591054.</t>
  </si>
  <si>
    <t>SENAR REF NF 3486, CARREGAMENTO  Nº 01992, CONTRATO: 0385/25 - MV. PLACA: IVV-9092, MOTORISTA: CLEITON LORENZET. PAGAMENTO COM CESSAO DE CREDITO DA MMXBELAX WILLIAN.</t>
  </si>
  <si>
    <t>FUNRURAL MERCADORIA NF 42 E 45, CONTRATO: 0379/25 - AR.</t>
  </si>
  <si>
    <t>REFERENTE 06/2025.</t>
  </si>
  <si>
    <t>CTE 26983 R$ 3374 PARCIAL NEROWILLIAN. CTE 14523 R$ 34,00 NEROWILLLIAN</t>
  </si>
  <si>
    <t>CTE 16955 NEROWILLLIAN.</t>
  </si>
  <si>
    <t>CAPITAL DE GIRO CEDULA DE CREDITO BANCARIO NR 713.912.618. 18 PARCELAS PRIMEIRA 20/04/2024 ULTIMA 20/08/2025 VALOR PARCELA: R$ 55.555,56. ENCARGO FINANCEIRO 1,48 % MES. TAXA FLAT 0,50%.</t>
  </si>
  <si>
    <t>16/18</t>
  </si>
  <si>
    <t>ESTADIA OC Nº 02006, CONTRATO: 0387/25 - MP. PLACA: QIM-0I99, MOTORISTA: VALTENIR SANTA ROSA. EXTRATO Hsr - Transportes De Maqui. CTE 15936 R$ 920,00 PARCIAL NEROWILLIAN. CTE 17214 R$ 40,00 PARCIAL NEROWILLIAN</t>
  </si>
  <si>
    <t xml:space="preserve"> VALTENIR SANTA ROSA</t>
  </si>
  <si>
    <t>02006</t>
  </si>
  <si>
    <t>CTE 22074 PARCIAL NEROWILLIAN</t>
  </si>
  <si>
    <t>REFERENTE JULHO/2025.</t>
  </si>
  <si>
    <t>APOLICE 21.94.2025.0001911 REF 05/2025. FATURA Nº 00813 REF. DOCUMENTOS: 01942, 01943.</t>
  </si>
  <si>
    <t>CTE 26996 NEROWILLIAN</t>
  </si>
  <si>
    <t>TARIFA EMISSAO CARTA REMESSA CONTRATO 0382/25 - MV.</t>
  </si>
  <si>
    <t>NF 44143. ANALISE AMOSTRA FEIJAO MUNGO VERDE CONTRATO 0382/25 - MV</t>
  </si>
  <si>
    <t>44143</t>
  </si>
  <si>
    <t>CARTAO DE CREDITO. NF 202500000003414 E 167534 DISBRAVA</t>
  </si>
  <si>
    <t>CAPITAL DE GIRO CEDULA DE CREDITO BANCARIO NR 713.912.396. 18/30 PARCELAS PRIMEIRA 26/02/2024 ULTIMA 26/07/2026 VALOR PARCELA: R$ 33.666,57. ENCARGO FINANCEIRO 1,40 % MES. TAXA FLAT 0,50%.</t>
  </si>
  <si>
    <t>18/30</t>
  </si>
  <si>
    <t>COMISSÃO CORRETOR, CONTRATO COMPRA: 0338/24 - ML. FATURA Nº 00827 REF. DOCUMENTOS: 01599, 01600, 01611, 01604, 01603, 01605, 01610, 01609, 01606, 01614, 01615, 01616, 01618, 01620. AJUSTE CONFORME ARQUIVO 2025_Fechamento_final_25072025 ARQUIVADO D:\Rede_S</t>
  </si>
  <si>
    <t>0338/24 - ML</t>
  </si>
  <si>
    <t>COMISSÃO CORRETOR, CONTRATO COMPRA: 0338/24 - ML. REF. OC: 01599, 01600, 01611, 01604, 01603, 01605, 01610, 01609, 01606, 01614, 01615, 01616, 01618, 01620. AJUSTE CONFORME ARQUIVO 2025_Fechamento_final_25072025 ARQUIVADO D:\Rede_SM\Agro_Xingu/2025</t>
  </si>
  <si>
    <t>COMISSÃO CORRETOR, CONTRATO COMPRA: 0357/25 - SO. FATURA Nº 00829 REF. DOCUMENTOS: 01756, 01757, 01761, 01760, 01762, 01763, 01765, 01767. AJUSTE CONFORME ARQUIVO 2025_Fechamento_final_25072025 ARQUIVADO D:\Rede_SM\Agro_Xingu/2025</t>
  </si>
  <si>
    <t>COMISSÃO CORRETOR, CONTRATO COMPRA: 0364/25 - SO. FATURA Nº 00830 REF. DOCUMENTOS: 01781, 01789, 01798, 01801, 01803, 01797, 01709, 01795, 01809, 01776, 01777, 01780, 01784, 01785, 01793, 01883, 01788, 01787, 01786, 01796, 01794, 01774, 01806, 01807, 0180</t>
  </si>
  <si>
    <t>COMISSÃO CORRETOR, CONTRATO COMPRA: 0368/25 - SO. FATURA Nº 00831 REF. DOCUMENTOS: 01845, 01849, 01848, 01863, 01864, 01870, 01878, 01822, 01846, 01847, 01850, 01851, 01854, 01861, 01860, 01862, 01867, 01903. AJUSTE CONFORME ARQUIVO 2025_Fechamento_final_</t>
  </si>
  <si>
    <t>COMISSÃO CORRETOR, CONTRATO COMPRA: 0368/25 - SO. FATURA Nº 00831 REF. DOCUMENTOS: 01845, 01849, 01863, 01870, 01878, 01822, 01846, 01847, 01850, 01851, 01854, 01861, 01860, 01862, 01867, 01903.</t>
  </si>
  <si>
    <t>COMISSÃO CORRETOR, CONTRATO COMPRA: 0375/25 - SO. FATURA Nº 00833 REF. DOCUMENTOS: 01936, 01922, 01925, 01926, 01927, 01928, 01930, 01931, 01935, 01939. AJUSTE CONFORME ARQUIVO 2025_Fechamento_final_25072025 ARQUIVADO D:\Rede_SM\Agro_Xingu/2025</t>
  </si>
  <si>
    <t>COMISSÃO CORRETOR, CONTRATO COMPRA: 0371/25 - SO. FATURA Nº 00834 REF. DOCUMENTOS: 01880, 01881, 01895, 01900, 01874, 01877, 01873, 01882, 01879, 01893, 01896, 01899, 01902, 01933.AJUSTE CONFORME ARQUIVO 2025_Fechamento_final_25072025 ARQUIVADO D:\Rede_SM</t>
  </si>
  <si>
    <t>COMISSÃO CORRETOR, CONTRATO COMPRA: 0371/25 - SO. FATURA Nº 00834 REF. DOCUMENTOS: 01880, 01881, 01895, 01900, 01874, 01877, 01873, 01882, 01879, 01893, 01896, 01899, 01902, 01933. AJUSTE CONFORME ARQUIVO 2025_Fechamento_final_25072025 ARQUIVADO D:\Rede_S</t>
  </si>
  <si>
    <t>PROJETO COMPRADOR 1/2. NAO ACONTECEU O PROJETO USADO PARA ANUIDADE 2026 RENOVACAO.</t>
  </si>
  <si>
    <t>CSSL E IR 2º TRIMESTRE 2025.</t>
  </si>
  <si>
    <t>HONORARIOS 07/2025. NF 1847.</t>
  </si>
  <si>
    <t>1847</t>
  </si>
  <si>
    <t>REPARCELAMENTO REFIS. NUMERO DO PARCELAMENTO 11257711 ICMS. VALOR TOTAL R$ 338.571,58 21/60 PARCELAS.</t>
  </si>
  <si>
    <t>21/60</t>
  </si>
  <si>
    <t>COMISSÃO CORRETOR, CONTRATO COMPRA BELA: 0371/25 - SO. FATURA Nº 00834 REF. DOCUMENTOS: 01880, 01881, 01895, 01900, 01874, 01877, 01873, 01882, 01879, 01893, 01896, 01899, 01902, 01933. AJUSTE CONFORME ARQUIVO 2025_Fechamento_final_25072025 ARQUIVADO D:\R</t>
  </si>
  <si>
    <t>NF 6977</t>
  </si>
  <si>
    <t>6977</t>
  </si>
  <si>
    <t>8/12</t>
  </si>
  <si>
    <t>60/60</t>
  </si>
  <si>
    <t>FCO DAF 713.906.837 PARCELA 48/60.</t>
  </si>
  <si>
    <t>48/60</t>
  </si>
  <si>
    <t>BENEFICIAMENTO FEIJAO OLHO NEGRO - NF 15.</t>
  </si>
  <si>
    <t>00014</t>
  </si>
  <si>
    <t>IR JUROS MUTUO SOCIO</t>
  </si>
  <si>
    <t>TAXA ALTERACAO CONTRATUAL PREFEITURA FILIAL</t>
  </si>
  <si>
    <t xml:space="preserve"> PREFEITURA DE PALMAS</t>
  </si>
  <si>
    <t>TAXA ALVARA FUNCIONAMENTO FILIAL 2024</t>
  </si>
  <si>
    <t>TAXA ALVARA SANITARIO FILIAL 2024</t>
  </si>
  <si>
    <t>TAXA ALVARA FUNCIONAMENTO FILIAL 2025</t>
  </si>
  <si>
    <t>TAXA ALVARA SANITARIO FILIAL 2025</t>
  </si>
  <si>
    <t>INTERNET ESCRITORIO FATURA 2507928759185</t>
  </si>
  <si>
    <t>2507928759185</t>
  </si>
  <si>
    <t>PROJETO INTERIORES</t>
  </si>
  <si>
    <t xml:space="preserve"> GABRIELE SILVA DOURADO</t>
  </si>
  <si>
    <t>1/3</t>
  </si>
  <si>
    <t>CONTRIB ENTIDADE PREPRES FEIJAO NF 3060 E 3061</t>
  </si>
  <si>
    <t>FETHAB NF 3060 E 3061</t>
  </si>
  <si>
    <t>NF 44662. FRETE ANALISE AMOSTRA FEIJAO MUNGO VERDE CONTRATO 0382/25 - MV.</t>
  </si>
  <si>
    <t>44662</t>
  </si>
  <si>
    <t>NF 202500000000015. SERVICO DE SUPORTE TECNICO EM INFRAESTRUTURA DE TI.</t>
  </si>
  <si>
    <t>202500000000015</t>
  </si>
  <si>
    <t>DEPOSITO</t>
  </si>
  <si>
    <t>CAPITAL DE GIRO CEDULA DE CREDITO BANCARIO NR 713.914.635. PARCELA ULTIMA 10/01/2029 VALOR PARCELA: R$ 43.571,43. ENCARGO FINANCEIRO 1,92 % MES.</t>
  </si>
  <si>
    <t>1/42</t>
  </si>
  <si>
    <t>NF 1429  CONSULTA DE PERFIL PROFISSIONAL.</t>
  </si>
  <si>
    <t>1429</t>
  </si>
  <si>
    <t>CAUCAO LOCACAO SALA QUADRA 505 SUL.</t>
  </si>
  <si>
    <t xml:space="preserve"> ALUGAR ADMINISTRACAO DE IMOVEIS LTDA</t>
  </si>
  <si>
    <t>ADTO FRETE Nº 02031, CTE 13804 CARDOSO, CONTRATO: 0388/25 - FC. PLACA: IQS-9B93, MOTORISTA: LUCAS FRANCISCO DOS SANTOS JESUS. EXTRATO CIOTTA TRANSPORTES.</t>
  </si>
  <si>
    <t xml:space="preserve"> LUCAS FRANCISCO DOS SANTOS JESUS</t>
  </si>
  <si>
    <t>02031</t>
  </si>
  <si>
    <t>NF 233185</t>
  </si>
  <si>
    <t xml:space="preserve"> FRETEBRAS INTERNET E SERVICOS LTDA</t>
  </si>
  <si>
    <t>233185</t>
  </si>
  <si>
    <t>SALDO FRETE Nº 02031, CTE 13804 CARDOSO, CONTRATO: 0388/25 - FC. PLACA: IQS-9B93, MOTORISTA: LUCAS FRANCISCO DOS SANTOS JESUS. EXTRATO CIOTTA TRANSPORTES.</t>
  </si>
  <si>
    <t>RECONHECIMENTO FIRMA TRASFERENCIA LIBRELATO</t>
  </si>
  <si>
    <t xml:space="preserve"> 2 TABELIONATO DE NOTAS DE PALMAS</t>
  </si>
  <si>
    <t>CANCELAMENTO NF 1734 E 1735.</t>
  </si>
  <si>
    <t>SERVICO PORTUARIO CANAL VERMELHO CRT 0382/25 - MV.</t>
  </si>
  <si>
    <t xml:space="preserve"> TCP - TERMINAL DE CONTEINERES DE PARANAGUA S/A</t>
  </si>
  <si>
    <t>1723579</t>
  </si>
  <si>
    <t>FRETE MARITIMO CONTRATO VENDA: 0386/25 - MV. CARREGAMENTO Nº 01992, PLACA: IVV-9092, MOTORISTA: CLEITON LORENZET. CONTRATO EXP-034/25.</t>
  </si>
  <si>
    <t>NF 377232. CONSULTA DE PERFIL PROFISSIONAL. FATURA Nº 00847 REF. DOCUMENTOS: 01995, 01997, 01998, 02006, 02005, 02003, 02002, 02004, 02012, 02014.</t>
  </si>
  <si>
    <t>377232</t>
  </si>
  <si>
    <t>TELEFONE 07/2025. Nº da conta: 149591054.</t>
  </si>
  <si>
    <t>SALDO FRETE Nº 02018, CTE 31002, CONTRATO: 0388/25 - FC. PLACA: MHA-0D90, MOTORISTA: CLAYTON GOMES PEREIRA</t>
  </si>
  <si>
    <t xml:space="preserve"> NOVA FROTA TRANSPORTES E LOGISTICA LTDA</t>
  </si>
  <si>
    <t>02018</t>
  </si>
  <si>
    <t>SALDO FRETE Nº 02019, CTE 31000, CONTRATO: 0388/25 - FC. PLACA: ABD-4A03, MOTORISTA: ADENILSON JOSE DE SANTANA</t>
  </si>
  <si>
    <t>02019</t>
  </si>
  <si>
    <t>SALDO FRETE Nº 02021, CTE 30996, CONTRATO: 0388/25 - FC. PLACA: HRO-6D61, MOTORISTA: AGOSTINHO ZAPPELINE FILHO</t>
  </si>
  <si>
    <t>02021</t>
  </si>
  <si>
    <t>SALDO FRETE Nº 02027, CTE 31188, CONTRATO: 0388/25 - FC. PLACA: RXP-8H18, MOTORISTA: ALESSANDRO FUJITA</t>
  </si>
  <si>
    <t>02027</t>
  </si>
  <si>
    <t>REF. A 07/2025. ISSQN NF 133 E 134 REPRESTACAO.</t>
  </si>
  <si>
    <t>SENAR NF 3760 E 3061</t>
  </si>
  <si>
    <t>REFERENTE 07/2025 + IR.</t>
  </si>
  <si>
    <t>17/18</t>
  </si>
  <si>
    <t>SALDO FRETE Nº 02017, CTE 17775, CONTRATO: 0384/25 - CA. PLACA: XXX-9999, MOTORISTA: JOEL FLORENCO DE SOUZA</t>
  </si>
  <si>
    <t xml:space="preserve"> FEROLI TRANSPORTES E COMERCIO DE GRAOS LTDA</t>
  </si>
  <si>
    <t>SALDO FRETE Nº 02037, CTE 17813, CONTRATO: 0384/25 - CA. PLACA: HKE-9G61, MOTORISTA: AIRSON BATISTA DA SILVA</t>
  </si>
  <si>
    <t>SALDO FRETE Nº 02039, CTE 17823, CONTRATO: 0384/25 - CA. PLACA: OBK-6E40, MOTORISTA: GIULIANO LOPES RAMOS</t>
  </si>
  <si>
    <t>ADTO FRETE Nº 02047, CTE 14229 CARDOSO, CONTRATO: 0384/25 - CA. PLACA: CUR-7I69, MOTORISTA: FRANSERGIO ROBERTO PANDOFI. EXTRATO MADEREIRA SANTA CRUZ</t>
  </si>
  <si>
    <t xml:space="preserve"> FRANSERGIO ROBERTO PANDOFI</t>
  </si>
  <si>
    <t>MERCADORIA REF NF 3701, CARREGAMENTO  Nº 02047, CONTRATO: 0355/25 - CA. PLACA: CUR-7I69, MOTORISTA: FRANSERGIO ROBERTO PANDOFI</t>
  </si>
  <si>
    <t>MERCADORIA REF NF 3711, CARREGAMENTO  Nº 02049, CONTRATO: 0355/25 - CA. PLACA: DMC-9E20, MOTORISTA: ANDRE SOARES MACEDO</t>
  </si>
  <si>
    <t>ADIANTAMENTO CONTRATO 0355/25 - CA. NF 3741 PARCIAL. MERCADORIA REF NF 3741, CARREGAMENTO  Nº 02056, CONTRATO: 0355/25 - CA. PLACA: RSA-3F28, MOTORISTA: ROMARIO VIEIRA NASCIMENTO</t>
  </si>
  <si>
    <t>5016</t>
  </si>
  <si>
    <t>APOLICE 21.94.2025.0001911 REF 06/2025. FATURA Nº 00845 REF. DOCUMENTOS: 01971, 01975, 01978, 01980, 01959, 01956, 01957, 01960, 01969, 01967, 01974, 01982, 01984, 01987, 01951, 01954, 1992.</t>
  </si>
  <si>
    <t>ADTO FRETE Nº 02049, CTE CTE14300 CARDOSO, CONTRATO: 0384/25 - CA. PLACA: DMC-9E20, MOTORISTA: ANDRE SOARES MACEDO. EXTRATO Guima Transporte Express</t>
  </si>
  <si>
    <t xml:space="preserve"> ANDRE SOARES MACEDO</t>
  </si>
  <si>
    <t>ANTECIPACAO CONTRATO 0356/25 - CA.  NF 110, 1109, 1112, 1118, 122, 121, 1123, 1124, 1140.</t>
  </si>
  <si>
    <t>CTE 31760 PARCIAL NERWILLIAN. FATURA Nº 00856 REF. DOCUMENTOS: 02045, 02045, 02044, 02044, 02047, 02031, 02041, 02041, 02042, 02042, 02043, 02043, 02049.</t>
  </si>
  <si>
    <t>FATURA 00856</t>
  </si>
  <si>
    <t>CTE 31642 PARCIAL R$ 160,00 NERWILLIAN + CTE 32092 R$ 115,00. FATURA Nº 00856 REF. DOCUMENTOS: 02045, 02045, 02044, 02044, 02047, 02031, 02041, 02041, 02042, 02042, 02043, 02043, 02049.</t>
  </si>
  <si>
    <t>ADTO FRETE Nº 02050, CTE 14332 CARDOSO, CONTRATO: 0384/25 - CA. PLACA: JAE-2I43, MOTORISTA: LUIZ CARLOS POLETTI CONSUL. EXTRATO LIMPA CERTO TRANSPORTES E RESÍDUOS LTDA</t>
  </si>
  <si>
    <t xml:space="preserve"> LUIZ CARLOS POLETTI CONSUL</t>
  </si>
  <si>
    <t>SALDO FRETE Nº 02045, CTE 14174 CARDOSO, CONTRATO: 0389/25 - FC. PLACA: TAW-3D94, MOTORISTA: AMILTON CESAR KARVAT. EXTRATO Rota 262 Transportes</t>
  </si>
  <si>
    <t xml:space="preserve"> AMILTON CESAR KARVAT</t>
  </si>
  <si>
    <t>02045</t>
  </si>
  <si>
    <t>SALDO FRETE Nº 02047, CTE 14229 CARDOSO, CONTRATO: 0384/25 - CA. PLACA: CUR-7I69, MOTORISTA: FRANSERGIO ROBERTO PANDOFI. EXTRATO MADEREIRA SANTA CRUZ</t>
  </si>
  <si>
    <t>VALOR BAGGIO PIX ERRADO</t>
  </si>
  <si>
    <t>CAPITAL DE GIRO CEDULA DE CREDITO BANCARIO NR 713.912.396. 19/30 PARCELAS PRIMEIRA 26/02/2024 ULTIMA 26/07/2026 VALOR PARCELA: R$ 33.666,57. ENCARGO FINANCEIRO 1,40 % MES. TAXA FLAT 0,50%.</t>
  </si>
  <si>
    <t>19/30</t>
  </si>
  <si>
    <t>SALDO FRETE Nº 02049, CTE14300 CARDOSO, CONTRATO: 0384/25 - CA. PLACA: DMC-9E20, MOTORISTA: ANDRE SOARES MACEDO. EXTRATO Guima Transporte Express</t>
  </si>
  <si>
    <t>SALDO FRETE Nº 02047, CTE 14229 R$ 912,80. CARDOSO, CONTRATO: 0384/25 - CA. PLACA: CUR-7I69, MOTORISTA: FRANSERGIO ROBERTO PANDOFI. EXTRATO MADEREIRA SANTA CRUZ. CTE 20413 R$ 411,40 NEROWILLIAN</t>
  </si>
  <si>
    <t>TARIFA EMISSAO CARTA REMESSA CONTRATO 0386/25 - MV EXP 034/25 ADROIT.</t>
  </si>
  <si>
    <t>SERVICOS DE PORTO CONTRATO VENDA: 0388/25 - FC. FATURA Nº 00849 REF. DOCUMENTOS: 02027, 02018, 02019, 02021. PROCESSO EXP 031/25 A</t>
  </si>
  <si>
    <t>SERVICOS DE PORTO CONTRATO VENDA: 0388/25 - FC. FATURA Nº 00850 REF. DOCUMENTOS: 02024, 02033, 02031, 02036. PROCESSO EXP 031/25 B</t>
  </si>
  <si>
    <t>SALDO FRETE Nº 02050, CTE 14332 CARDOSO, CONTRATO: 0384/25 - CA. PLACA: JAE-2I43, MOTORISTA: LUIZ CARLOS POLETTI CONSUL. EXTRATO LIMPA CERTO TRANSPORTES E RESÍDUOS LTDA</t>
  </si>
  <si>
    <t>ADTO FRETE Nº 02051, CTE 39779 NEROWILLIAN CONTRATO: 0384/25 - CA. PLACA: EGJ-7J96, MOTORISTA: MARCOS DONIZETTI DE CARVALHO. EXTRATO TRANSLINE LOGISTICA E TRANSPORTES</t>
  </si>
  <si>
    <t xml:space="preserve"> MARCOS DONIZETTI DE CARVALHO</t>
  </si>
  <si>
    <t>SALDO FRETE Nº 02051, CTE 39779 NEROWILLIAN CONTRATO: 0384/25 - CA. PLACA: EGJ-7J96, MOTORISTA: MARCOS DONIZETTI DE CARVALHO. EXTRATO TRANSLINE LOGISTICA E TRANSPORTES</t>
  </si>
  <si>
    <t>CARTAO DE CREDITO. NF 75 TOP 10 PNEUS. NF 19 GRAZIEANE.</t>
  </si>
  <si>
    <t>RELATORIO DE DESPESAS AGOSTO/2025. DHL.</t>
  </si>
  <si>
    <t>SALDO FRETE Nº 02024, CTE 31204, CONTRATO: 0388/25 - FC. PLACA: AXM-6E88, MOTORISTA: LUIS EDUARDO MONDEQUE MALDONADO</t>
  </si>
  <si>
    <t>02024</t>
  </si>
  <si>
    <t>SALDO FRETE Nº 02038, CTE 31529, CONTRATO: 0391/25 - FC. PLACA: IDT-1I97, MOTORISTA: JEAN FRANCISCO FUENTES PEREIRA</t>
  </si>
  <si>
    <t>02038</t>
  </si>
  <si>
    <t>SALDO FRETE Nº 02033, CTE 31585, CONTRATO: 0388/25 - FC. PLACA: HBG-0H68, MOTORISTA: UESLEI DRESCHER</t>
  </si>
  <si>
    <t>02033</t>
  </si>
  <si>
    <t>SALDO FRETE Nº 02036, CTE 31586, CONTRATO: 0388/25 - FC. PLACA: BTR-3I10, MOTORISTA: SIDNEI LUCIANO FIGUEIREDO</t>
  </si>
  <si>
    <t>02036</t>
  </si>
  <si>
    <t>REPARCELAMENTO REFIS. NUMERO DO PARCELAMENTO 11257711 ICMS. VALOR TOTAL R$ 338.571,58 22/60 PARCELAS.</t>
  </si>
  <si>
    <t>22/60</t>
  </si>
  <si>
    <t>PROJETO COMPRADOR 2/2. NAO ACONTECEU O PROJETO USADO PARA ANUIDADE 2026 RENOVACAO.</t>
  </si>
  <si>
    <t>HONORARIOS 08/2025. NF 1885.</t>
  </si>
  <si>
    <t>1885</t>
  </si>
  <si>
    <t>AJUSTE. COMISSAO CORRETOR, CONTRATO VENDA: 0387/25 - MP FEIJAO MUNGO PRETO. FATURA Nº 00848 REF. DOCUMENTOS: 02006, 02012, 02014. PROCESSO EXP 030/25 C.</t>
  </si>
  <si>
    <t>MERCADORIA REF NF 3741, CARREGAMENTO  Nº 02056, CONTRATO: 0355/25 - CA. PLACA: RSA-3F28, MOTORISTA: ROMARIO VIEIRA NASCIMENTO</t>
  </si>
  <si>
    <t>MERCADORIA REF NF 3742, CARREGAMENTO  Nº 02057, CONTRATO: 0355/25 - CA. PLACA: RIM-9A06, MOTORISTA: MARCELO YAMAMOTO</t>
  </si>
  <si>
    <t>CTE 32117 NEROWILLIAN. ICMS S/ FRETE.</t>
  </si>
  <si>
    <t>ANTECIPACAO CONTRATO 0394/25 - SO. NF 1147, 1148, 1149, 1152, 1153, 1154, 1155, 1156, 1159, 1160, 1172 PARCIAL.</t>
  </si>
  <si>
    <t xml:space="preserve"> ALCIDES AUGUSTO DA FONSECA JUNIOR</t>
  </si>
  <si>
    <t>ANTECIPACAO CONTRATO 0395/25 - MP. BAIXAR NF 3761 ADEMAR VANZELA. CESSAO DE CREDITO PARA PAGAMENTO ADEMAR VANZELA.</t>
  </si>
  <si>
    <t xml:space="preserve"> ADRIANO DUARTE DE OLIVEIRA</t>
  </si>
  <si>
    <t>CANCELAMENTO NF ADROIT</t>
  </si>
  <si>
    <t>FCO DAF 713.906.837 PARCELA 49/60.</t>
  </si>
  <si>
    <t>49/60</t>
  </si>
  <si>
    <t>NF 7121</t>
  </si>
  <si>
    <t>7121</t>
  </si>
  <si>
    <t>9/12</t>
  </si>
  <si>
    <t>ADTO FRETE Nº 02056, CTE 39881 NEROWILLIAN, CONTRATO: 0384/25 - CA. PLACA: RSA-3F28, MOTORISTA: ROMARIO VIEIRA NASCIMENTO. EXTRATO ROTA DO SUL TRANSPORTES</t>
  </si>
  <si>
    <t xml:space="preserve"> ROMARIO VIEIRA NASCIMENTO</t>
  </si>
  <si>
    <t>ADTO FRETE Nº 02057, CTE 39883 NEROWILLIAN, CONTRATO: 0384/25 - CA. PLACA: RIM-9A06, MOTORISTA: MARCELO YAMAMOTO. EXTRATO ROTA DO SOL TRANSPORTE</t>
  </si>
  <si>
    <t xml:space="preserve"> MARCELO YAMAMOTO</t>
  </si>
  <si>
    <t>CTE 27263 NEROWILLIAN. FATURA Nº 00857 REF. DOCUMENTOS: 02050, 02004, 02051.</t>
  </si>
  <si>
    <t>FATURA 00857</t>
  </si>
  <si>
    <t>SALDO FRETE Nº 02048, CTE 17888, CONTRATO: 0384/25 - CA. PLACA: XXX-9999, MOTORISTA: JOEL FLORENCO DE SOUZA</t>
  </si>
  <si>
    <t>SALDO FRETE Nº 02057, CTE 39883 NEROWILLIAN, CONTRATO: 0384/25 - CA. PLACA: RIM-9A06, MOTORISTA: MARCELO YAMAMOTO. EXTRATO ROTA DO SOL TRANSPORTE</t>
  </si>
  <si>
    <t>2/3</t>
  </si>
  <si>
    <t>INTERNET ESCRITORIO FATURA 2508928772280</t>
  </si>
  <si>
    <t>2508928772280</t>
  </si>
  <si>
    <t>FRETE MARITIMO CONTRATO VENDA: 0387/25 - MP FEIJAO MUNGO PRETO. FATURA Nº 00844 REF. DOCUMENTOS: 02002, 02005, 02003, 02004. PROCESSO EXP 030/25 B.</t>
  </si>
  <si>
    <t>VALOR PAGO A MAIOR</t>
  </si>
  <si>
    <t>SERVICO DE PORTO, CONTRATO VENDA: 0387/25 - MP FEIJAO MUNGO PRETO. FATURA Nº 00848 REF. DOCUMENTOS: 02006, 02012, 02014. PROCESSO EXP 030/25 C.</t>
  </si>
  <si>
    <t>SALDO FRETE Nº 02056, CTE 39881 NEROWILLIAN, CONTRATO: 0384/25 - CA. PLACA: RSA-3F28, MOTORISTA: ROMARIO VIEIRA NASCIMENTO. EXTRATO ROTA DO SUL TRANSPORTES</t>
  </si>
  <si>
    <t>FRETE MARITIMO, CONTRATO VENDA: 0387/25 - MP FEIJAO MUNGO PRETO. FATURA Nº 00848 REF. DOCUMENTOS: 02006, 02012, 02014. PROCESSO EXP 030/25 C.</t>
  </si>
  <si>
    <t>CTE 32264. FATURA Nº 00858 REF. DOCUMENTOS: 02056, 02057.</t>
  </si>
  <si>
    <t>FATURA 00858</t>
  </si>
  <si>
    <t>MERCADORIA REF NF 1493, CARREGAMENTO  Nº 01951, CONTRATO: 0383/25 - MP. PLACA: LWH-9454, MOTORISTA: JOAO ATALIBIO SOARES</t>
  </si>
  <si>
    <t>MERCADORIA REF NF 1494, CARREGAMENTO  Nº 01954, CONTRATO: 0383/25 - MP. PLACA: JCR-4E60, MOTORISTA: JURANDIR OLIVEIRA RODRIGUES</t>
  </si>
  <si>
    <t>MERCADORIA REF NF 3793, CARREGAMENTO  Nº 02064, CONTRATO: 0355/25 - CA. PLACA: RSE-8E57, MOTORISTA: VALDIR DE SOUSA OLIVEIRA</t>
  </si>
  <si>
    <t>ALUGUEL SALA 505 SUL</t>
  </si>
  <si>
    <t>1/30</t>
  </si>
  <si>
    <t>MERCADORIA REF NF 3796, CARREGAMENTO  Nº 02065, CONTRATO: 0355/25 - CA. PLACA: RSA-3F68, MOTORISTA: RONAN MENEZES PEDROSA</t>
  </si>
  <si>
    <t>NF 202500000000022. SERVICO DE SUPORTE TECNICO EM INFRAESTRUTURA DE TI.</t>
  </si>
  <si>
    <t>2/42</t>
  </si>
  <si>
    <t>ADTO FRETE Nº 02064, CTE 40091 NEROWILLIAN, CONTRATO: 0384/25 - CA. PLACA: RSE-8E57, MOTORISTA: VALDIR DE SOUSA OLIVEIRA. EXTRATO ROTA DO SOL TRANSPORTE</t>
  </si>
  <si>
    <t xml:space="preserve"> VALDIR DE SOUSA OLIVEIRA</t>
  </si>
  <si>
    <t>ADTO FRETE Nº 02065, CTE 40101 NEROWILLIAN, CONTRATO: 0384/25 - CA. PLACA: RSA-3F68, MOTORISTA: RONAN MENEZES PEDROSA. EXTRATO ROTA DO SOL TRANSPORTE</t>
  </si>
  <si>
    <t xml:space="preserve"> RONAN MENEZES PEDROSA</t>
  </si>
  <si>
    <t>ADTO FRETE Nº 02066, CTE 40115 NEROWILLIAN, CONTRATO: 0398/25 - CA. PLACA: QWA-4A09, MOTORISTA: MARCIO RODRIGUES DE SOUZA. EXTRATO ROTA DO SOL TRANSPORTE</t>
  </si>
  <si>
    <t xml:space="preserve"> MARCIO RODRIGUES DE SOUZA</t>
  </si>
  <si>
    <t>MERCADORIA EF NF 3799, CARREGAMENTO  Nº 02066, CONTRATO: 0355/25 - CA. PLACA: QWA-4A09, MOTORISTA: MARCIO RODRIGUES DE SOUZA</t>
  </si>
  <si>
    <t>00011</t>
  </si>
  <si>
    <t>CUSTAS PROCURACAO TERRENO LUZIMANGUES.</t>
  </si>
  <si>
    <t xml:space="preserve"> REGISTRO DE IMOVEIS, TITULOS E DOCUMENTOS</t>
  </si>
  <si>
    <t>HONORARIO CONTRATO COMPRA E VENDA TERRENO LUZIMANGUES.</t>
  </si>
  <si>
    <t xml:space="preserve"> EDER MENDONCA DE ABREU - SOCIEDADE INDIVIDUAL DE ADVOCACIA</t>
  </si>
  <si>
    <t>202500000000026</t>
  </si>
  <si>
    <t>SALDO FRETE Nº 02068, CTE 17985, CONTRATO: 0384/25 - CA. PLACA: QCE-6G88, MOTORISTA: ELIAS TAVARES DE SOUZA</t>
  </si>
  <si>
    <t>CTE 32266 PARCIAL NEROWILLAIN. FATURA Nº 00861 REF. DOCUMENTOS: 02066, 02064, 02064, 02065, 02065, 02066.</t>
  </si>
  <si>
    <t>FATURA 00861</t>
  </si>
  <si>
    <t>MERCADORIA REF NF 1172 PARCIAL,  CARREGAMENTO  Nº 02072, CONTRATO: 0394/25 - SO. PLACA: XXX-9999, MOTORISTA: JOEL FLORENCO DE SOUZA</t>
  </si>
  <si>
    <t>NF 383918. CONSULTA DE PERFIL PROFISSIONAL. FATURA Nº 00862 REF. DOCUMENTOS: 02045, 02044, 02047, 02050, 02051, 02041, 02043, 02031, 02049.</t>
  </si>
  <si>
    <t>383918</t>
  </si>
  <si>
    <t>MERCADORIA REF NF 3815, CARREGAMENTO  Nº 02073, CONTRATO: 0355/25 - CA. PLACA: EGJ-7J96, MOTORISTA: MARCOS DONIZETTI DE CARVALHO</t>
  </si>
  <si>
    <t>TELEFONE 08/2025. Nº da conta: 149591054.</t>
  </si>
  <si>
    <t>SALDO FRETE Nº 02064, CTE 40091 NEROWILLIAN, CONTRATO: 0384/25 - CA. PLACA: RSE-8E57, MOTORISTA: VALDIR DE SOUSA OLIVEIRA. EXTRATO ROTA DO SOL TRANSPORTE</t>
  </si>
  <si>
    <t>SALDO FRETE Nº 02065, CTE 40101 NEROWILLIAN, CONTRATO: 0384/25 - CA. PLACA: RSA-3F68, MOTORISTA: RONAN MENEZES PEDROSA. EXTRATO ROTA DO SOL TRANSPORTE</t>
  </si>
  <si>
    <t>ADTO FRETE Nº 02073, CTE 40261 NEROWILLIAN, CONTRATO: 0384/25 - CA. PLACA: EGJ-7J96, MOTORISTA: MARCOS DONIZETTI DE CARVALHO. EXTRATO TRANSALINE LOGISTICA</t>
  </si>
  <si>
    <t>MERCADORIA REF NF 1173, CARREGAMENTO  Nº 02075, CONTRATO: 0394/25 - SO. PLACA: XXX-9999, MOTORISTA: JOEL FLORENCO DE SOUZA</t>
  </si>
  <si>
    <t>MERCADORIA REF NF 1174, CARREGAMENTO  Nº 02079, CONTRATO: 0394/25 - SO. PLACA: XXX-9999, MOTORISTA: JOEL FLORENCO DE SOUZA</t>
  </si>
  <si>
    <t>SERVICO DE CAMBIO CONTRATO: 0386/25 - MV</t>
  </si>
  <si>
    <t>SERVICO DE CAMBIO CONTRATO: 0382/25 - MV</t>
  </si>
  <si>
    <t>SENAR CONTRATO 0356/25 - CA NF 1024, 1038, 1041, 1049, 1050, 1053.</t>
  </si>
  <si>
    <t>REFERENTE 08/2025.</t>
  </si>
  <si>
    <t>REF. A 08/2025. ISSQN NF 135 REPRESTACAO.</t>
  </si>
  <si>
    <t>SALDO FRETE Nº 02073, CTE 40261 NEROWILLIAN, CONTRATO: 0384/25 - CA. PLACA: EGJ-7J96, MOTORISTA: MARCOS DONIZETTI DE CARVALHO</t>
  </si>
  <si>
    <t>18/18</t>
  </si>
  <si>
    <t>MERCADORIA REF NF 1495, CARREGAMENTO  Nº 01959, CONTRATO: 0383/25 - MP. PLACA: AOT-6G27, MOTORISTA: ARI INACIO DAHLEM</t>
  </si>
  <si>
    <t>MERCADORIA REF NF 1499, CARREGAMENTO  Nº 01969, CONTRATO: 0383/25 - MP. PLACA: PRR-4I58, MOTORISTA: ELIAS MIGUEL ALVES</t>
  </si>
  <si>
    <t>MERCADORIA REF NF 1498, CARREGAMENTO  Nº 01967, CONTRATO: 0383/25 - MP. PLACA: JCR-4E60, MOTORISTA: JURANDIR OLIVEIRA RODRIGUES</t>
  </si>
  <si>
    <t>MERCADORIA REF NF 1500, CARREGAMENTO  Nº 01971, CONTRATO: 0383/25 - MP. PLACA: ATG-9C29, MOTORISTA: RENATO BRAGA PEREIRA</t>
  </si>
  <si>
    <t>MERCADORIA REF NF 1502, CARREGAMENTO  Nº 01974, CONTRATO: 0383/25 - MP. PLACA: PJR-0J65, MOTORISTA: CRISTIANO FONTES DA SILVA</t>
  </si>
  <si>
    <t>MERCADORIA REF NF 1501, CARREGAMENTO  Nº 01975, CONTRATO: 0383/25 - MP. PLACA: JCR-4E60, MOTORISTA: JURANDIR OLIVEIRA RODRIGUES</t>
  </si>
  <si>
    <t>MERCADORIA REF NF 1503, CARREGAMENTO  Nº 01978, CONTRATO: 0383/25 - MP. PLACA: SJX-4H77, MOTORISTA: JOAO SANTANA DE SUOZA FILHO</t>
  </si>
  <si>
    <t>MERCADORIA REF NF 1507, CARREGAMENTO  Nº 01980, CONTRATO: 0383/25 - MP. PLACA: LYC-9H54, MOTORISTA: JAIME KRIESE</t>
  </si>
  <si>
    <t>MERCADORIA REF NF 1508 CARREGAMENTO  Nº 01982, CONTRATO: 0383/25 - MP. PLACA: OBL-1B90, MOTORISTA: BRUNNO DAMACENA PEREIRA</t>
  </si>
  <si>
    <t>MERCADORIA REF NF 1509, CARREGAMENTO  Nº 01984, CONTRATO: 0383/25 - MP. PLACA: JCR-4E60, MOTORISTA: JURANDIR OLIVEIRA RODRIGUES</t>
  </si>
  <si>
    <t>MERCADORIA REF NF 1510, CARREGAMENTO  Nº 01987, CONTRATO: 0383/25 - MP. PLACA: IKY-0H92, MOTORISTA: NEURO CIVARDI</t>
  </si>
  <si>
    <t>MERCADORIA REF NF 1508CARREGAMENTO  Nº 01982, CONTRATO: 0383/25 - MP. PLACA: OBL-1B90, MOTORISTA: BRUNNO DAMACENA PEREIRA</t>
  </si>
  <si>
    <t>CTE 32263 NEROWILLIN. FATURA Nº 00864 REF. DOCUMENTOS: 02073, 02073.</t>
  </si>
  <si>
    <t>FATURA 00864</t>
  </si>
  <si>
    <t>ADTO FRETE Nº 02083, CTE 40473 NEROWILLIAN, CONTRATO: 0399/25 - CA. PLACA: JCB-0C85, MOTORISTA: MARCELO REZENDE CUNHA. EXTRATO TRANSPORTADORA MONIQUE</t>
  </si>
  <si>
    <t xml:space="preserve"> MARCELO REZENDE CUNHA</t>
  </si>
  <si>
    <t>MERCADORIA REF NF 3847, CARREGAMENTO  Nº 02083, CONTRATO: 0355/25 - CA. PLACA: JCB-0C85, MOTORISTA: MARCELO REZENDE CUNHA</t>
  </si>
  <si>
    <t>ADTO FRETE Nº 02080, CTE 40474 NEROWILLIAN, CONTRATO: 0402/25 - CA. PLACA: SHN-0B94, MOTORISTA: MULLER MOREIRA RODRIGUES. EXTRATO TRANSPORTADORA MUNIQUE.</t>
  </si>
  <si>
    <t xml:space="preserve"> MULLER MOREIRA RODRIGUES</t>
  </si>
  <si>
    <t>ADTO FRETE Nº 02084, CTE 40512 NEROWILLIAN, CONTRATO: 0399/25 - CA. PLACA: ATX-0J24, MOTORISTA: FABIO ALVES DE OLIVEIRA. EXTRATO RODOBAZI TRANSPORTADORA</t>
  </si>
  <si>
    <t xml:space="preserve"> FABIO ALVES DE OLIVEIRA</t>
  </si>
  <si>
    <t>ADTO FRETE Nº 02097, CTE 40533 NEROWILLIAN, CONTRATO: 0399/25 - CA. PLACA: CRN-8932, MOTORISTA: ROGERIO BOLETA PERES</t>
  </si>
  <si>
    <t xml:space="preserve"> ROGERIO BOLETA PERES</t>
  </si>
  <si>
    <t>MERCADORIA REF NF 3857 CARREGAMENTO  Nº 02097, CONTRATO: 0355/25 - CA. PLACA: CRN-8932, MOTORISTA: ROGERIO BOLETA PERES</t>
  </si>
  <si>
    <t>TAXA CANCELAMENTO NF 1534.</t>
  </si>
  <si>
    <t>SALDO FRETE Nº 02083, CTE 40473 NEROWILLIAN, CONTRATO: 0399/25 - CA. PLACA: JCB-0C85, MOTORISTA: MARCELO REZENDE CUNHA. EXTRATO TRANSPORTADORA MONIQUE</t>
  </si>
  <si>
    <t>SALDO FRETE Nº 02080, CTE 40474 NEROWILLIAN, CONTRATO: 0402/25 - CA. PLACA: SHN-0B94, MOTORISTA: MULLER MOREIRA RODRIGUES. EXTRATO TRANSPORTADORA MUNIQUE.</t>
  </si>
  <si>
    <t>TARIFA EMISSAO CARTA REMESSA CONTRATO 0387/25 - MP EXP 030/25 A JASHAN.</t>
  </si>
  <si>
    <t>REPARCELAMENTO REFIS. NUMERO DO PARCELAMENTO 11257711 ICMS. VALOR TOTAL R$ 338.571,58 23/60 PARCELAS.</t>
  </si>
  <si>
    <t>09/2026</t>
  </si>
  <si>
    <t>23/60</t>
  </si>
  <si>
    <t>CAPITAL DE GIRO CEDULA DE CREDITO BANCARIO NR 713.912.396. 20/30 PARCELAS PRIMEIRA 26/02/2024 ULTIMA 26/07/2026 VALOR PARCELA: R$ 33.666,57. ENCARGO FINANCEIRO 1,40 % MES. TAXA FLAT 0,50%.</t>
  </si>
  <si>
    <t>20/30</t>
  </si>
  <si>
    <t>SALDO FRETE Nº 02084, CTE 40512 NEROWILLIAN, CONTRATO: 0399/25 - CA. PLACA: ATX-0J24, MOTORISTA: FABIO ALVES DE OLIVEIRA. EXTRATO RODOBAZI TRANSPORTADORA</t>
  </si>
  <si>
    <t>SALDO FRETE Nº 02097, CTE 40533 NEROWILLIAN, CONTRATO: 0399/25 - CA. PLACA: CRN-8932, MOTORISTA: ROGERIO BOLETA PERES</t>
  </si>
  <si>
    <t>CARTAO DE CREDITO. NF 33113 DUFRIO. NF 4482 DISBRAVA.</t>
  </si>
  <si>
    <t>ADTO FRETE Nº 02106, CTE 40633 NEROWILLIAN, CONTRATO: 0399/25 - CA. PLACA: PHR-1H34, MOTORISTA: MICHEL CAETANO NETTO</t>
  </si>
  <si>
    <t xml:space="preserve"> MICHEL CAETANO NETTO</t>
  </si>
  <si>
    <t>CTE 32268 R$ 3700,78 PARCIAL NEROWILLAIN.  CTE 32123 R$ 1.372,63 PARCIAL NEROWILLIAN. FATURA Nº 00865 REF. DOCUMENTOS: 02083, 02083, 02080, 02084, 02080, 02097, 02097.</t>
  </si>
  <si>
    <t>FATURA 00865</t>
  </si>
  <si>
    <t>ADTO FRETE Nº 02107, CTE 40645 NEROWILLIAN, CONTRATO: 0403/25 - CA. PLACA: QCJ-6F60, MOTORISTA: MARCOS ALEXANDRE CONSTANTINO. EXTRATO JJJM TRANSPORTES</t>
  </si>
  <si>
    <t xml:space="preserve"> MARCOS ALEXANDRE CONSTANTINO</t>
  </si>
  <si>
    <t>ADTO FRETE Nº 02108, CTE 40650 NEROWILLIAN, CONTRATO: 0399/25 - CA. PLACA: KTP-6J92, MOTORISTA: RICARDO JOSE FIGUEIRA. EXTRATO CDG TRANSPORTES</t>
  </si>
  <si>
    <t xml:space="preserve"> RICARDO JOSE FIGUEIRA</t>
  </si>
  <si>
    <t>DEVOLUCAO VALOR CONTRATO 0355/25 - CA</t>
  </si>
  <si>
    <t>TARIFA EMISSAO CARTA REMESSA CONTRATO 0387/25 - MP EXP 030/25 A1 JASHAN.</t>
  </si>
  <si>
    <t>TARIFA EMISSAO CARTA REMESSA CONTRATO 0387/25 - MP EXP 030/25 C JASHAN.</t>
  </si>
  <si>
    <t>HONORARIOS 09/2025. NF 1895.</t>
  </si>
  <si>
    <t>1895</t>
  </si>
  <si>
    <t>FRETE MARITIMO CONTRATO VENDA: 0388/25 - FC. PROCESSO EXP 31/25 B. FATURA Nº 00866 REF. DOCUMENTOS: 0388/25 - FC, 0388/25 - FC. FATURA Nº 00852 REF. DOCUMENTOS: 02024, 02033, 02031, 02036.</t>
  </si>
  <si>
    <t>LIQUIDACAO NDF 3005479</t>
  </si>
  <si>
    <t>3005479</t>
  </si>
  <si>
    <t>FATURA SET/2025</t>
  </si>
  <si>
    <t xml:space="preserve"> ENERGISA MATO GROSSO - DISTRIBUIDORA DE ENERGIA S.A.</t>
  </si>
  <si>
    <t>SALDO FRETE Nº 02107, CTE 40645 NEROWILLIAN, CONTRATO: 0403/25 - CA. PLACA: QCJ-6F60, MOTORISTA: MARCOS ALEXANDRE CONSTANTINO. EXTRATO JJJM - TRANSPORTES</t>
  </si>
  <si>
    <t>TARIFA EMISSAO CARTA REMESSA CONTRATO 0387/25 - MP EXP 030/25 B JASHAN.</t>
  </si>
  <si>
    <t>NF 7271</t>
  </si>
  <si>
    <t>7271</t>
  </si>
  <si>
    <t>10/12</t>
  </si>
  <si>
    <t>FCO DAF 713.906.837 PARCELA 50/60.</t>
  </si>
  <si>
    <t>50/60</t>
  </si>
  <si>
    <t>APOLICE 21.94.2025.0001911 REF 08/2025. FATURA Nº 00867 REF. DOCUMENTOS: 02045, 02044, 02047, 02050, 02051, 02031, 02041, 02042, 02043, 02049.</t>
  </si>
  <si>
    <t>ADTO FRETE Nº 02111, CTE 40740 NEROWILLIAN, CONTRATO: 0404/25 - CA. PLACA: RWD-0F58, MOTORISTA: DEOVANDINO PEREIRA DA SILVA. EXTRATO LONTANO TRANSPORTES.</t>
  </si>
  <si>
    <t xml:space="preserve"> DEOVANDINO PEREIRA DA SILVA</t>
  </si>
  <si>
    <t>ADTO FRETE Nº 02114, CTE 8784 HMS, CONTRATO: 0390/25 - FC. PLACA: RDX-7F33, MOTORISTA: MARCOS ANTONIO GRONDEX. EXTRATO GRONDEK &amp; BORTESE TRANSPO</t>
  </si>
  <si>
    <t xml:space="preserve"> MARCOS ANTONIO GRONDEX</t>
  </si>
  <si>
    <t>02114</t>
  </si>
  <si>
    <t>SERVICOS DE PORTO CONTRATO VENDA: 0391/25 - FC. FATURA Nº 00870 REF. DOCUMENTOS: 02038, 02041. CONTRATO EXP 37/25.</t>
  </si>
  <si>
    <t>SALDO FRETE Nº 02106, CTE 40633 NEROWILLIAN, CONTRATO: 0399/25 - CA. PLACA: PHR-1H34, MOTORISTA: MICHEL CAETANO NETTO</t>
  </si>
  <si>
    <t>ADTO FRETE Nº 02113, CTE 40816 NEROWILIAN, CONTRATO: 0402/25 - CA. PLACA: JAT-8B80, MOTORISTA: CESAR LEANDRO CREMONESE DO NASCIMENTO</t>
  </si>
  <si>
    <t xml:space="preserve"> CESAR LEANDRO CREMONESE DO NASCIMENTO</t>
  </si>
  <si>
    <t>TARFIFA</t>
  </si>
  <si>
    <t>SALDO FRETE Nº 02108, CTE 40650 NEROWILLIAN, CONTRATO: 0399/25 - CA. PLACA: KTP-6J92, MOTORISTA: RICARDO JOSE FIGUEIRA. EXTRATO GDG TRANSPORTES</t>
  </si>
  <si>
    <t>SALDO FRETE Nº 02113, CTE 40816 NEROWILIAN, CONTRATO: 0402/25 - CA. PLACA: JAT-8B80, MOTORISTA: CESAR LEANDRO CREMONESE DO NASCIMENTO</t>
  </si>
  <si>
    <t>FETHAB CONTRATO COMPRA 0394/25 -SO 600 TONS. FATURA Nº 00872 REF. DOCUMENTOS: 02075, 02079.</t>
  </si>
  <si>
    <t>FATURA 00872</t>
  </si>
  <si>
    <t>IAGRO CONTRATO COMPRA 0394/25 -SO 600 TONS. FATURA Nº 00872 REF. DOCUMENTOS: 02075, 02079.</t>
  </si>
  <si>
    <t>ADTO FRETE Nº 02118, CTE 40867 NEROWILLIAN, CONTRATO: 0402/25 - CA. PLACA: QOU-4D62, MOTORISTA: EDUARDO AGUIAR BARUFO. EXTRATO TRANS PEDRAO</t>
  </si>
  <si>
    <t xml:space="preserve"> EDUARDO AGUIAR BARUFO</t>
  </si>
  <si>
    <t>INTERNET ESCRITORIO FATURA 2509928772211</t>
  </si>
  <si>
    <t>2509928772211</t>
  </si>
  <si>
    <t>MERCADORIA REF NF 2064, CARREGAMENTO  Nº 02123, CONTRATO: 0406/25 - MV. PLACA: XXX-9999, MOTORISTA: JOEL FLORENCO DE SOUZA</t>
  </si>
  <si>
    <t xml:space="preserve"> ELIO LUIZ CARLOTT</t>
  </si>
  <si>
    <t>MERCADORIA REF NF 2065, CARREGAMENTO  Nº 02124, CONTRATO: 0406/25 - MV. PLACA: XXX-9999, MOTORISTA: JOEL FLORENCO DE SOUZA</t>
  </si>
  <si>
    <t>ADTO FRETE Nº 02120, CTE 40883 NEROWILLIAN, CONTRATO: 0402/25 - CA. PLACA: RAG-8I36, MOTORISTA: WILLIAN FERREIRA FERNANDES. EXTRATO JB TRANSPORTES</t>
  </si>
  <si>
    <t xml:space="preserve"> WILLIAN FERREIRA FERNANDES</t>
  </si>
  <si>
    <t>ADTO FRETE Nº 02119, CTE 40886 NEROWILLIAN, CONTRATO: 0402/25 - CA. PLACA: IWX-3J16, MOTORISTA: ALCINEY SILVA DOS SANTOS. EXTRATO JB TRANSPORTES.</t>
  </si>
  <si>
    <t xml:space="preserve"> ALCINEY SILVA DOS SANTOS</t>
  </si>
  <si>
    <t>ADTO FRETE Nº 02121, CTE 40887 NEROWILLIAN, CONTRATO: 0384/25 - CA. PLACA: NED-9F59, MOTORISTA: BRUNO DE SOUZA FERREIRA. EXTRATO VALDEMAR JOSE FERREIRA</t>
  </si>
  <si>
    <t xml:space="preserve"> BRUNO DE SOUZA FERREIRA</t>
  </si>
  <si>
    <t>CTE 32270 NEROWILLIAN. FATURA Nº 00873 REF. DOCUMENTOS: 02110, 02110, 02116, 02116, 02106, 02107, 02108, 02113, 02114, 02114, 02115, 02111, 02117, 02117, 02112, 02112.</t>
  </si>
  <si>
    <t>FATURA 00873</t>
  </si>
  <si>
    <t>ADTO FRETE Nº 02122, CTE 40899 NEROWILLIAN, CONTRATO: 0384/25 - CA. PLACA: NUB-3J64, MOTORISTA: VALDEMAR JOSE FERREIRA</t>
  </si>
  <si>
    <t xml:space="preserve"> VALDEMAR JOSE FERREIRA</t>
  </si>
  <si>
    <t>3/3</t>
  </si>
  <si>
    <t>COMISSÃO CORRETOR NF 11. CONTRATO VENDA: 0405/25 - MV. FATURA Nº 00874 REF. DOCUMENTOS: 02124, FATURA 00874, 02123.</t>
  </si>
  <si>
    <t xml:space="preserve"> ADRIANO DUARTE DE OLIVEIRA LTDA</t>
  </si>
  <si>
    <t>ESTORNO DE VALOR CRT 0387/25 - MP EXP-030-25 (RENEGOCIACAO DE VALOR EM FUNCAO CANCELAMENTO CONTRATO ADROIT).</t>
  </si>
  <si>
    <t>MERCADORIA REF NF 1513, CARREGAMENTO  Nº 02021, CONTRATO: 0392/25 - FC. PLACA: HRO-6D61, MOTORISTA: AGOSTINHO ZAPPELINE FILHO</t>
  </si>
  <si>
    <t>SALDO FRETE Nº 02118, CTE 40867 NEROWILLIAN, CONTRATO: 0402/25 - CA. PLACA: QOU-4D62, MOTORISTA: EDUARDO AGUIAR BARUFO. EXTRATO TRANS PEDRAO</t>
  </si>
  <si>
    <t>APOLICE 21.94.2025.0001911 REF 07/2025. FATURA Nº 00846 REF. DOCUMENTOS: 01995, 01996, 01997, 01998, 02006, 02005, 02002, 02004, 02012, 02014.</t>
  </si>
  <si>
    <t>SALDO FRETE Nº 02120, CTE 40883 NEROWILLIAN, CONTRATO: 0402/25 - CA. PLACA: RAG-8I36, MOTORISTA: WILLIAN FERREIRA FERNANDES. EXTRATO JB TRANSPORTES</t>
  </si>
  <si>
    <t>SALDO FRETE Nº 02119, CTE 40886 NEROWILLIAN, CONTRATO: 0402/25 - CA. PLACA: IWX-3J16, MOTORISTA: ALCINEY SILVA DOS SANTOS. EXTRATO JB TRANSPORTES.</t>
  </si>
  <si>
    <t>SALDO FRETE Nº 02121, CTE 40887 NEROWILLIAN, CONTRATO: 0384/25 - CA. PLACA: NED-9F59, MOTORISTA: BRUNO DE SOUZA FERREIRA. EXTRATO VALDEMAR JOSE FERREIRA</t>
  </si>
  <si>
    <t>SALDO FRETE Nº 02122, CTE 40899 NEROWILLIAN, CONTRATO: 0384/25 - CA. PLACA: NUB-3J64, MOTORISTA: VALDEMAR JOSE FERREIRA</t>
  </si>
  <si>
    <t>2/30</t>
  </si>
  <si>
    <t>NF 202500000000029. SERVICO DE SUPORTE TECNICO EM INFRAESTRUTURA DE TI.</t>
  </si>
  <si>
    <t>202500000000029</t>
  </si>
  <si>
    <t>3/42</t>
  </si>
  <si>
    <t>COMISSAO VENDA ADUBO BOCALON. ACERTO AGROXINGU PLAN 2025_2_Fechamento_final_12102025. EXTRATO JOEL FLORENCO DE SOUZA. CONTABILIDADE BAIXAR MUTUO.</t>
  </si>
  <si>
    <t>FRETE MARITIMO CONTRATO VENDA: 0388/25 - FC. FATURA Nº 00851 REF. DOCUMENTOS: 02027, 02018, 02019, 02021. PROCESSO EXP 031/25 A.</t>
  </si>
  <si>
    <t>FRETE MARITIMO CONTRATO VENDA: 0391/25 - FC. FATURA Nº 00870 REF. DOCUMENTOS: 02038, 02041. CONTRATO EXP 37/25.</t>
  </si>
  <si>
    <t>CTE 55 ALFREDO PARCIAL R$ 5.554,20. CTE 65 ALFEDO PARCIAL R$ 5.567,42. FATURA Nº 00879 REF. DOCUMENTOS: 02125, 02125, 02120, 02119, 02121, 02122, 02118, 02127, 02130, 02130, 02127, 02134, 02134, 02128, 02128, 02129, 02129.</t>
  </si>
  <si>
    <t>FATURA 00879</t>
  </si>
  <si>
    <t>REFERENTE SETEMBRO/2025. 505 SUL.</t>
  </si>
  <si>
    <t>BENEFICIAMENTO FEIJAO OLHO NEGRO - NF 202500000000013.</t>
  </si>
  <si>
    <t>NF 398980. CONSULTA DE PERFIL PROFISSIONAL. FATURA Nº 00868 REF. DOCUMENTOS: 02066, 02056, 02057, 02064, 02065, 02073, 02083, 02084, 02080, 02097, 02106, 02107, 02108.</t>
  </si>
  <si>
    <t>398980</t>
  </si>
  <si>
    <t>MERCADORIA REF NF 1515, CARREGAMENTO  Nº 02018, CONTRATO: 0392/25 - FC. PLACA: MHA-0D90, MOTORISTA: CLAYTON GOMES PEREIRA</t>
  </si>
  <si>
    <t>MERCADORIA REF NF 1514, CARREGAMENTO  Nº 02019, CONTRATO: 0392/25 - FC. PLACA: ABD-4A03, MOTORISTA: ADENILSON JOSE DE SANTANA</t>
  </si>
  <si>
    <t>MERCADORIA REF NF 1517, CARREGAMENTO  Nº 02024, CONTRATO: 0392/25 - FC. PLACA: AXM-6E88, MOTORISTA: LUIS EDUARDO MONDEQUE MALDONADO</t>
  </si>
  <si>
    <t>MERCADORIA REF NF 1516, CARREGAMENTO  Nº 02027, CONTRATO: 0392/25 - FC. PLACA: RXP-8H18, MOTORISTA: ALESSANDRO FUJITA</t>
  </si>
  <si>
    <t>MERCADORIA REF NF 1518, CARREGAMENTO  Nº 02031, CONTRATO: 0392/25 - FC. PLACA: IQS-9B93, MOTORISTA: LUCAS FRANCISCO DOS SANTOS JESUS</t>
  </si>
  <si>
    <t>MERCADORIA REF NF 1521, CARREGAMENTO  Nº 02038, CONTRATO: 0392/25 - FC. PLACA: IDT-1I97, MOTORISTA: JEAN FRANCISCO FUENTES PEREIRA</t>
  </si>
  <si>
    <t>MERCADORIA REF NF 1519,  CARREGAMENTO  Nº 02033, CONTRATO: 0392/25 - FC. PLACA: HBG-0H68, MOTORISTA: UESLEI DRESCHER</t>
  </si>
  <si>
    <t>MERCADORIA REF NF 1520, CARREGAMENTO  Nº 02036, CONTRATO: 0392/25 - FC. PLACA: BTR-3I10, MOTORISTA: SIDNEI LUCIANO FIGUEIREDO</t>
  </si>
  <si>
    <t>MERCADORIA REF NF 1526, CARREGAMENTO  Nº 02082, CONTRATO: 0400/25 - SO. PLACA: XXX-9999, MOTORISTA: JOEL FLORENCO DE SOUZA</t>
  </si>
  <si>
    <t>MERCADORIA REF NF 1527, CARREGAMENTO  Nº 02086, CONTRATO: 0400/25 - SO. PLACA: XXX-9999, MOTORISTA: JOEL FLORENCO DE SOUZA</t>
  </si>
  <si>
    <t>MERCADORIA REF NF 1528, CARREGAMENTO  Nº 02088, CONTRATO: 0400/25 - SO. PLACA: XXX-9999, MOTORISTA: JOEL FLORENCO DE SOUZA</t>
  </si>
  <si>
    <t>MERCADORIA REF NF 1529, CARREGAMENTO  Nº 02090, CONTRATO: 0400/25 - SO. PLACA: XXX-9999, MOTORISTA: JOEL FLORENCO DE SOUZA</t>
  </si>
  <si>
    <t>MERCADORIA REF NF 1530, CARREGAMENTO  Nº 02092, CONTRATO: 0400/25 - SO. PLACA: XXX-9999, MOTORISTA: JOEL FLORENCO DE SOUZA</t>
  </si>
  <si>
    <t>MERCADORIA RE NF 1532 CARREGAMENTO  Nº 02096, CONTRATO: 0400/25 - SO. PLACA: XXX-9999, MOTORISTA: JOEL FLORENCO DE SOUZA</t>
  </si>
  <si>
    <t>MERCADORIA REF NF 1533, CARREGAMENTO  Nº 02099, CONTRATO: 0400/25 - SO. PLACA: XXX-9999, MOTORISTA: JOEL FLORENCO DE SOUZA</t>
  </si>
  <si>
    <t>MERCADORIA REF NF 1534, CARREGAMENTO  Nº 02101, CONTRATO: 0400/25 - SO. PLACA: XXX-9999, MOTORISTA: JOEL FLORENCO DE SOUZA</t>
  </si>
  <si>
    <t>MERCADORIA REF NF 1535, CARREGAMENTO  Nº 02103, CONTRATO: 0400/25 - SO. PLACA: XXX-9999, MOTORISTA: JOEL FLORENCO DE SOUZA</t>
  </si>
  <si>
    <t>MERCADORIA REF NF 1531, CARREGAMENTO  Nº 02094, CONTRATO: 0400/25 - SO. PLACA: XXX-9999, MOTORISTA: JOEL FLORENCO DE SOUZA</t>
  </si>
  <si>
    <t>MERCADORIA REF NF 1536, CARREGAMENTO  Nº 02105, CONTRATO: 0400/25 - SO. PLACA: XXX-9999, MOTORISTA: JOEL FLORENCO DE SOUZA</t>
  </si>
  <si>
    <t>TELEFONE 09/2025. Nº da conta: 149591054.</t>
  </si>
  <si>
    <t>SENAR CONTRATO COMPRA 0394/25 -SO 600 TONS. FATURA Nº 00872 REF. DOCUMENTOS: 02075, 02079.</t>
  </si>
  <si>
    <t>REFERENTE 09/2025.</t>
  </si>
  <si>
    <t>IR S/ SERVICO</t>
  </si>
  <si>
    <t>SENAR CONTRATO 0356/25 - CA NF 1063, 1092, 1093, 1107.</t>
  </si>
  <si>
    <t>SALDO FRETE Nº 02111, CTE 40740 NEROWILLIAN, CONTRATO: 0404/25 - CA. PLACA: RWD-0F58, MOTORISTA: DEOVANDINO PEREIRA DA SILVA. EXTRATO LONTANO TRANSPORTES.</t>
  </si>
  <si>
    <t>ADTO FRETE Nº 02149 e 02150, CTE 41473 NEROWILLIAN, CONTRATO: 0384/25 - CA. PLACA: NED-9F59, MOTORISTA: BRUNO DE SOUZA FERREIRA. FATURA Nº 00880 REF. DOCUMENTOS: 02150, 02149.  EXTRATO VALDEMAR JOSE FERREIRA</t>
  </si>
  <si>
    <t>CTE 6123 M MOURA. FATURA Nº 00881 REF. DOCUMENTOS: 02141, 02141, 02144, 02144, 02140.</t>
  </si>
  <si>
    <t>FATURA 00881</t>
  </si>
  <si>
    <t>REFERENTE OUTUBRO/2025. BARRACAO.</t>
  </si>
  <si>
    <t>ADTO FRETE Nº 02154, CTE 41533  NEROWILLIAN, CONTRATO: 0402/25 - CA. PLACA: JBN-5B89, MOTORISTA: SEDINEI DE LIMA. EXTRATO LIMPA CERTO TRANSPORTES E RESÍDUOS LTDA</t>
  </si>
  <si>
    <t xml:space="preserve"> SEDINEI DE LIMA</t>
  </si>
  <si>
    <t>RELATORIO DE DESPESAS. DHL.</t>
  </si>
  <si>
    <t>SALDO FRETE Nº 02154, CTE 41533  NEROWILLIAN, CONTRATO: 0402/25 - CA. PLACA: JBN-5B89, MOTORISTA: SEDINEI DE LIMA. EXTRATO LIMPA CERTO TRANSPORTES E RESÍDUOS LTDA</t>
  </si>
  <si>
    <t>FATURA OUT/2025 SALA 505 SUL</t>
  </si>
  <si>
    <t>SALDO FRETE Nº 02149 e 02150, CTE 41473 NEROWILLIAN, CONTRATO: 0384/25 - CA. PLACA: NED-9F59, MOTORISTA: BRUNO DE SOUZA FERREIRA FATURA Nº 00882 REF. DOCUMENTOS: 02150, 02149. EXTRATO VALDEMAR JOSE FERREIRA.</t>
  </si>
  <si>
    <t>ADTO FRETE Nº 02152, CTE 41487 NEROWILLIAN, CONTRATO: 0404/25 - CA. PLACA: QAU-2046, MOTORISTA: JOAO ANTONIO MARTINS DE GOES. FATURA Nº 00883 REF. DOCUMENTOS: 02152, 02152.  EXTRATO LONTANO TRANSPORTES</t>
  </si>
  <si>
    <t xml:space="preserve"> JOSE ANTONIO MARTINS DE GOES</t>
  </si>
  <si>
    <t>CAPITAL DE GIRO CEDULA DE CREDITO BANCARIO NR 713.912.396. 21/30 PARCELAS PRIMEIRA 26/02/2024 ULTIMA 26/07/2026 VALOR PARCELA: R$ 33.666,57. ENCARGO FINANCEIRO 1,40 % MES. TAXA FLAT 0,50%.</t>
  </si>
  <si>
    <t>21/30</t>
  </si>
  <si>
    <t>CARTAO DE CREDITO. NF 53315 E 53342 AGP PRODUTOS. NF 4482 DISBRAVA.</t>
  </si>
  <si>
    <t>ADTO FRETE Nº 02156, CTE 41675 NEROWILLIAN, CONTRATO: 0402/25 - CA. PLACA: NUB-3J64, MOTORISTA: VALDEMAR JOSE FERREIRA</t>
  </si>
  <si>
    <t>TARIFA EMISSAO CARTA REMESSA CONTRATO 0388/25 - FC EXP 031/25 A JASHAN.</t>
  </si>
  <si>
    <t>TARIFA EMISSAO CARTA REMESSA CONTRATO 0388/25 - FC EXP 031/25 B JASHAN.</t>
  </si>
  <si>
    <t>CTE 94 CATIPAL. FATURA Nº 00885 REF. DOCUMENTOS: 02149, 02154, 02152.</t>
  </si>
  <si>
    <t>FATURA 00885</t>
  </si>
  <si>
    <t>TARIFA EMISSAO CARTA REMESSA CONTRATO 0391/25 - FC EXP 037/25 JASHAN.</t>
  </si>
  <si>
    <t>NF 24 SALA 505 SUL. DRYWALL.</t>
  </si>
  <si>
    <t xml:space="preserve"> EMERSON CHAVES DOS SANTOS</t>
  </si>
  <si>
    <t>24</t>
  </si>
  <si>
    <t>TARIFA CONSULTA NEGOCIOS INTERNACIONAL - JASHAN COFACE</t>
  </si>
  <si>
    <t>REPARCELAMENTO REFIS. NUMERO DO PARCELAMENTO 11257711 ICMS. VALOR TOTAL R$ 338.571,58 24/60 PARCELAS.</t>
  </si>
  <si>
    <t>24/60</t>
  </si>
  <si>
    <t>CSSL E IR 3º TRIMESTRE 2025</t>
  </si>
  <si>
    <t>HONORARIOS 10/2025. NF 1936.</t>
  </si>
  <si>
    <t>1936</t>
  </si>
  <si>
    <t>SALDO FRETE Nº 02156, CTE 41675 NEROWILLIAN, CONTRATO: 0402/25 - CA. PLACA: NUB-3J64, MOTORISTA: VALDEMAR JOSE FERREIRA</t>
  </si>
  <si>
    <t>ANTECIPACAO CONTRATO 0409/25 - SO. NF 1626 E 1667.</t>
  </si>
  <si>
    <t xml:space="preserve"> FELIPE DEI RICARDI</t>
  </si>
  <si>
    <t>ADTO FRETE Nº 02158, CTE 41795 NEROWILLIAN, CONTRATO: 0402/25 - CA. PLACA: RYR-1A81, MOTORISTA: NELSON CARVALHO. EXTRATO TRANSVERDE TRANSPORTES E</t>
  </si>
  <si>
    <t xml:space="preserve"> NELSON CARVALHO</t>
  </si>
  <si>
    <t>ADTO FRETE Nº 02160, CTE 41883 NEROWILLIAN, CONTRATO: 0410/25 - CA. PLACA: MZJ-8A27, MOTORISTA: SIMAO BARROO DE ARAUJO. EXTRATO RENI ROQUE GALLIASSI</t>
  </si>
  <si>
    <t xml:space="preserve"> SIMAO BARROO DE ARAUJO</t>
  </si>
  <si>
    <t>NF 7422</t>
  </si>
  <si>
    <t>7422</t>
  </si>
  <si>
    <t>11/12</t>
  </si>
  <si>
    <t>FCO DAF 713.906.837 PARCELA 51/60.</t>
  </si>
  <si>
    <t>51/60</t>
  </si>
  <si>
    <t>SALDO FRETE Nº 02158,CTE 41795 NEROWILLIAN, CONTRATO: 0402/25 - CA. PLACA: RYR-1A81, MOTORISTA: NELSON CARVALHO. EXTRATO TRANSVERDE TRANSPORTES E</t>
  </si>
  <si>
    <t>FETHAB REF NF 2064 E 2065, CARREGAMENTO  Nº 02123 E 02124, CONTRATO: 0406/25 - MV. PLACA: XXX-9999, MOTORISTA: JOEL FLORENCO DE SOUZA. FATURA Nº 00886 REF. DOCUMENTOS: 02123, 02124.</t>
  </si>
  <si>
    <t>CONTRIB ENTIDADE REPRES FEIJAO, REF NF 2064 E 2065, CARREGAMENTO  Nº 02123 E 02124, CONTRATO: 0406/25 - MV. PLACA: XXX-9999, MOTORISTA: JOEL FLORENCO DE SOUZA. FATURA Nº 00886 REF. DOCUMENTOS: 02123, 02124.</t>
  </si>
  <si>
    <t>LIMPEZA PARA MARCACAO TERRENO LUZIMAGUES</t>
  </si>
  <si>
    <t xml:space="preserve"> ANGELA GONZAGA DA SILVA</t>
  </si>
  <si>
    <t>MERCADORIA REF NF 41, CARREGAMENTO  Nº 01945, CONTRATO: 0380/25 - AR. PLACA: XXX-9999, MOTORISTA: JOEL FLORENCO DE SOUZA</t>
  </si>
  <si>
    <t>SALDO FRETE Nº 02066, CTE 40115 NEROWILLIAN, CONTRATO: 0398/25 - CA. PLACA: QWA-4A09, MOTORISTA: MARCIO RODRIGUES DE SOUZA. EXTRATO ROTA DO SOL TRANSPORTE</t>
  </si>
  <si>
    <t>CTE 8866 R$ 456,00. CTE 8910 R$ 714,40. CTE 8924 R$ 708,80. CTE 8933 R$ 967,60. TODOS CTE EMITIDO PELA MHS. FATURA Nº 00887 REF. DOCUMENTOS: 02156, 02158.</t>
  </si>
  <si>
    <t>FATURA 00887</t>
  </si>
  <si>
    <t>INTERNET ESCRITORIO FATURA 2510928773287.</t>
  </si>
  <si>
    <t>2510928773287</t>
  </si>
  <si>
    <t>ADTO FRETE Nº 02163, CTE 41992 NROWILLIAN, CONTRATO: 0410/25 - CA. PLACA: SPQ-0E98, MOTORISTA: MAURICIO ARRUDA BARROS MAFFEI. EXTRATO MAG TRASPORTES</t>
  </si>
  <si>
    <t xml:space="preserve"> MAURICIO ARRUDA BARROS MAFFEI</t>
  </si>
  <si>
    <t>COMISSÃO CORRETOR NF 58, CARREGAMENTO Nº 02107, CONTRATO VENDA: 0403/25 - CA. PLACA: QCJ-6F60, MOTORISTA: MARCOS ALEXANDRE CONSTANTINO</t>
  </si>
  <si>
    <t>SALDO FRETE Nº 02163, CTE 41992 NROWILLIAN, CONTRATO: 0410/25 - CA. PLACA: SPQ-0E98, MOTORISTA: MAURICIO ARRUDA BARROS MAFFEI. EXTRATO MAG TRASPORTES</t>
  </si>
  <si>
    <t>FRETE MARITIMO CONTRATO VENDA: 0389/25 - FC. FATURA Nº 00854 REF. DOCUMENTOS: 02045, 02044, 02042, 02043. FATURA Nº 00889 REF. DOCUMENTOS: 0389/25 - FC, 0389/25 - FC. PROCESSO EXP 035/25.</t>
  </si>
  <si>
    <t>NF 202500000000040. SERVICO DE SUPORTE TECNICO EM INFRAESTRUTURA DE TI.</t>
  </si>
  <si>
    <t>202500000000040</t>
  </si>
  <si>
    <t>REFERENTE OUTUBRO/2025. 505 SUL.</t>
  </si>
  <si>
    <t>3/30</t>
  </si>
  <si>
    <t>NF 1271 BONUS.</t>
  </si>
  <si>
    <t>1971</t>
  </si>
  <si>
    <t>4/42</t>
  </si>
  <si>
    <t>CTE 95 ALFREDO. FATURA Nº 00891 REF. DOCUMENTOS: 02160, 02163.</t>
  </si>
  <si>
    <t>FATURA 00891</t>
  </si>
  <si>
    <t>ADTO FRETE Nº 02164, CTE 42182 NEROWILLIAN, CONTRATO: 0412/25 - CA. PLACA: QJR-5J57, MOTORISTA: ALCINEY SILVA DOS SANTOS EXTRATO JB TRANSPORTES</t>
  </si>
  <si>
    <t>SALDO FRETE Nº 02160, CTE 41883 NEROWILLIAN, CONTRATO: 0410/25 - CA. PLACA: MZJ-8A27, MOTORISTA: SIMAO BARROO DE ARAUJO. EXTRATO RENI ROQUE GALLIASSI</t>
  </si>
  <si>
    <t>NF 3397 CONSULTA A PERFIL DE PROFISSIONAL</t>
  </si>
  <si>
    <t xml:space="preserve"> SIGA GERENCIAMENTO DE RISCO LTDA</t>
  </si>
  <si>
    <t>3397</t>
  </si>
  <si>
    <t>ANTECIPACAO CONTRATO 0413/25 - CA. NF 1185, 1195, 1210 PARCIAL.</t>
  </si>
  <si>
    <t>CTE 48 CAPITAL. PINTOR</t>
  </si>
  <si>
    <t>NF 409920. CONSULTA DE PERFIL PROFISSIONAL. FATURA Nº 00888 REF. DOCUMENTOS: 02110, 02116, 02125, 02149, 02154, 02111, 02113, 02114, 02115, 02117, 02120, 02118, 02119, 02121, 02122, 02127, 02130, 02134, 02128, 02129, 02141, 02144, 02140, 02152, 02156, 021</t>
  </si>
  <si>
    <t>409920</t>
  </si>
  <si>
    <t>REGISTRO BACEN CPR 001/2025 SILVIO VERDELIO.</t>
  </si>
  <si>
    <t>SALDO FRETE Nº 02164, CTE 42182 NEROWILLIAN, CONTRATO: 0412/25 - CA. PLACA: QJR-5J57, MOTORISTA: ALCINEY SILVA DOS SANTOS EXTRATO JB TRANSPORTES</t>
  </si>
  <si>
    <t>ADTO FRETE Nº 02167, CTE 42234 NEROWILLIAN, CONTRATO: 0412/25 - CA. PLACA: JCB-0C85, MOTORISTA: MARCELO REZENDE CUNHA. FATURA Nº 00894 REF. DOCUMENTOS: 02167, 02167. EXTRATO RODO WAGNER.</t>
  </si>
  <si>
    <t>TARIFA EMISSAO CARTA REMESSA CONTRATO 0389/25 - FC EXP 035/25 JASHAN.</t>
  </si>
  <si>
    <t>TARIFA CONSULTA NEGOCIOS INTERNACIONAL - PAWAN INDUSTRIES COFACE</t>
  </si>
  <si>
    <t>CTE 95 ALFREDO. FATURA Nº 00895 REF. DOCUMENTOS: 02164, 02167.</t>
  </si>
  <si>
    <t>FATURA 00895</t>
  </si>
  <si>
    <t>NF 132. SERVICO INSTACAO AR CONDICIONADO SALA 505 SUL. EXTRATO REFRIG BRASFRIO SILVIO</t>
  </si>
  <si>
    <t>SERVICO DE CAMBIO CONTRATO: 0387/25 MP EXP-30/25 B.</t>
  </si>
  <si>
    <t>SENAR, REF NF 2064 E 2065, CARREGAMENTO  Nº 02123 E 02124, CONTRATO: 0406/25 - MV. PLACA: XXX-9999, MOTORISTA: JOEL FLORENCO DE SOUZA. FATURA Nº 00886 REF. DOCUMENTOS: 02123, 02124.</t>
  </si>
  <si>
    <t>REFERENTE 10/2025.</t>
  </si>
  <si>
    <t>SENAR CONTRATO 0356/25 - CA NF 1109, 1112, 1118, 1121, 1122, 1123, 1124, 1140.</t>
  </si>
  <si>
    <t>00015</t>
  </si>
  <si>
    <t>IOF CREDITO BANCARIO NR 713.916.308</t>
  </si>
  <si>
    <t>TARIFA CONTRATACAO CREDITO BANCARIO NR 713.916.308</t>
  </si>
  <si>
    <t>MERCADORIA REF NF 1550, CARREGAMENTO  Nº 02150, CONTRATO: 0408/25 - CA. PLACA: NED-9F59, MOTORISTA: BRUNO DE SOUZA FERREIRA</t>
  </si>
  <si>
    <t>MERCADORIA REF NF 1551, CARREGAMENTO  Nº 02152, CONTRATO: 0408/25 - CA. PLACA: QAU-2046, MOTORISTA: JOAO ANTONIO MARTINS DE GOES</t>
  </si>
  <si>
    <t>MERCADORIA REF NF 1552, CARREGAMENTO  Nº 02154, CONTRATO: 0408/25 - CA. PLACA: JBN-5B89, MOTORISTA: SEDINEI DE LIMA</t>
  </si>
  <si>
    <t>MERCADORIA REF NF 1553, CARREGAMENTO  Nº 02156, CONTRATO: 0408/25 - CA. PLACA: NUB-3J64, MOTORISTA: VALDEMAR JOSE FERREIRA</t>
  </si>
  <si>
    <t>MERCADORIA REF NF 1554, CARREGAMENTO  Nº 02158, CONTRATO: 0408/25 - CA. PLACA: RYR-1A81, MOTORISTA: NELSON CARVALHO</t>
  </si>
  <si>
    <t>REF. A 10/2025. ISSQN NF 136 REPRESTACAO.</t>
  </si>
  <si>
    <t>SERVICO DE PORTO CONTRATO VENDA: 0390/25 - FC. FATURA Nº 00890 REF. DOCUMENTOS: 02110, 02110, 02114, 02114, 02112, 02112. PROCESSO EXP 036/25.</t>
  </si>
  <si>
    <t>REFERENTE NOVEMBRO/2025. 505 SUL.</t>
  </si>
  <si>
    <t>NF 3156. ANALISE FEIJAO MUNGO PRETO E VERDE + OLHO NEGRO</t>
  </si>
  <si>
    <t xml:space="preserve"> LAB LEM LABORATORIO DE ANALISE DE SEMENTES - LTDA</t>
  </si>
  <si>
    <t>3156</t>
  </si>
  <si>
    <t>SERVICO DE CAMBIO CONTRATO: 0391/25 - FC EXP-37/25.</t>
  </si>
  <si>
    <t>MOVEIS MARCENEIRO SALA 505 SUL ADIANTAMENTO A FORNECEDORES.</t>
  </si>
  <si>
    <t>00016</t>
  </si>
  <si>
    <t>BLINDEX SALA 505 SUL. ADIANTAMENTO FORNECEDORES.</t>
  </si>
  <si>
    <t>00017</t>
  </si>
  <si>
    <t>REFERENTE NOVEMBRO/2025. BARRACAO.</t>
  </si>
  <si>
    <t>IR S/ SERVICO BB (COFACE JASHAN)</t>
  </si>
  <si>
    <t>SEGURO OPERACAO 713.916.308 FCO</t>
  </si>
  <si>
    <t>APOLICE 21.94.2025.0001911 REF 09/2025. FATURA Nº 00884 REF. DOCUMENTOS: 02066, 02056, 02057, 02064, 02065, 02073, 02083, 02080, 02097, 02106, 02107, 02108.</t>
  </si>
  <si>
    <t>CTE 40650 NEROWILLIAN. FATURA Nº 00898 REF. DOCUMENTOS: 02168, 02168, 02169, 02169.</t>
  </si>
  <si>
    <t>FATURA 00898</t>
  </si>
  <si>
    <t>TARIFA EMISSAO CARTA REMESSA CONTRATO 0390/25 - FC EXP 036/25 JASHAN.</t>
  </si>
  <si>
    <t>CTE 218 CAPITAL, CONTRATO: 0415/25 - MP. PLACA: RSC-8A48, MOTORISTA: JOSE ALBERTO DE SOUZA</t>
  </si>
  <si>
    <t>02169</t>
  </si>
  <si>
    <t>ADTO FRETE Nº 02173, CTE 42653 NEROWILLIAN, CONTRATO: 0424/25 - CA. PLACA: SLH-1H78, MOTORISTA: TIAGO FERNANDES COELHO. EXTRATO R R BORGHI CAFE</t>
  </si>
  <si>
    <t xml:space="preserve"> TIAGO FERNANDES COELHO</t>
  </si>
  <si>
    <t>ADTO FRETE Nº 02175, CTE 42698 NEROWILIAN, CONTRATO: 0424/25 - CA. PLACA: SLK-8J20, MOTORISTA: LEANDRO GOMES COELHO. EXTRATO R R BORGHI CAFE</t>
  </si>
  <si>
    <t xml:space="preserve"> LEANDRO GOMES COELHO</t>
  </si>
  <si>
    <t>NF 41381. EXTRATO VINDI PAGAMENTOS ONLINE.</t>
  </si>
  <si>
    <t>41381</t>
  </si>
  <si>
    <t>CAPITAL DE GIRO CEDULA DE CREDITO BANCARIO NR 713.912.396. 22/30 PARCELAS PRIMEIRA 26/02/2024 ULTIMA 26/07/2026 VALOR PARCELA: R$ 33.666,57. ENCARGO FINANCEIRO 1,40 % MES. TAXA FLAT 0,50%.</t>
  </si>
  <si>
    <t>22/30</t>
  </si>
  <si>
    <t>ADTO FRETE Nº 02174, CTE 42710 NEROWILLIAN, CONTRATO: 0420/25 - ML. PLACA: STL-8C70, MOTORISTA: JOAO TEIXEIRA FIGUEREDO. EXTRATO Paulo Roberto Rizzi transportes</t>
  </si>
  <si>
    <t xml:space="preserve"> JOAO TEIXEIRA FIGUEREDO</t>
  </si>
  <si>
    <t>MERCADORIA REF NF 7497, CARREGAMENTO  Nº 02174, CONTRATO: 0425/25 - ML. PLACA: STL-8C70, MOTORISTA: JOAO TEIXEIRA FIGUEREDO</t>
  </si>
  <si>
    <t xml:space="preserve"> CIRINEU DE AGUIAR</t>
  </si>
  <si>
    <t>ADTO FRETE Nº 02176, CTE 42716 NEROWILLIAN, CONTRATO: 0420/25 - ML. PLACA: QCM-7I13, MOTORISTA: PAULO CESAR DE SOUZA</t>
  </si>
  <si>
    <t xml:space="preserve"> PAULO CESAR DE SOUZA</t>
  </si>
  <si>
    <t>MERCADORIA REF NF 7499, CARREGAMENTO  Nº 02176, CONTRATO: 0425/25 - ML. PLACA: QCM-7I13, MOTORISTA: PAULO CESAR DE SOUZA</t>
  </si>
  <si>
    <t>ADTO FRETE Nº 02177, CTE 42719 NEROWILLIAN, CONTRATO: 0420/25 - ML. PLACA: EGK-1710, MOTORISTA: BENIGNO NEPOMUCENO NETO. EXTRATO TRANSAVANCO TRANSPORTES RODOVIARIOS LTDA</t>
  </si>
  <si>
    <t xml:space="preserve"> BENIGNO NEPOMUCENO NETO</t>
  </si>
  <si>
    <t>MERCADORIA REF NF 7500, CARREGAMENTO  Nº 02177, CONTRATO: 0425/25 - ML. PLACA: EGK-1710, MOTORISTA: BENIGNO NEPOMUCENO NETO</t>
  </si>
  <si>
    <t>HONORARIOS 11/2025. NF 1944.</t>
  </si>
  <si>
    <t>1944</t>
  </si>
  <si>
    <t>REPARCELAMENTO REFIS. NUMERO DO PARCELAMENTO 11257711 ICMS. VALOR TOTAL R$ 338.571,58 25/60 PARCELAS.</t>
  </si>
  <si>
    <t>25/60</t>
  </si>
  <si>
    <t>RELATORIO DESPESAS NOVEMBRO/2025</t>
  </si>
  <si>
    <t>ADTO FRETE Nº 02183, CTE 244 ALFREDO, CONTRATO: 0414/25 - FC. PLACA: SFC-1H39, MOTORISTA: ANTONIO FELIPE RIBEIRO FILHO. EXTRATO M.E.S TRANSPORTES LTDA</t>
  </si>
  <si>
    <t xml:space="preserve"> ANTONIO FELIPE RIBEIRO FILHO</t>
  </si>
  <si>
    <t>MERCADORIA REF NF 10879, CARREGAMENTO  Nº 02183, CONTRATO: 0426/25 - FC. PLACA: SFC-1H39, MOTORISTA: ANTONIO FELIPE RIBEIRO FILHO. EXTRATO ARMAZENS JK</t>
  </si>
  <si>
    <t xml:space="preserve"> AGROWIRRIS COMERCIO E INDUSTRIA LTDA</t>
  </si>
  <si>
    <t>ADTO FRETE Nº 02184, CTE 243 ALFREDO, CONTRATO: 0414/25 - FC. PLACA: ESU-0G28, MOTORISTA: RICARDO GONCALVEZ DO VALE. EXTRATO C M L TRANSPORTES</t>
  </si>
  <si>
    <t xml:space="preserve"> RICARDO GONCALVEZ DO VALE</t>
  </si>
  <si>
    <t>MERCADORIA RE NF 10886, CARREGAMENTO  Nº 02184, CONTRATO: 0426/25 - FC. PLACA: ESU-0G28, MOTORISTA: RICARDO GONCALVEZ DO VALE. EXTRATO ARMAZENS JK</t>
  </si>
  <si>
    <t>ADTO FRETE Nº 02185, CTE 245 ALFREDO, CONTRATO: 0414/25 - FC. PLACA: DPF-4I13, MOTORISTA: ALEX SANDRO DE ALMEIDA PEREZ. EXTRATO C M L TRANSPORTES</t>
  </si>
  <si>
    <t xml:space="preserve"> ALEX SANDRO DE ALMEIDA PEREZ</t>
  </si>
  <si>
    <t>MERCADORIA REF NF 10904, CARREGAMENTO  Nº 02185, CONTRATO: 0426/25 - FC. PLACA: DPF-4I13, MOTORISTA: ALEX SANDRO DE ALMEIDA PEREZ. EXTRATO ARMAZENS JK</t>
  </si>
  <si>
    <t>ADTO FRETE Nº 02179, CTE 42793 NEROWILLIAN, CONTRATO: 0418/25 - CA. PLACA: FQC-6897, MOTORISTA: LEANDRO BATISTA DA SILVA</t>
  </si>
  <si>
    <t xml:space="preserve"> LEANDRO BATISTA DA SILVA</t>
  </si>
  <si>
    <t>CARTAO DE CREDITO. NF 33562 REVEST. NF 4482 DISBRAVA.</t>
  </si>
  <si>
    <t>ADTO FRETE Nº 02181, CTE 42792 NEROWILLIAN, CONTRATO: 0427/25 - CA. PLACA: ODE-2G58, MOTORISTA: DANIEL AVILA CUNHA</t>
  </si>
  <si>
    <t xml:space="preserve"> DANIEL AVILA CUNHA</t>
  </si>
  <si>
    <t>SALDO FRETE Nº 02173, CTE 42653 NEROWILLIAN, CONTRATO: 0424/25 - CA. PLACA: SLH-1H78, MOTORISTA: TIAGO FERNANDES COELHO. EXTRATO R R BORGHI CAFE</t>
  </si>
  <si>
    <t>SALDO FRETE Nº 02175, CTE 42698 NEROWILIAN, CONTRATO: 0424/25 - CA. PLACA: SLK-8J20, MOTORISTA: LEANDRO GOMES COELHO. EXTRATO R R BORGHI CAFE</t>
  </si>
  <si>
    <t>SALDO FRETE Nº 02176, CTE 42716 NEROWILLIAN, CONTRATO: 0420/25 - ML. PLACA: QCM-7I13, MOTORISTA: PAULO CESAR DE SOUZA</t>
  </si>
  <si>
    <t>SALDO FRETE Nº 02177, CTE 42719 NEROWILLIAN, CONTRATO: 0420/25 - ML. PLACA: EGK-1710, MOTORISTA: BENIGNO NEPOMUCENO NETO. EXTRATO TRANSAVANCO TRANSPORTES RODOVIARIOS LTDA</t>
  </si>
  <si>
    <t>SALDO FRETE Nº 02179, CTE 42793 NEROWILLIAN, CONTRATO: 0418/25 - CA. PLACA: FQC-6897, MOTORISTA: LEANDRO BATISTA DA SILVA</t>
  </si>
  <si>
    <t>ADTO FRETE Nº 02186, CTE 247 ALFREDO, CONTRATO: 0414/25 - FC. PLACA: AOT-5E24, MOTORISTA: ALESANDRO FRANCISCO. EXTRATO M&amp;G EMBALAGENS E TRANSPOR</t>
  </si>
  <si>
    <t xml:space="preserve"> ALESANDRO FRANCISCO</t>
  </si>
  <si>
    <t>MERCADORIA REF NF 10975, CARREGAMENTO  Nº 02186, CONTRATO: 0426/25 - FC. PLACA: AOT-5E24, MOTORISTA: ALESANDRO FRANCISCO. CESSAO DE CREDITO ARMAZENS JK</t>
  </si>
  <si>
    <t>ADTO FRETE Nº 02187, CTE 250 ALFREDO, PICONTRATO: 0414/25 - FC. PLACA: JCE-0H75, MOTORISTA: KEILOR ANTAO CHAGAS DE MIRANDA. EXTRATO GEBEN</t>
  </si>
  <si>
    <t xml:space="preserve"> KEILOR ANTAO CHAGAS DE MIRANDA</t>
  </si>
  <si>
    <t>MERCADORIA REF NF 11078, CARREGAMENTO  Nº 02187, CONTRATO: 0426/25 - FC. PLACA: JCE-0H75, MOTORISTA: KEILOR ANTAO CHAGAS DE MIRANDA. CESSAO DE CREDITO ARMAZENS JK</t>
  </si>
  <si>
    <t>ADTO FRETE Nº 02188 E 02189, CTE 42836 NEROWILLIAN, CONTRATO: 0419/25 - CA. PLACA: HKF-9B40, MOTORISTA: AXEL DA SILVA GOMES. FATURA Nº 00900 REF. DOCUMENTOS: 02188, 02189. EXTRATO JL TRANSPORTES</t>
  </si>
  <si>
    <t xml:space="preserve"> AXEL DA SILVA GOMES</t>
  </si>
  <si>
    <t>ANTECIPACAO CONTRATO 0422/25 - SO. REF NF 456.</t>
  </si>
  <si>
    <t xml:space="preserve"> GEOVAN BARBOSA DIAS</t>
  </si>
  <si>
    <t>MERCADORIA REF NF 7501, CARREGAMENTO  Nº 02190, CONTRATO: 0425/25 - ML. PLACA: QIX-3C90, MOTORISTA: RICARDO RAMOS BENTO</t>
  </si>
  <si>
    <t>NF 7574.</t>
  </si>
  <si>
    <t>7574</t>
  </si>
  <si>
    <t>FCO DAF 713.906.837 PARCELA 52/60.</t>
  </si>
  <si>
    <t>52/60</t>
  </si>
  <si>
    <t>SALDO FRETE Nº 02174, CTE 42710 NEROWILLIAN, CONTRATO: 0420/25 - ML. PLACA: STL-8C70, MOTORISTA: JOAO TEIXEIRA FIGUEREDO. EXTRATO Paulo Roberto Rizzi transportes</t>
  </si>
  <si>
    <t>SALDO FRETE Nº 02184, CTE 243 ALFREDO, CONTRATO: 0414/25 - FC. PLACA: ESU-0G28, MOTORISTA: RICARDO GONCALVEZ DO VALE. EXTRATO C M L TRANSPORTES</t>
  </si>
  <si>
    <t>SALDO FRETE Nº 02185, CTE 245 ALFREDO, CONTRATO: 0414/25 - FC. PLACA: DPF-4I13, MOTORISTA: ALEX SANDRO DE ALMEIDA PEREZ. EXTRATO C M L TRANSPORTES</t>
  </si>
  <si>
    <t>SALDO FRETE Nº 02186, CTE 247 ALFREDO, CONTRATO: 0414/25 - FC. PLACA: AOT-5E24, MOTORISTA: ALESANDRO FRANCISCO. EXTRATO M&amp;G EMBALAGENS E TRANSPORTES</t>
  </si>
  <si>
    <t>FATURA NOV/2025 SALA 505 SUL</t>
  </si>
  <si>
    <t>TELEFONE 10/2025 e 11/2025. Nº da conta: 149591054.</t>
  </si>
  <si>
    <t>ADTO FRETE Nº 02190, CTE 42842 NEROWILLIAN, CONTRATO: 0420/25 - ML. PLACA: QIX-3C90, MOTORISTA: RICARDO RAMOS BENTO. EXTRATO Verlog transportes ltda</t>
  </si>
  <si>
    <t xml:space="preserve"> RICARDO RAMOS BENTO</t>
  </si>
  <si>
    <t>CTE 48 ALFREDO R$ 2.456,40. CTE 64 ALFREDO R$ 6.566,00. FATURA Nº 00901 REF. DOCUMENTOS: 02174, 02176, 02179, 02187, 02187, 02189, 02173, 02175, 02177, 02183, 02185, 02186, 02183, 02185, 02181, 02184, 02184, 02186.</t>
  </si>
  <si>
    <t>FATURA 00901</t>
  </si>
  <si>
    <t>CTE 51 ALFREDO R$ 2.031,01. CTE 102 ALFREDO R$ 8.798,40. ICMS S/ FRETE.</t>
  </si>
  <si>
    <t>REGISTRO CPR 003/2025 SINAIR.</t>
  </si>
  <si>
    <t xml:space="preserve"> OPERADOR NACIONAL DO SISTEMA DE REGISTRO ELETRONICO DE IMOVEIS ( ONR )</t>
  </si>
  <si>
    <t>NF 280. COMISSAO CONTRATO 0404/25 - CA.</t>
  </si>
  <si>
    <t xml:space="preserve"> J. H. RIVABEN</t>
  </si>
  <si>
    <t>280</t>
  </si>
  <si>
    <t>SALDO FRETE Nº 02183, CTE 244 ALFREDO, CONTRATO: 0414/25 - FC. PLACA: SFC-1H39, MOTORISTA: ANTONIO FELIPE RIBEIRO FILHO. EXTRATO M.E.S TRANSPORTES LTDA</t>
  </si>
  <si>
    <t>SALDO FRETE Nº 02187, CTE 250 ALFREDO, PICONTRATO: 0414/25 - FC. PLACA: JCE-0H75, MOTORISTA: KEILOR ANTAO CHAGAS DE MIRANDA. EXTRATO GEBEN</t>
  </si>
  <si>
    <t>SALDO FRETE Nº 02181, CTE 42792 NEROWILLIAN R$ 3.141,18, CONTRATO: 0427/25 - CA. PLACA: ODE-2G58, MOTORISTA: DANIEL AVILA CUNHA. CTE 94 ALFREDO R$ 1.461,20.</t>
  </si>
  <si>
    <t>SALDO FRETE Nº 02190, CTE 42842 NEROWILLIAN, CONTRATO: 0420/25 - ML. PLACA: QIX-3C90, MOTORISTA: RICARDO RAMOS BENTO. EXTRATO Verlog transportes ltda</t>
  </si>
  <si>
    <t>ANTECIPACAO CONTRATO 0417/25 - SO. NF 289 E 311.</t>
  </si>
  <si>
    <t xml:space="preserve"> SINAIR TAVARES PRADO NETO</t>
  </si>
  <si>
    <t>SALDO FRETE Nº 02188, CTE 42836 NEROWILLIAN, CONTRATO: 0419/25 - CA. PLACA: HKF-9B40, MOTORISTA: AXEL DA SILVA GOMES. EXTRATO JL TRANSPORTES. FATURA Nº 00902 REF. DOCUMENTOS: 02188, 02189.</t>
  </si>
  <si>
    <t>FATURA 00902</t>
  </si>
  <si>
    <t>NF 66. COMISSAO CORRETOR CONTRATO 0414/25 - FC</t>
  </si>
  <si>
    <t xml:space="preserve"> J A BORGES SERVICOS</t>
  </si>
  <si>
    <t>ADTO FRETE Nº 02191, CTE 42901 NROWILLIAN, CONTRATO: 0420/25 - ML. PLACA: BBW-7358, MOTORISTA: JEREMIAS EMANUEL ALVES DO NASCIMENTO. EXTRATO BOA VIAGEM TRANSPORTADORA</t>
  </si>
  <si>
    <t xml:space="preserve"> JEREMIAS EMANUEL ALVES DO NASCIMENTO</t>
  </si>
  <si>
    <t>ADTO FRETE Nº 02193, CTE 42906 NEROWILLIAN, CONTRATO: 0420/25 - ML. PLACA: SFS-6E73, MOTORISTA: CLOVIS CARLOS PIOVESANA. EXTRATO TRANSPORTADORA PIOVESANA.</t>
  </si>
  <si>
    <t xml:space="preserve"> CLOVIS CARLOS PIOVESANA</t>
  </si>
  <si>
    <t>ADTO FRETE Nº 02192, CTE 42913 NEROWILLIAN, CONTRATO: 0420/25 - ML. PLACA: SFY-4I26, MOTORISTA: SIDENY ROBERTO  DE FRAGA. EXTRATO FRAGA TRANSPORTES</t>
  </si>
  <si>
    <t xml:space="preserve"> SIDENY ROBERTO  DE FRAGA</t>
  </si>
  <si>
    <t>NF 172. SERVICO RECRUTAMENTO E SELECAO DE CANDIDATOS.</t>
  </si>
  <si>
    <t xml:space="preserve"> PERSONAS TREINAMENTO E DESENVOLVIMENTO PROFISSIONAL LTDA</t>
  </si>
  <si>
    <t>172</t>
  </si>
  <si>
    <t>MERCADORIA REF NF 7503, CARREGAMENTO  Nº 02191, CONTRATO: 0425/25 - ML. PLACA: BBW-7358, MOTORISTA: JEREMIAS EMANUEL ALVES DO NASCIMENTO</t>
  </si>
  <si>
    <t>MERCADORIA REF NF 7504, CARREGAMENTO  Nº 02193, CONTRATO: 0425/25 - ML. PLACA: SFS-6E73, MOTORISTA: CLOVIS CARLOS PIOVESANA</t>
  </si>
  <si>
    <t>MERCADORIA REF NF 7505, CARREGAMENTO  Nº 02192, CONTRATO: 0425/25 - ML. PLACA: SFY-4I26, MOTORISTA: SIDENY ROBERTO  DE FRAGA</t>
  </si>
  <si>
    <t>NF 33122. TRATAMENTO FITOSSANITARIO FUMIGACAO CONTRATO 0415/25 - MP</t>
  </si>
  <si>
    <t xml:space="preserve"> SURVEY EXPURGOS LTDA</t>
  </si>
  <si>
    <t>3122</t>
  </si>
  <si>
    <t>INTERNET ESCRITORIO FATURA 2511928783466.</t>
  </si>
  <si>
    <t>2511928783466</t>
  </si>
  <si>
    <t>ANTECIPACAO CONTRATO 0428/25 - SO</t>
  </si>
  <si>
    <t xml:space="preserve"> EDICARLOS ALMEIDA GUEDES</t>
  </si>
  <si>
    <t>CTE 218 ALFREDO. FATURA Nº 00905 REF. DOCUMENTOS: 02183, 02185, 02184.</t>
  </si>
  <si>
    <t>FATURA 00905</t>
  </si>
  <si>
    <t>ADTO FRETE Nº 02194, CTE 43004 NEROWILLIAN, CONTRATO: 0431/25 - CA. PLACA: QCJ-6F60, MOTORISTA: MARCOS ALEXANDRE CONSTANTINO. ESTRATO JJJM - TRANSPORTES</t>
  </si>
  <si>
    <t>NF 202500000000019. ADESIVO SALA 505 SUL</t>
  </si>
  <si>
    <t>SERVICO DE CAMBIO CONTRATO: 0387/25 MP EXP-30/25 C.</t>
  </si>
  <si>
    <t>SERVICO DE CAMBIO CONTRATO: 0387/25 MP EXP-30/25 A.</t>
  </si>
  <si>
    <t>SERVICO DE CAMBIO CONTRATO: 0388/25 FC EXP-31/25 B.</t>
  </si>
  <si>
    <t>SALDO FRETE Nº 02191, CTE 42901 E 42842 NROWILLIAN, CONTRATO: 0420/25 - ML. PLACA: BBW-7358, MOTORISTA: JEREMIAS EMANUEL ALVES DO NASCIMENTO. EXTRATO BOA VIAGEM TRANSPORTADORA</t>
  </si>
  <si>
    <t>SALDO FRETE Nº 02193, CTE 42906 NEROWILLIAN, CONTRATO: 0420/25 - ML. PLACA: SFS-6E73, MOTORISTA: CLOVIS CARLOS PIOVESANA. EXTRATO TRANSPORTADORA PIOVESANA.</t>
  </si>
  <si>
    <t>SALDO FRETE Nº 02192, CTE 42913 NEROWILLIAN, CONTRATO: 0420/25 - ML. PLACA: SFY-4I26, MOTORISTA: SIDENY ROBERTO  DE FRAGA. EXTRATO FRAGA TRANSPORTES</t>
  </si>
  <si>
    <t>SALDO FRETE Nº 02194, CTE 43004 NEROWILLIAN, CONTRATO: 0431/25 - CA. PLACA: QCJ-6F60, MOTORISTA: MARCOS ALEXANDRE CONSTANTINO. ESTRATO JJJM - TRANSPORTES</t>
  </si>
  <si>
    <t>MERCADORIA REF NF 1555, CARREGAMENTO  Nº 02160, CONTRATO: 0408/25 - CA. PLACA: MZJ-8A27, MOTORISTA: SIMAO BARROO DE ARAUJO</t>
  </si>
  <si>
    <t>MERCADORIA REF NF 1556, CARREGAMENTO  Nº 02163, CONTRATO: 0408/25 - CA. PLACA: SPQ-0E98, MOTORISTA: MAURICIO ARRUDA BARROS MAFFEI</t>
  </si>
  <si>
    <t>MERCADORIA REF NF 1557, CARREGAMENTO  Nº 02164, CONTRATO: 0408/25 - CA. PLACA: QJR-5J57, MOTORISTA: ALCINEY SILVA DOS SANTOS</t>
  </si>
  <si>
    <t>MERCADORIA REF NF 1558, CARREGAMENTO  Nº 02173, CONTRATO: 0408/25 - CA. PLACA: SLH-1H78, MOTORISTA: TIAGO FERNANDES COELHO</t>
  </si>
  <si>
    <t>NF 1799642. SERVICO PORTUARIO. CONTRATO 0390/25 - FC - FC. EX 36/25</t>
  </si>
  <si>
    <t>CTE 250 ALFREDO, FATURA Nº 00906 REF. DOCUMENTOS: 02192, 02190, 02191, 02193, 02194.</t>
  </si>
  <si>
    <t>FATURA 00906</t>
  </si>
  <si>
    <t>CTE 215 ALFREDO. ICMS S/ FRETE. R$ 400,00 MAO DE OBRA INSTACAO MARMORE COPA.</t>
  </si>
  <si>
    <t>SERVICO DE CAMBIO CONTRATO: 0387/25 - MP EXP-30/25 A1 E C.</t>
  </si>
  <si>
    <t>SERVICO DE CAMBIO CONTRATO: 0388/25 - FC EXP-31/25 B.</t>
  </si>
  <si>
    <t>4/30</t>
  </si>
  <si>
    <t>ADTO FRETE Nº 02198, CTE 43097 NEOWILLIAN, CONTRATO: 0420/25 - ML. PLACA: AHL-1440, MOTORISTA: RAFAEL DE SOUZA PIASSA</t>
  </si>
  <si>
    <t xml:space="preserve"> RAFAEL DE SOUZA PIASSA</t>
  </si>
  <si>
    <t>MERCADORIA REF NF 7520, CARREGAMENTO  Nº 02198, CONTRATO: 0425/25 - ML. PLACA: AHL-1440, MOTORISTA: RAFAEL DE SOUZA PIASSA</t>
  </si>
  <si>
    <t>ADTO FRETE Nº 02199, CTE 43109 NEROWILLIAN, CONTRATO: 0420/25 - ML. PLACA: FKC-0050, MOTORISTA: EDUARDO PIASSA NETO</t>
  </si>
  <si>
    <t xml:space="preserve"> EDUARDO PIASSA NETO</t>
  </si>
  <si>
    <t>MERCADORIA REF NF 7522, CARREGAMENTO  Nº 02199, CONTRATO: 0425/25 - ML. PLACA: FKC-0050, MOTORISTA: EDUARDO PIASSA NETO</t>
  </si>
  <si>
    <t>ADTO FRETE Nº 02195, CTE 43114 NEROWILLIAN, CONTRATO: 0420/25 - ML. PLACA: SFC-1C89, MOTORISTA: OSCAR PRETE. EXTRATO TRANS PIASSA</t>
  </si>
  <si>
    <t xml:space="preserve"> OSCAR PRETE</t>
  </si>
  <si>
    <t>MERCADORIA REF NF 7525, CARREGAMENTO  Nº 02195, CONTRATO: 0425/25 - ML. PLACA: SFC-1C89, MOTORISTA: OSCAR PRETE</t>
  </si>
  <si>
    <t>ADTO FRETE Nº 02196, CTE 43120 NEROWILLLIAN, CONTRATO: 0420/25 - ML. PLACA: SFC-2C17, MOTORISTA: RONALDO PORFIRIO. EXTRATO TRANS PIASSA</t>
  </si>
  <si>
    <t xml:space="preserve"> RONALDO PORFIRIO</t>
  </si>
  <si>
    <t>MERCADORIA REF NF 7526, CARREGAMENTO  Nº 02196, CONTRATO: 0425/25 - ML. PLACA: SFC-2C17, MOTORISTA: RONALDO PORFIRIO</t>
  </si>
  <si>
    <t>ADTO FRETE Nº 02197, CTE 43126 NEROWILLIAN, CONTRATO: 0420/25 - ML. PLACA: MLX-4178, MOTORISTA: VANDERLEI JAIR LAMB. EXTRATO LAMB&amp;MALVESSI TRANSPORTES</t>
  </si>
  <si>
    <t xml:space="preserve"> VANDERLEI JAIR LAMB</t>
  </si>
  <si>
    <t>MERCADORIA REF NF 7527, CARREGAMENTO  Nº 02197, CONTRATO: 0425/25 - ML. PLACA: MLX-4178, MOTORISTA: VANDERLEI JAIR LAMB</t>
  </si>
  <si>
    <t>NF 202500000000043. SERVICO DE SUPORTE TECNICO EM INFRAESTRUTURA DE TI.</t>
  </si>
  <si>
    <t>202500000000043</t>
  </si>
  <si>
    <t>LIQUIDACAO NDF 3045375</t>
  </si>
  <si>
    <t>3045375</t>
  </si>
  <si>
    <t>LIQUIDACAO NDF 3045376</t>
  </si>
  <si>
    <t>3045376</t>
  </si>
  <si>
    <t>5/42</t>
  </si>
  <si>
    <t>CTE 32261 NEROWILLIAN</t>
  </si>
  <si>
    <t>SALDO FRETE Nº 02195, CTE 43114 NEROWILLIAN, CONTRATO: 0420/25 - ML. PLACA: SFC-1C89, MOTORISTA: OSCAR PRETE. EXTRATO TRANS PIASSA</t>
  </si>
  <si>
    <t>SALDO FRETE Nº 02196, CTE 43120 NEROWILLLIAN, CONTRATO: 0420/25 - ML. PLACA: SFC-2C17, MOTORISTA: RONALDO PORFIRIO. EXTRATO TRANS PIASSA</t>
  </si>
  <si>
    <t>ANTECIPACAO CONTRATO 0434/25 - MP</t>
  </si>
  <si>
    <t>0434/25 - MP</t>
  </si>
  <si>
    <t>NF 421215. CONSULTA DE PERFIL PROFISSIONAL. FATURA Nº 00904 REF. DOCUMENTOS: 02174, 02176, 02179, 02187, 02189, 02160, 02163, 02164, 02167, 02168, 02169, 02173, 02175, 02177, 02186, 02183, 02185, 02181, 02184.</t>
  </si>
  <si>
    <t>421215</t>
  </si>
  <si>
    <t>ETIQUETA CONTRATO 0415/25 - MP. EXP 84/25.</t>
  </si>
  <si>
    <t xml:space="preserve"> KAMILA NASCIMENTO LIMA RIBEIRO FERNANDES LTDA</t>
  </si>
  <si>
    <t>SALDO FRETE Nº 02198, CTE 43097 NEOWILLIAN, CONTRATO: 0420/25 - ML. PLACA: AHL-1440, MOTORISTA: RAFAEL DE SOUZA PIASSA</t>
  </si>
  <si>
    <t>SALDO FRETE Nº 02199, CTE 43109 NEROWILLIAN, CONTRATO: 0420/25 - ML. PLACA: FKC-0050, MOTORISTA: EDUARDO PIASSA NETO</t>
  </si>
  <si>
    <t>SALDO FRETE Nº 02197, CTE 43126 NEROWILLIAN, CONTRATO: 0420/25 - ML. PLACA: MLX-4178, MOTORISTA: VANDERLEI JAIR LAMB. EXTRATO LAMB&amp;MALVESSI TRANSPORTES</t>
  </si>
  <si>
    <t>CTE 42824 NEROWILLIAN. FATURA Nº 00907 REF. DOCUMENTOS: 02195, 02196, 02199, 02197, 02198. R$ 300,00 MAO DE OBRA DRYWALL DIVISORIA COPA. R$ 300,00 PINTURA DRYWALL DIVISORI COPA.</t>
  </si>
  <si>
    <t>FATURA 00907</t>
  </si>
  <si>
    <t>ADTO FRETE Nº 02202, CTE 285 ALFREDO, CONTRATO: 0433/25 - FC. PLACA: GJQ-2C89, MOTORISTA: RUI CELIO CRUZ DA SILVA. EXTRATO LS CATANDUVA COMERCIO E TRANSPORTE LTDA</t>
  </si>
  <si>
    <t xml:space="preserve"> RUI CELIO CRUZ DA SILVA</t>
  </si>
  <si>
    <t>MERCADORIA REF NF 1559, CARREGAMENTO  Nº 02167, CONTRATO: 0408/25 - CA. PLACA: JCB-0C85, MOTORISTA: MARCELO REZENDE CUNHA</t>
  </si>
  <si>
    <t>MERCADORIA REF NF 148, CARREGAMENTO  Nº 02202, CONTRATO: 0435/25 - FC. PLACA: GJQ-2C89, MOTORISTA: RUI CELIO CRUZ DA SILVA</t>
  </si>
  <si>
    <t xml:space="preserve"> LUCAS GUSTAVO RAMOS ALVES</t>
  </si>
  <si>
    <t>MERCADORIA REF NF 150, CARREGAMENTO  Nº 02200, CONTRATO: 0435/25 - FC. PLACA: FGM-0E61, MOTORISTA: CESAR RODRIGUES SOARES</t>
  </si>
  <si>
    <t>MERCADORIA REF NF 151, CARREGAMENTO  Nº 02201, CONTRATO: 0435/25 - FC. PLACA: BWN-0F43, MOTORISTA: ROBINSON MORAIS LIMA</t>
  </si>
  <si>
    <t>SERVICO DE CAMBIO CONTRATO: 0388/25 FC EXP-31/25 A.</t>
  </si>
  <si>
    <t>0388/25 FC</t>
  </si>
  <si>
    <t>ADTO FRETE Nº 02201, CTE 299 ALFREDO, CONTRATO: 0433/25 - FC. PLACA: BWN-0F43, MOTORISTA: ROBINSON MORAIS LIMA. EXTRATO OSCAR DIONIZIO DOS SANTOS</t>
  </si>
  <si>
    <t xml:space="preserve"> ROBINSON MORAIS LIMA</t>
  </si>
  <si>
    <t>ADTO FRETE Nº 02203, CTE 43417 NEROWILLAN, CONTRATO: 0431/25 - CA. PLACA: QCJ-6F60, MOTORISTA: MARCOS ALEXANDRE CONSTANTINO. EXTRATO JJJM TRANSPORES</t>
  </si>
  <si>
    <t>CONTRATO 0413/25 - CA NF 1210 PARCIAL.</t>
  </si>
  <si>
    <t>ADTO FRETE Nº 02200, CTE 295 ALFREDO, CONTRATO: 0433/25 - FC. PLACA: FGM-0E61, MOTORISTA: CESAR RODRIGUES SOARES. EXTRATO GB BERGAMASCO</t>
  </si>
  <si>
    <t xml:space="preserve"> CESAR RODRIGUES SOARES</t>
  </si>
  <si>
    <t>ANTECIPACAO CONTRATO 0436/25 - SO</t>
  </si>
  <si>
    <t>REFERENTE 11/2025.</t>
  </si>
  <si>
    <t>IR S/ SERVICO BB (COFACE PAWAN)</t>
  </si>
  <si>
    <t>NF 20964. CERTIFICADO ANALISE QUALIDADE E PESO CONTRATO 0415/25 - MP.</t>
  </si>
  <si>
    <t xml:space="preserve"> COTECNA SERVICOS LTDA</t>
  </si>
  <si>
    <t>20964</t>
  </si>
  <si>
    <t>BAIXAR MUTUO. SACARIA CRT 0433/25 - FC.</t>
  </si>
  <si>
    <t>FUNRURAL CONTRATO: 0425/25 - ML. NF 7497, 7499, 7500. FATURA Nº 00908 REF. DOCUMENTOS: 02177, 02174, 02176.</t>
  </si>
  <si>
    <t>SENAR CONTRATO 0356/25 - CA NF 1185.</t>
  </si>
  <si>
    <t>CTE 32268 PARCIAL NEROWILIAN.</t>
  </si>
  <si>
    <t>RELATORIO DESPESAS DEZEMBRO/2025</t>
  </si>
  <si>
    <t>REFERENTE DEZEMBRO/2025. 505 SUL.</t>
  </si>
  <si>
    <t>SALDO FRETE Nº 02202,  CTE 285 ALFREDO R$ 4.846,08, CONTRATO: 0433/25 - FC. PLACA: GJQ-2C89, MOTORISTA: RUI CELIO CRUZ DA SILVA. EXTRATO LS CATANDUVA COMERCIO E TRANSPORTE LTDA. CTE 244 ALFREDO R$ 217,13. CTE 243 ALFREDO R$ 902,70. CTE 43417 NEROWILLIAN R</t>
  </si>
  <si>
    <t>SALDO FRETE Nº 02200, CTE 295 ALFREDO R$ 4.798,08, CONTRATO: 0433/25 - FC. PLACA: FGM-0E61, MOTORISTA: CESAR RODRIGUES SOARES. EXTRATO GB BERGAMASCO. CTE 244 ALFREDO PARCIAL R$ 1.909,20.</t>
  </si>
  <si>
    <t>REFERENTE DEZEMBRO/2025. BARRACAO.</t>
  </si>
  <si>
    <t>SALDO FRETE Nº 02203, CTE 43417 NEROWILLAN, CONTRATO: 0431/25 - CA. PLACA: QCJ-6F60, MOTORISTA: MARCOS ALEXANDRE CONSTANTINO</t>
  </si>
  <si>
    <t>CTE 65 ALFREDO PARCIAL R$ 2.022,28. CTE 94 ALFREDO PARCIAL R$ 1.303,50. CTE 43126 NEROWILLIAN PARCIAL R$ 141,85. FATURA Nº 00909 REF. DOCUMENTOS: 02201, 02201, 02202, 02202, 02200, 02200, 02203.</t>
  </si>
  <si>
    <t>FATURA 00909</t>
  </si>
  <si>
    <t xml:space="preserve">APOLICE 21.94.2025.0001911 REF 10/2025. FATURA Nº 00899 REF. DOCUMENTOS: 02110, 02126, 02126, 02154, 02111, 02113, 02114, 02115, 02117, 02112, 02118, 02120, 02121, 02122, 02119, 02127, 02130, 02134, 02128, 02129, 02125, 02141, 02144, 02140, 02149, 02152, </t>
  </si>
  <si>
    <t>NF 2364666. ENTREGA CONTEINNER PORTO. CONTRATO 0415/25 - MP</t>
  </si>
  <si>
    <t xml:space="preserve"> SANTOS BRASIL PARTICIPACOES S.A.</t>
  </si>
  <si>
    <t>2364666</t>
  </si>
  <si>
    <t>NF 690. SEGURO, POSICIONAMENTO FUMIGACAO, ETIQUETAGEM, TRANSPORTE CONTEINNER, DESCARGA E ESTUFAGEM CRT 0415/25 - MP.</t>
  </si>
  <si>
    <t xml:space="preserve"> UNICCA GESTAO DE NEGOCIOS LTDA</t>
  </si>
  <si>
    <t>CAPITAL DE GIRO CEDULA DE CREDITO BANCARIO NR 713.912.396. 23/30 PARCELAS PRIMEIRA 26/02/2024 ULTIMA 26/07/2026 VALOR PARCELA: R$ 33.666,57. ENCARGO FINANCEIRO 1,40 % MES. TAXA FLAT 0,50%.</t>
  </si>
  <si>
    <t>23/30</t>
  </si>
  <si>
    <t>SALDO FRETE Nº 02201, CTE 299 ALFREDO, CONTRATO: 0433/25 - FC. PLACA: BWN-0F43, MOTORISTA: ROBINSON MORAIS LIMA. EXTRATO OSCAR DIONIZIO DOS SANTOS. BAIXAR MUTUO R$ 1.910,80.</t>
  </si>
  <si>
    <t>FRETE MARITIMO CONTRATO 0415/25 - MP</t>
  </si>
  <si>
    <t xml:space="preserve"> SCAN GLOBAL LOGISTICS DO BRASIL LTDA</t>
  </si>
  <si>
    <t>NF 62. MUDANCA SACARIA CONTRATO 0433/25 - FC.</t>
  </si>
  <si>
    <t xml:space="preserve"> J. MOCINHO &amp; RODRIGUES TRANSPORTES LTDA</t>
  </si>
  <si>
    <t>CARTAO DE CREDITO. NF 33562 REVEST. NF 4482 DISBRAVA. NF 282192 FRETEBRAS.</t>
  </si>
  <si>
    <t>HONORARIOS 12/2025. NF 1970.</t>
  </si>
  <si>
    <t>1970</t>
  </si>
  <si>
    <t>ADTO FRETE Nº 02204, CTE 43601 NEROWILLIAN, CONTRATO: 0420/25 - ML. PLACA: AUU-3E03, MOTORISTA: FERNANDO GOMES DE OLIVERA</t>
  </si>
  <si>
    <t xml:space="preserve"> FERNANDO GOMES DE OLIVERA</t>
  </si>
  <si>
    <t>REPARCELAMENTO REFIS. NUMERO DO PARCELAMENTO 11257711 ICMS. VALOR TOTAL R$ 338.571,58 26/60 PARCELAS.</t>
  </si>
  <si>
    <t>26/60</t>
  </si>
  <si>
    <t>COBRANCA TARIFA SWIFT EXTERIOR CONTRATO 0390/25 - FC.</t>
  </si>
  <si>
    <t>MERCADORIA REF NF 7647, CARREGAMENTO  Nº 02204, CONTRATO: 0425/25 - ML. PLACA: AUU-3E03, MOTORISTA: FERNANDO GOMES DE OLIVERA</t>
  </si>
  <si>
    <t>NF 7719.</t>
  </si>
  <si>
    <t>7719</t>
  </si>
  <si>
    <t>FCO DAF 713.906.837 PARCELA 53/60.</t>
  </si>
  <si>
    <t>CAPITAL DE GIRO FCO CEDULA DE CREDITO BANCARIO NR 713.916.308. PARCELA 1/12. VALOR PARCELA: R$ 125.000,00. ENCARGO FINANCEIRO 1,47 % MES.</t>
  </si>
  <si>
    <t>NF 2386. DESPACHANTE CONTRATO 0415/25 - MP.</t>
  </si>
  <si>
    <t xml:space="preserve"> CROMO SOLUCOES ADUANEIRAS LTDA</t>
  </si>
  <si>
    <t>2386</t>
  </si>
  <si>
    <t>INTERNET ESCRITORIO FATURA 2512928784754.</t>
  </si>
  <si>
    <t>2512928784754</t>
  </si>
  <si>
    <t>SALDO FRETE Nº 02204, CTE 43601 NEROWILLIAN, CONTRATO: 0420/25 - ML. PLACA: AUU-3E03, MOTORISTA: FERNANDO GOMES DE OLIVERA</t>
  </si>
  <si>
    <t>FATURA DEZ/2025 SALA 505 SUL</t>
  </si>
  <si>
    <t>NEROWILLIAN CTE 42710 R$ 333,00. CTE 42716 R$ 358,00. CTE 42906 R$ 344,60. CTE 42913 R$ 344,51. CTE 43120 R$ 397,70. FATURA Nº 00912 REF. DOCUMENTOS: FATURA 00906, 02204. R$ 190,00 PEÇA INSTALACAO TORNEIRA E CUBA SALA 505 SUL.</t>
  </si>
  <si>
    <t>FATURA 00912</t>
  </si>
  <si>
    <t>ADTO FRETE Nº 02205, CTE 43641 NEROWILLIAN, CONTRATO: 0420/25 - ML. PLACA: QCM-7I13, MOTORISTA: PAULO CESAR DE SOUZA</t>
  </si>
  <si>
    <t>MERCADORIA REF NF 7663, CARREGAMENTO  Nº 02205, CONTRATO: 0425/25 - ML. PLACA: QCM-7I13, MOTORISTA: PAULO CESAR DE SOUZA</t>
  </si>
  <si>
    <t>ADIANTAMENTO CONTRATACAO MATERIAL E SERVICO LOGO MARCA ESCRITORIO. ADIANTAMENTO 50% DO VALOR TOTAL.</t>
  </si>
  <si>
    <t>00018</t>
  </si>
  <si>
    <t>ANTECIPACAO CONTRATO 0438/26 - CA</t>
  </si>
  <si>
    <t xml:space="preserve"> FRANKIE ROBERTO SOUZA E MONTAGNI</t>
  </si>
  <si>
    <t>RELATORIO DESPESAS JANEIRO/2026.</t>
  </si>
  <si>
    <t>TARIFA EMISSAO CARTA REMESSA CONTRATO 84/25 - MP EXP 084/25 PAWAN.</t>
  </si>
  <si>
    <t>SALDO FRETE Nº 02205, CTE 43641 NEROWILLIAN, CONTRATO: 0420/25 - ML. PLACA: QCM-7I13, MOTORISTA: PAULO CESAR DE SOUZA</t>
  </si>
  <si>
    <t>ADTO FRETE Nº 02209, CTE 43670  NEOWILLIAN, CONTRATO: 0420/25 - ML. PLACA: RAH-4J85, MOTORISTA: ANTONIO PINTO CARDOSO. EXTRATO RABESCO DO PRADO TRANSPOR</t>
  </si>
  <si>
    <t xml:space="preserve"> ANTONIO PINTO CARDOSO</t>
  </si>
  <si>
    <t>MERCADORIA REF NF 7677, CARREGAMENTO  Nº 02209, CONTRATO: 0425/25 - ML. PLACA: RAH-4J85, MOTORISTA: ANTONIO PINTO CARDOSO</t>
  </si>
  <si>
    <t>ADTO FRETE Nº 02208, CTE 43671 NEROWILLIAN, CONTRATO: 0420/25 - ML. PLACA: GAT-4401, MOTORISTA: ALEXANDRE CONSONI PEREZ. EXTRATO RABESCO DO PRADO TRANSPOR</t>
  </si>
  <si>
    <t xml:space="preserve"> ALEXANDRE CONSONI PEREZ</t>
  </si>
  <si>
    <t>MERCADORIA REF NF 7678, CARREGAMENTO  Nº 02208, CONTRATO: 0425/25 - ML. PLACA: GAT-4401, MOTORISTA: ALEXANDRE CONSONI PEREZ</t>
  </si>
  <si>
    <t>ADTO FRETE Nº 02207, CTE 43679 NEROEILLIAN, CONTRATO: 0420/25 - ML. PLACA: BCZ-9H95, MOTORISTA: ABRAMO BOZZA. EXTRATO RABESCO DO PRADO TRANSPOR</t>
  </si>
  <si>
    <t xml:space="preserve"> ABRAMO BOZZA</t>
  </si>
  <si>
    <t>MERCADORIA REF NF 7680, CARREGAMENTO  Nº 02207, CONTRATO: 0425/25 - ML. PLACA: BCZ-9H95, MOTORISTA: ABRAMO BOZZA</t>
  </si>
  <si>
    <t>ADTO FRETE Nº 02210, CTE 43678  NEROWILLIAN, CONTRATO: 0420/25 - ML. PLACA: BEB-4B05, MOTORISTA: RAFAEL APARECIDO LEODORO. EXTRATO RABESCO DO PRADO TRANSPOR</t>
  </si>
  <si>
    <t xml:space="preserve"> RAFAEL APARECIDO LEODORO</t>
  </si>
  <si>
    <t>MERCADORIA REF NF 7681, CARREGAMENTO  Nº 02210, CONTRATO: 0425/25 - ML. PLACA: BEB-4B05, MOTORISTA: RAFAEL APARECIDO LEODORO</t>
  </si>
  <si>
    <t>NF 202600000000002. SERVICO DE SUPORTE TECNICO EM INFRAESTRUTURA DE TI.</t>
  </si>
  <si>
    <t>202600000000002</t>
  </si>
  <si>
    <t>BAIXAR MUTUO. MAO DE OBRA ELETRICISTA E ENCANADOR SALA 505 SUL.</t>
  </si>
  <si>
    <t>FRETE MATIRIMO CONTRATO VENDA: 0397/25 - FC. FATURA Nº 00896 REF. DOCUMENTOS: 02126, 02126, 02130, 02130, 02134, 02134, 02129, 02129, 02128, 02128.</t>
  </si>
  <si>
    <t>MERCADORIA REF NF 1560, CARREGAMENTO  Nº 02175, CONTRATO: 0408/25 - CA. PLACA: SLK-8J20, MOTORISTA: LEANDRO GOMES COELHO</t>
  </si>
  <si>
    <t>MERCADORIA REF NF 1561, CARREGAMENTO  Nº 02181, CONTRATO: 0408/25 - CA. PLACA: ODE-2G58, MOTORISTA: DANIEL AVILA CUNHA</t>
  </si>
  <si>
    <t>REFERENTE JANEIRO/2026. 505 SUL.</t>
  </si>
  <si>
    <t>6/42</t>
  </si>
  <si>
    <t>5/30</t>
  </si>
  <si>
    <t>BAIXAR MUTUO. FATURA Nº 00914 REF. DOCUMENTOS: 02205, 02209, 02208, 02207, 02210.</t>
  </si>
  <si>
    <t>FATURA 00914</t>
  </si>
  <si>
    <t>ANTECIPACAO CONTRATO COMPRA 0439/26 - SO</t>
  </si>
  <si>
    <t>COMISSÃO CORRETOR NF 3. CONTRATO VENDA 0410/25 - CA 0412/2 - CA 0424/25 - A 0431/25 - CA. FATURA Nº 00915 REF. DOCUMENTOS: 02160, 02163, 02164, 02167, 02173, 02175, 02194, 02203.</t>
  </si>
  <si>
    <t xml:space="preserve"> TEX CONSULT LTDA</t>
  </si>
  <si>
    <t>SALDO FRETE Nº 02209, CTE 43670  NEOWILLIAN, CONTRATO: 0420/25 - ML. PLACA: RAH-4J85, MOTORISTA: ANTONIO PINTO CARDOSO. EXTRATO RABESCO DO PRADO TRANSPOR</t>
  </si>
  <si>
    <t>SALDO FRETE Nº 02208, CTE 43671 NEROWILLIAN, CONTRATO: 0420/25 - ML. PLACA: GAT-4401, MOTORISTA: ALEXANDRE CONSONI PEREZ. EXTRATO RABESCO DO PRADO TRANSPOR</t>
  </si>
  <si>
    <t>SALDO FRETE Nº 02207, CTE 43679 NEROEILLIAN, CONTRATO: 0420/25 - ML. PLACA: BCZ-9H95, MOTORISTA: ABRAMO BOZZA</t>
  </si>
  <si>
    <t>SALDO FRETE Nº 02210, CTE 43678  NEROWILLIAN, CONTRATO: 0420/25 - ML. PLACA: BEB-4B05, MOTORISTA: RAFAEL APARECIDO LEODORO. EXTRATO RABESCO DO PRADO TRANSPOR</t>
  </si>
  <si>
    <t>ADTO FRETE Nº 02212, CTE 43741 NEROWILLIAN, CONTRATO: 0440/26 - CA. PLACA: JVT-5469, MOTORISTA: JESSE LEVI MAESTRELLO. EXTRATO MARCELO HUMBERTO TIM</t>
  </si>
  <si>
    <t xml:space="preserve"> JESSE LEVI MAESTRELLO</t>
  </si>
  <si>
    <t>ADTO FRETE Nº 02211, CTE 43740 NEROWILLIA, CONTRATO: 0440/26 - CA. PLACA: IPF-6F38, MOTORISTA: MIGUEL DE OLIVEIRA MELO</t>
  </si>
  <si>
    <t xml:space="preserve"> MIGUEL DE OLIVEIRA MELO</t>
  </si>
  <si>
    <t>1/4</t>
  </si>
  <si>
    <t>ADTO FRETE Nº 02213, CTE 43770 NEROWILLIAN, CONTRATO: 0420/25 - ML. PLACA: MLX-4178, MOTORISTA: VANDERLEI JAIR LAMB. EXTRATO Lamb e malvessi transporte</t>
  </si>
  <si>
    <t>TARIFA EMISSAO CARTA REMESSA CONTRATO 0397/25 - FC - EXP 038/25.</t>
  </si>
  <si>
    <t>MERCADORIA REF NF 1562, CARREGAMENTO  Nº 02179, CONTRATO: 0408/25 - CA. PLACA: FQC-6897, MOTORISTA: LEANDRO BATISTA DA SILVA</t>
  </si>
  <si>
    <t>MERCADORIA REF NF 1563, CARREGAMENTO  Nº 02188, CONTRATO: 0408/25 - CA. PLACA: HKF-9B40, MOTORISTA: AXEL DA SILVA GOMES</t>
  </si>
  <si>
    <t>SALDO FRETE Nº 02211, CTE 43740 NEROWILLIA, CONTRATO: 0440/26 - CA. PLACA: IPF-6F38, MOTORISTA: MIGUEL DE OLIVEIRA MELO</t>
  </si>
  <si>
    <t>MERCADORIA REF NF 7691, CARREGAMENTO  Nº 02213, CONTRATO: 0425/25 - ML. PLACA: MLX-4178, MOTORISTA: VANDERLEI JAIR LAMB</t>
  </si>
  <si>
    <t>SALDO FRETE Nº 02213, CTE 43770 NEROWILLIAN, CONTRATO: 0420/25 - ML. PLACA: MLX-4178, MOTORISTA: VANDERLEI JAIR LAMB. EXTRATO Lamb e malvessi transporte</t>
  </si>
  <si>
    <t>CERTIFICADO DE ORIGEM CRT 0415/25 - MP + MOTOBOY BL.</t>
  </si>
  <si>
    <t>ADTO FRETE Nº 02214, CTE 43821 NEROWILLIAN, CONTRATO: 0440/26 - CA. PLACA: NZB-5J49, MOTORISTA: SIDNEI ALVES MACEDO. EXTRATO SAMUEL SEBASTIAO MARTIOLI</t>
  </si>
  <si>
    <t xml:space="preserve"> SIDNEI ALVES MACEDO</t>
  </si>
  <si>
    <t>SALDO FRETE Nº 02214, CTE 43821 NEROWILLIAN, CONTRATO: 0440/26 - CA. PLACA: NZB-5J49, MOTORISTA: SIDNEI ALVES MACEDO. EXTRATO SAMUEL SEBASTIAO MARTIOLI</t>
  </si>
  <si>
    <t>TELEFONE 12/2025. Nº da conta: 149591054.</t>
  </si>
  <si>
    <t>NF 9. SERVIÇO DE INTERPRETAÇÃO</t>
  </si>
  <si>
    <t xml:space="preserve"> NAMASTE BRASIL LTDA</t>
  </si>
  <si>
    <t>9</t>
  </si>
  <si>
    <t>NF 9. SERVICO RECRUTAMENTO E SELECAO DE CANDIDATOS.</t>
  </si>
  <si>
    <t>REFERENTE 12/2025.</t>
  </si>
  <si>
    <t>SENAR CONTRATO 0356/25 - CA NF 1195 e 1210.</t>
  </si>
  <si>
    <t>FUNRURAL CONTRATO CONTRATO: 0425/25 - ML. NF 7501, 7503, 7504, 7505 ,7520, 7522, 7525 7526, 7527, 7647. FATURA Nº 00913 REF. DOCUMENTOS: 02190, 02191, 02193, 02192, 02198, 02199, 02195, 02196, 02197, 02204.</t>
  </si>
  <si>
    <t>FUNRURAL CONTRATO: 0435/25 - FC. NF 148, 150 E 151.</t>
  </si>
  <si>
    <t>CONTRATO: 0435/25 - FC</t>
  </si>
  <si>
    <t>SALDO FRETE Nº 02212, CTE 43741 NEROWILLIAN, CONTRATO: 0440/26 - CA. PLACA: JVT-5469, MOTORISTA: JESSE LEVI MAESTRELLO. EXTRATO MARCELO HUMBERTO TIM</t>
  </si>
  <si>
    <t>COMISSÃO CORRETOR CARREGAMENTO Nº 02191, CONTRATO VENDA: 0420/25 - ML. PLACA: BBW-7358, MOTORISTA: JEREMIAS EMANUEL ALVES DO NASCIMENTO</t>
  </si>
  <si>
    <t>NF 425643. CONSULTA DE PERFIL PROFISSIONAL. FATURA Nº 00911 REF. DOCUMENTOS: 02194, 02190, 02191, 02193, 02192, 02198, 02199, 02195, 02196, 02197, 02202, 02200, 02201, 02204.</t>
  </si>
  <si>
    <t>425643</t>
  </si>
  <si>
    <t>BAIXAR MUTUO. FATURA Nº 00916 REF. DOCUMENTOS: 02211, 02212, 02213, 02214.</t>
  </si>
  <si>
    <t>FATURA 00916</t>
  </si>
  <si>
    <t>ANTECIPACAO CONTRATO COMPRA 0441/26 - SO. NF 11 E NF 12 PARCIAL.</t>
  </si>
  <si>
    <t xml:space="preserve"> BARBARA OLIVEIRA FUSCO</t>
  </si>
  <si>
    <t>COMISSAO CORRETOR CONTRATO VENDA: 0420/25 - ML. FATURA Nº 00917 REF. DOCUMENTOS: 02174, 02176, 02177, 02190, 02193, 02192, 02198, 02199, 02195, 02196, 02197, 02204, 02205, 02209, 02208, 02207, 02210, 02213.</t>
  </si>
  <si>
    <t>TARIFA EMISSAO CARTA REMESSA CONTRATO 0393/25 - MP - EXP 033/25.</t>
  </si>
  <si>
    <t>TARIFA EMISSAO CARTA REMESSA CONTRATO 0407/25 - FC - EXP 039/25.</t>
  </si>
  <si>
    <t>REFERENTE JANEIRO/2026. BARRACAO.</t>
  </si>
  <si>
    <t>APOLICE 21.94.2025.0001911 REF 11/2025. FATURA Nº 00903 REF. DOCUMENTOS: 02174, 02176, 02189, 02179, 02187, 02160, 02163, 02164, 02167, 02168, 02169, 02173, 02175, 02177, 02185, 02186, 02183, 02181, 02184.</t>
  </si>
  <si>
    <t>CAPITAL DE GIRO CEDULA DE CREDITO BANCARIO NR 713.912.396. 24/30 PARCELAS PRIMEIRA 26/02/2024 ULTIMA 26/07/2026 VALOR PARCELA: R$ 33.666,57. ENCARGO FINANCEIRO 1,40 % MES. TAXA FLAT 0,50%.</t>
  </si>
  <si>
    <t>24/30</t>
  </si>
  <si>
    <t>CONSULTORIA DE NEGOCIOS INTERNACIONAL - COFACE.</t>
  </si>
  <si>
    <t>TX LICENÇA FUNCIONAMENTO Jan/2026  R$117,90
TAXA DE FISCALIZAÇÃO DE VIGILÂNCIA SANITÁRIA Jan/2026  R$192,41</t>
  </si>
  <si>
    <t>117011080</t>
  </si>
  <si>
    <t>CARTAO DE CREDITO. NF 56097 AGP R$ 475,00. NF 14618 M C R$ 965,00. nf 642306 ENCANEL R$ 406,20. NF 4482 DIBRAVA R$ 500,00. NF 282192 FRETEBRAS R$ 500,00.</t>
  </si>
  <si>
    <t>HONORARIOS 01/2026. NF 2013.</t>
  </si>
  <si>
    <t>002013</t>
  </si>
  <si>
    <t>CSSL E IR 4º TRIMESTRE 2025</t>
  </si>
  <si>
    <t>REPARCELAMENTO REFIS. NUMERO DO PARCELAMENTO 11257711 ICMS. VALOR TOTAL R$ 338.571,58 27/60 PARCELAS.</t>
  </si>
  <si>
    <t>27/60</t>
  </si>
  <si>
    <t>ADIANTAMENTO FORNECEDORES (HONORARIOS).</t>
  </si>
  <si>
    <t>00019</t>
  </si>
  <si>
    <t>PAGAMENTO JUROS REFERENTE AO CONTRATO DE MUTUO ENTRE SOCIO E EMPRESA DATADO DE 01/05/2025.</t>
  </si>
  <si>
    <t>ANUIDADE 2026.</t>
  </si>
  <si>
    <t>MERCADORIA REF NF 065, CARREGAMENTO  Nº 02246, CONTRATO: 0443/26 - SO. PLACA: XXX-9999, MOTORISTA: JOEL FLORENCO DE SOUZA</t>
  </si>
  <si>
    <t xml:space="preserve"> THIAGO FACHOLLI</t>
  </si>
  <si>
    <t>RELATORIO DE DESPESAS FEV/2026</t>
  </si>
  <si>
    <t>FATURA DE JAN/2026 SALA COMERCIAL 505 SUL</t>
  </si>
  <si>
    <t xml:space="preserve"> ENERGISA TOCANTINS DISTRIBUIDORA DE ENERGIA S.A.</t>
  </si>
  <si>
    <t>CAPITAL DE GIRO FCO CEDULA DE CREDITO BANCARIO NR 713.916.308. PARCELA 2/12. VALOR PARCELA: R$ 125.000,00. ENCARGO FINANCEIRO 1,47 % MES.</t>
  </si>
  <si>
    <t>FCO DAF 713.906.837 PARCELA 54/60.</t>
  </si>
  <si>
    <t>MANUTENCAO DE SISTEMA</t>
  </si>
  <si>
    <t>62</t>
  </si>
  <si>
    <t>SEGURO OPERACAO 713.916.308 FCO - SEGURO PERSOALIZADO</t>
  </si>
  <si>
    <t>SERVICO LOGO BELA CEREAIS. BAIXAR R$ 765,00 DT 07/01/2026 ADIANTAMENTO FORNECEDORES.</t>
  </si>
  <si>
    <t>TARIFAS AGRUPADAS  03/02/2026</t>
  </si>
  <si>
    <t>MERCADORIA REF NF 1261, CONTRATO COMPRA 0438/26 - CA OC 02252.</t>
  </si>
  <si>
    <t>ADTO FRETE Nº 02252, CTE 43999 NEROWILLIAN, CONTRATO: 0440/26 - CA. PLACA: PKU-4A12, MOTORISTA: VICTOR LEONARDI DE SANTANA. EXTRATO IRMAOS PANASSI TRANSPORTES</t>
  </si>
  <si>
    <t xml:space="preserve"> VICTOR LEONARDI DE SANTANA</t>
  </si>
  <si>
    <t>SALÁRIO REF 01/2026</t>
  </si>
  <si>
    <t xml:space="preserve"> MARIANA RODRIGUES PIMENTEL BARBEITOS</t>
  </si>
  <si>
    <t>TARIFAS AGRUPADAS</t>
  </si>
  <si>
    <t>MERCADORIA REF NF 87 E 89, CARREGAMENTO  Nº 02253, CONTRATO: 0444/26 - SO. PLACA: XXX-9999, MOTORISTA: JOEL FLORENCO DE SOUZA</t>
  </si>
  <si>
    <t>NF 02 REF 02/2026 (AUXILIO).</t>
  </si>
  <si>
    <t xml:space="preserve"> ALVES SILVA PRODUCAO E SERVICOS LTDA</t>
  </si>
  <si>
    <t>02</t>
  </si>
  <si>
    <t>INTERNET ESCRITORIO FATURA 2601928788752
.</t>
  </si>
  <si>
    <t>2601928788752</t>
  </si>
  <si>
    <t>ANTECIPACAO CONTRATO 0446/26 - SO. REF NF 4694.</t>
  </si>
  <si>
    <t xml:space="preserve"> ALENCAR KACIANO GALLO</t>
  </si>
  <si>
    <t>SALDO FRETE Nº 02252, CTE 43999 NEROWILLIAN, CONTRATO: 0440/26 - CA. PLACA: PKU-4A12, MOTORISTA: VICTOR LEONARDI DE SANTANA. EXTRATO IRMAOS PANASSI TRANSPORTES</t>
  </si>
  <si>
    <t>00020</t>
  </si>
  <si>
    <t>MERCADORIA REF NF 410, CARREGAMENTO  Nº 02286, CONTRATO: 0445/26 - SO. PLACA: XXX-9999, MOTORISTA: JOEL FLORENCO DE SOUZA</t>
  </si>
  <si>
    <t xml:space="preserve"> ANDRE LUIZ SALLES SCUTTI</t>
  </si>
  <si>
    <t>BAIXA MUTUO.</t>
  </si>
  <si>
    <t>MERCADORIA REF NF 114, CARREGAMENTO  Nº 02267 e 02268, CONTRATO: 0449/26 - SO. PLACA: XXX-9999, MOTORISTA: JOEL FLORENCO DE SOUZA</t>
  </si>
  <si>
    <t>6/30</t>
  </si>
  <si>
    <t>NF 202600000000011 - SERVICO DE SUPORTE TECNICO EM INFRAESTRUTURA DE TI.</t>
  </si>
  <si>
    <t>202600000000011</t>
  </si>
  <si>
    <t>ANUIDADE ASSOCIAÇÃO</t>
  </si>
  <si>
    <t>2/4</t>
  </si>
  <si>
    <t>CAPITAL DE GIRO CEDULA DE CREDITO BANCARIO NR 713.914.635. 42 PARCELAS PRIMEIRA 10/08/2025 ULTIMA 10/01/2029 VALOR PARCELA: R$ 43.571,43. ENCARGO FINANCEIRO 1,92 % MES. TAXA FLAT 1,73%.</t>
  </si>
  <si>
    <t>7/42</t>
  </si>
  <si>
    <t>TX LIC FUNCIONAMENTO 966,00 + TX FINAN ALVARA/AUTORIZACAO FUNCIONAMENTO 72,45 - ALVARÁ DE FUNCIONAMENTO DA FILIAL</t>
  </si>
  <si>
    <t>ALVARÁ SANITÁRIO</t>
  </si>
  <si>
    <t>CONSÓRCIO</t>
  </si>
  <si>
    <t>ANTECIPACAO CONTRATO COMPRA 0453/26 - CA.NF 1274 E 1275 PARCIAL.</t>
  </si>
  <si>
    <t>MERCADORIA REF NF 12, CARREGAMENTO  Nº 02270, CONTRATO: 0455/26 - SO. PLACA: XXX-9999, MOTORISTA: JOEL FLORENCO DE SOUZA</t>
  </si>
  <si>
    <t>NF 21. SERVICO DE RECRUTAMENTO</t>
  </si>
  <si>
    <t>21</t>
  </si>
  <si>
    <t>ASSOCIACAO IBRAFE 1/12.</t>
  </si>
  <si>
    <t xml:space="preserve"> INSTITUTO BRASILEIRO DE FEIJAO E PULSES - IBRAFE</t>
  </si>
  <si>
    <t>SERVICO DE CAMBIO CONTRATO: 0389/25 FC EXP-35/25.</t>
  </si>
  <si>
    <t>MERCADORIA REF NF 413, CARREGAMENTO  Nº 02295 E 02298, CONTRATO: 0445/26 - SO. PLACA: XXX-9999, MOTORISTA: JOEL FLORENCO DE SOUZA. FATURA Nº 00924 REF. DOCUMENTOS: 02295, 02298.</t>
  </si>
  <si>
    <t>NF 437855. CONSULTA DE PERFIL PROFISSIONAL. FATURA Nº 00919 REF. DOCUMENTOS: 02211, 02205, 02209, 02208, 02207, 02212, 02210, 02213, 02214, 425643.</t>
  </si>
  <si>
    <t>NF 1000 ANALISE FEIJAO OLHO NEGRO CONTRATOS 0389/25 - FC E 0389/25 - FC.</t>
  </si>
  <si>
    <t>1000</t>
  </si>
  <si>
    <t>REGISTRO DOMINIO MARCA AGROVERDELIO.</t>
  </si>
  <si>
    <t>MERCADORIA REF NF 455, CARREGAMENTO  Nº 02291, CONTRATO: 0461/26 - SO. PLACA: XXX-9999, MOTORISTA: JOEL FLORENCO DE SOUZA</t>
  </si>
  <si>
    <t>MERCADORIA REF NF 137, CARREGAMENTO  Nº 02293, CONTRATO: 0458/26 - SO. PLACA: XXX-9999, MOTORISTA: JOEL FLORENCO DE SOUZA</t>
  </si>
  <si>
    <t>MERCADORIA REF NF 137, CARREGAMENTO  Nº 02294, CONTRATO: 0458/26 - SO. PLACA: XXX-9999, MOTORISTA: JOEL FLORENCO DE SOUZA</t>
  </si>
  <si>
    <t>MERCADORIA REF NF 413, CARREGAMENTO  Nº 02296, CONTRATO: 0445/26 - SO. PLACA: XXX-9999, MOTORISTA: JOEL FLORENCO DE SOUZA</t>
  </si>
  <si>
    <t>SERVICO DE CAMBIO CONTRATO: 0390/25 FC EXP-36/25.</t>
  </si>
  <si>
    <t>TELEFONE 01/2026. Nº da conta:  149591054.</t>
  </si>
  <si>
    <t xml:space="preserve"> 149591054</t>
  </si>
  <si>
    <t>ANTECIPACAO CONTRATO 0459/26 - SO. NF 4750.</t>
  </si>
  <si>
    <t>SERVICO DE CAMBIO CONTRATO: 0415/25 FC EXP-84/25.</t>
  </si>
  <si>
    <t>NF 202600000000001. PRESTACAO DE SERVICO DE ARMAZENAMENTO DE GRAOS EM CAMARA FRIA. MUNGO VERDE 10.360 KG. MUNGO PRETO 9.300 KG. OLHO NEGRO 17.100 KG.</t>
  </si>
  <si>
    <t>00021</t>
  </si>
  <si>
    <t>TAXA REFERENTE SOLICITAÇÃO DE DISPENSA DE LIENÇA AMBIENTAL</t>
  </si>
  <si>
    <t>2132</t>
  </si>
  <si>
    <t>TARIFAS AGRUPADAS - ocorrencia 18/02/2026</t>
  </si>
  <si>
    <t>NF 1881. EXTRATO VINDI PAGAMENTOS ONLINE.</t>
  </si>
  <si>
    <t>1881</t>
  </si>
  <si>
    <t>ADTO FRETE Nº 02290, CTE 10465 M MOURA, CONTRATO: 0440/26 - CA. PLACA: BDQ-2E35, MOTORISTA: NIVALDO ALVES OIVEIRA. EXTRATO LOG TRANS LEAL E CIA</t>
  </si>
  <si>
    <t xml:space="preserve"> NIVALDO ALVES OIVEIRA</t>
  </si>
  <si>
    <t>ADTO FRETE Nº 02297, CTE 10507 M MOURA, CONTRATO: 0440/26 - CA. PLACA: PKU-4A12, MOTORISTA: VICTOR LEONARDI DE SANTANA. EXRATO Transp. Irmãos panassi</t>
  </si>
  <si>
    <t>MERCADORIA REF NF 1275 PARCIAL. CONTRATO 0453/26 - CA.</t>
  </si>
  <si>
    <t>IOF OPERACAO DE CAMBIO</t>
  </si>
  <si>
    <t>FUNRURAL CONTRATO: 0425/25 - ML. NF 7663, 7680, 7678, 7677, 7681, 7691. FATURA Nº 00920 REF. DOCUMENTOS: 02210, 02205, 02213, 02209, 02208, 02207.</t>
  </si>
  <si>
    <t>SENAR - 0438/26 - CA</t>
  </si>
  <si>
    <t>REFERENTE 01/2026</t>
  </si>
  <si>
    <t>INSS FOLHA 01/2026</t>
  </si>
  <si>
    <t>COMPRA PARCELA Nº 01 Ref Documento nº 175134</t>
  </si>
  <si>
    <t>175134</t>
  </si>
  <si>
    <t>REVISAO DOS 16.000 KM/1 ANO/AVISO PAINEL</t>
  </si>
  <si>
    <t>899</t>
  </si>
  <si>
    <t>REFENTE FEVEREIRO/2026 - SALA 505 SUL</t>
  </si>
  <si>
    <t>BAIXAR MUTUO. FATURA Nº 00926 REF. DOCUMENTOS: 02289, 02290, 02297.</t>
  </si>
  <si>
    <t>FATURA 00926</t>
  </si>
  <si>
    <t>REFERENTE 02/2026. BARRACAO.</t>
  </si>
  <si>
    <t>MERCADORIA REF 1626 PARCIAL, CARREGAMENTO  Nº 02299, CONTRATO: 0465/26 - SO. PLACA: XXX-9999, MOTORISTA: JOEL FLORENCO DE SOUZA</t>
  </si>
  <si>
    <t>NF 10. SERVIÇO DE INTERPRETAÇÃO</t>
  </si>
  <si>
    <t>10</t>
  </si>
  <si>
    <t>APOLICE 21.94.2025.0001911 REF 12/2025. FATURA Nº 00910 REF. DOCUMENTOS: 02194, 02190, 02191, 02193, 02192, 02198, 02199, 02195, 02196, 02197, 02202, 02200, 02201, 02203, 02204.</t>
  </si>
  <si>
    <t>CURSO - Processo GDC/GFN 20260116000000142</t>
  </si>
  <si>
    <t>20260116000000142</t>
  </si>
  <si>
    <t>MERCADORIA REF 4685 PARCIAL, CARREGAMENTO  Nº 02334, CONTRATO: 0467/26 - SO. PLACA: XXX-9999, MOTORISTA: JOEL FLORENCO DE SOUZA</t>
  </si>
  <si>
    <t>ACORDO DE USO DE IMAGEM COM DIREITOS AUTORAIS - Imagem: RC143B948600</t>
  </si>
  <si>
    <t xml:space="preserve"> PICRIGHTS BRASIL - INTERMEDIACAO DE NEGOCIOS DE IMAGEM E DIREITO AUTORAL LTDA</t>
  </si>
  <si>
    <t>RC143B948600</t>
  </si>
  <si>
    <t>SALDO FRETE Nº 02290, CTE 10465 M MOURA, CONTRATO: 0440/26 - CA. PLACA: BDQ-2E35, MOTORISTA: NIVALDO ALVES OIVEIRA. EXTRATO  EXTRATO LOG TRANS LEAL E CIA</t>
  </si>
  <si>
    <t>SALDO FRETE Nº 02297, CTE 10507 M MOURA, CONTRATO: 0440/26 - CA. PLACA: PKU-4A12, MOTORISTA: VICTOR LEONARDI DE SANTANA. EXTRATO IRMAOS PANASSI TRANSPORTES</t>
  </si>
  <si>
    <t>MERCADORIA REF NF 428, CARREGAMENTO  Nº 02305, CONTRATO: 0463/26 - SO. PLACA: XXX-9999, MOTORISTA: JOEL FLORENCO DE SOUZA</t>
  </si>
  <si>
    <t>MERCADORIA REF NF 428, CARREGAMENTO  Nº 02306, CONTRATO: 0463/26 - SO. PLACA: XXX-9999, MOTORISTA: JOEL FLORENCO DE SOUZA</t>
  </si>
  <si>
    <t>MERCADORIA REF NF 428, CARREGAMENTO  Nº 02308, CONTRATO: 0463/26 - SO. PLACA: XXX-9999, MOTORISTA: JOEL FLORENCO DE SOUZA</t>
  </si>
  <si>
    <t>MERCADORIA REF NF 428, CARREGAMENTO  Nº 02309, CONTRATO: 0463/26 - SO. PLACA: XXX-9999, MOTORISTA: JOEL FLORENCO DE SOUZA</t>
  </si>
  <si>
    <t>MERCADORIA REF NF 428, CARREGAMENTO  Nº 02307, CONTRATO: 0463/26 - SO. PLACA: XXX-9999, MOTORISTA: JOEL FLORENCO DE SOUZA</t>
  </si>
  <si>
    <t>MERCADORIA REF NF 428, CARREGAMENTO  Nº 02317, CONTRATO: 0463/26 - SO. PLACA: XXX-9999, MOTORISTA: JOEL FLORENCO DE SOUZA</t>
  </si>
  <si>
    <t>CAPITAL DE GIRO CEDULA DE CREDITO BANCARIO NR 713.912.396. 25/30 PARCELAS PRIMEIRA 26/02/2024 ULTIMA 26/07/2026 VALOR PARCELA: R$ 33.666,57. ENCARGO FINANCEIRO 1,40 % MES. TAXA FLAT 0,50%.</t>
  </si>
  <si>
    <t>25/30</t>
  </si>
  <si>
    <t>MERCADORIA REF NF 4685 PARCIAL, CARREGAMENTO  Nº 02334, CONTRATO: 0467/26 - SO. PLACA: XXX-9999, MOTORISTA: JOEL FLORENCO DE SOUZA</t>
  </si>
  <si>
    <t>MERCADORIA REF NF 4686, CARREGAMENTO  Nº 02335, CONTRATO: 0467/26 - SO. PLACA: XXX-9999, MOTORISTA: JOEL FLORENCO DE SOUZA</t>
  </si>
  <si>
    <t>SALÁRIO REF 02/2026</t>
  </si>
  <si>
    <t>REPARCELAMENTO REFIS. NUMERO DO PARCELAMENTO 11257711 ICMS. VALOR TOTAL R$ 338.571,58 29/60 PARCELAS.</t>
  </si>
  <si>
    <t>29/60</t>
  </si>
  <si>
    <t>CANCELAMENTO DE NF 2023</t>
  </si>
  <si>
    <t>2023</t>
  </si>
  <si>
    <t>MERCADORIA REF NF 4687, CARREGAMENTO  Nº 02338, CONTRATO: 0467/26 - SO. PLACA: XXX-9999, MOTORISTA: JOEL FLORENCO DE SOUZA</t>
  </si>
  <si>
    <t>MERCADORIA REF NF 4689, CARREGAMENTO  Nº 02341, CONTRATO: 0469/26 - SO. PLACA: XXX-9999, MOTORISTA: JOEL FLORENCO DE SOUZA</t>
  </si>
  <si>
    <t>MERCADORIA REF NF 4688, CARREGAMENTO  Nº 02340, CONTRATO: 0467/26 - SO. PLACA: XXX-9999, MOTORISTA: JOEL FLORENCO DE SOUZA</t>
  </si>
  <si>
    <t>MERCADORIA REF NF 4690, CARREGAMENTO  Nº 02342, CONTRATO: 0469/26 - SO. PLACA: XXX-9999, MOTORISTA: JOEL FLORENCO DE SOUZA</t>
  </si>
  <si>
    <t>MERCADORIA REF NF 4690, CARREGAMENTO  Nº 02343, CONTRATO: 0469/26 - SO. PLACA: XXX-9999, MOTORISTA: JOEL FLORENCO DE SOUZA</t>
  </si>
  <si>
    <t>FATURA DE FEV/2026 SALA COMERCIAL 505 SUL</t>
  </si>
  <si>
    <t>144</t>
  </si>
  <si>
    <t>FCO DAF 713.906.837 PARCELA 55/60.</t>
  </si>
  <si>
    <t>CAPITAL DE GIRO FCO CEDULA DE CREDITO BANCARIO NR 713.916.308. PARCELA 3/12. VALOR PARCELA: R$ 125.000,00. ENCARGO FINANCEIRO 1,47 % MES.</t>
  </si>
  <si>
    <t>FRETE MARITIMO CONTRATO VENDA: 0407/25 - FC. FATURA Nº 00897 REF. DOCUMENTOS: 02141, 02141, 02144, 02144, 02140, 02140.</t>
  </si>
  <si>
    <t>NF 23. DESPESAS REGISTRO MARCA BELA EXTRATO CLAIR ANTONIO.</t>
  </si>
  <si>
    <t xml:space="preserve"> 62.099.634 PEDRO FOLIATTI LEUSIN</t>
  </si>
  <si>
    <t>23</t>
  </si>
  <si>
    <t>COMPRA PARCELA Nº 01 Ref Documento nº 1612</t>
  </si>
  <si>
    <t>MERCADORIA REF NF 5351970, CARREGAMENTO  Nº 02348 E 02349 , CONTRATO: 0471/26 - SO. PLACA: XXX-9999, MOTORISTA: JOEL FLORENCO DE SOUZA. EXTRATO ASSIS P P A LTDA</t>
  </si>
  <si>
    <t xml:space="preserve"> DIEGO FERREIRA DE ASSIS</t>
  </si>
  <si>
    <t>INTERNET ESCRITORIO FATURA 2602928792453
.</t>
  </si>
  <si>
    <t>2602928792453</t>
  </si>
  <si>
    <t>2/13</t>
  </si>
  <si>
    <t>FETHAB REF NF 065, CARREGAMENTO  Nº 02246, CONTRATO: 0443/26 - SO. PLACA: XXX-9999, MOTORISTA: JOEL FLORENCO DE SOUZA</t>
  </si>
  <si>
    <t>FETHAB REF NF 87 E 89, CARREGAMENTO  Nº 02253, CONTRATO: 0444/26 - SO. PLACA: XXX-9999, MOTORISTA: JOEL FLORENCO DE SOUZA</t>
  </si>
  <si>
    <t>FETHAB CARREGAMENTO  Nº 02267, CONTRATO: 0449/26 - SO. PLACA: XXX-9999, MOTORISTA: JOEL FLORENCO DE SOUZA</t>
  </si>
  <si>
    <t>FETHAB REF NF 12, CARREGAMENTO  Nº 02270, CONTRATO: 0455/26 - SO. PLACA: XXX-9999, MOTORISTA: JOEL FLORENCO DE SOUZA</t>
  </si>
  <si>
    <t>FETHAB CARREGAMENTO  Nº 02291, CONTRATO: 0461/26 - SO. PLACA: XXX-9999, MOTORISTA: JOEL FLORENCO DE SOUZA</t>
  </si>
  <si>
    <t>FETHAB CARREGAMENTO  Nº 02294, CONTRATO: 0458/26 - SO. PLACA: XXX-9999, MOTORISTA: JOEL FLORENCO DE SOUZA</t>
  </si>
  <si>
    <t>FETHAB CARREGAMENTO  Nº 02299, CONTRATO: 0465/26 - SO. PLACA: XXX-9999, MOTORISTA: JOEL FLORENCO DE SOUZA</t>
  </si>
  <si>
    <t>FETHAB DE COMPRA CONTRATO: 0463/26 - SO. FATURA Nº 00927 REF. DOCUMENTOS: 02305, 02306, 02307, 02308, 02309, 02317.</t>
  </si>
  <si>
    <t>FETHAB CONTRATO DE COMPRA 0445/26 - SO. FATURA Nº 00928 REF. DOCUMENTOS: 02286, 02298, 02295, 02296.</t>
  </si>
  <si>
    <t>REFERENTE 02/2026.</t>
  </si>
  <si>
    <t xml:space="preserve"> FGTS FUNDO DE GARANTIA DE TEMPO DE SERVICO</t>
  </si>
  <si>
    <t>FETHAB CONTRATO: 0469/26 - SO. FATURA Nº 00934 REF. DOCUMENTOS: 02342, 02343, 02341.</t>
  </si>
  <si>
    <t>IAGRO CONTRATO: 0469/26 - SO. FATURA Nº 00934 REF. DOCUMENTOS: 02342, 02343, 02341.</t>
  </si>
  <si>
    <t>FETHAB CONTRATO: 0467/26 - SO. FATURA Nº 00935 REF. DOCUMENTOS: 02335, 02338, 02340.</t>
  </si>
  <si>
    <t>IAGRO CONTRATO: 0467/26 - SO. FATURA Nº 00935 REF. DOCUMENTOS: 02335, 02338, 02340.</t>
  </si>
  <si>
    <t>FETHAB CONTRATO 0422/25 - SO</t>
  </si>
  <si>
    <t>IAGRO CARREGAMENTO  Nº 02291, CONTRATO: 0461/26 - SO. PLACA: XXX-9999, MOTORISTA: JOEL FLORENCO DE SOUZA</t>
  </si>
  <si>
    <t>IAGRO CONTRATO 0422/25 - SO</t>
  </si>
  <si>
    <t>FETHAB CONTRATO 0409/25 - SO</t>
  </si>
  <si>
    <t>IAGRO CARREGAMENTO  Nº 02299, CONTRATO: 0465/26 - SO. PLACA: XXX-9999, MOTORISTA: JOEL FLORENCO DE SOUZA</t>
  </si>
  <si>
    <t>IAGRO CONTRATO 0409/25 - SO</t>
  </si>
  <si>
    <t>FETHAB CONTRATO COMPRA 0441/26 - SO</t>
  </si>
  <si>
    <t>IAGRO REF NF 12, CARREGAMENTO  Nº 02270, CONTRATO: 0455/26 - SO. PLACA: XXX-9999, MOTORISTA: JOEL FLORENCO DE SOUZA</t>
  </si>
  <si>
    <t>IAGRO CONTRATO COMPRA 0441/26 - SO</t>
  </si>
  <si>
    <t>FETHAB CONTRATO 0446/26 - SO E 0459/26 - SO</t>
  </si>
  <si>
    <t>IAGRO CONTRATO 0446/26 - SO</t>
  </si>
  <si>
    <t>IAGRO CONTRATO COMPRA 0459/26 - SO</t>
  </si>
  <si>
    <t>IAGRO CONTRATO DE COMPRA: 0463/26 - SO. FATURA Nº 00927 REF. DOCUMENTOS: 02305, 02306, 02307, 02308, 02309, 02317.</t>
  </si>
  <si>
    <t>IAGRO CONTRATO DE COMPRA 0445/26 - SO. FATURA Nº 00928 REF. DOCUMENTOS: 02286, 02298, 02295, 02296.</t>
  </si>
  <si>
    <t>IAGRO REF NF 87 E 89, CARREGAMENTO  Nº 02253, CONTRATO: 0444/26 - SO. PLACA: XXX-9999, MOTORISTA: JOEL FLORENCO DE SOUZA</t>
  </si>
  <si>
    <t>IAGRO REF NF 065, CARREGAMENTO  Nº 02246, CONTRATO: 0443/26 - SO. PLACA: XXX-9999, MOTORISTA: JOEL FLORENCO DE SOUZA</t>
  </si>
  <si>
    <t>IAGRO CARREGAMENTO  Nº 02267, CONTRATO: 0449/26 - SO. PLACA: XXX-9999, MOTORISTA: JOEL FLORENCO DE SOUZA</t>
  </si>
  <si>
    <t>IAGRO CARREGAMENTO  Nº 02294, CONTRATO: 0458/26 - SO. PLACA: XXX-9999, MOTORISTA: JOEL FLORENCO DE SOUZA</t>
  </si>
  <si>
    <t>NF 66608</t>
  </si>
  <si>
    <t xml:space="preserve"> SERASA S.A.</t>
  </si>
  <si>
    <t>66608</t>
  </si>
  <si>
    <t>RECISAO</t>
  </si>
  <si>
    <t>NF 202600000000017. SERVICO DE SUPORTE TECNICO EM INFRAESTRUTURA DE TI.</t>
  </si>
  <si>
    <t>202600000000017</t>
  </si>
  <si>
    <t>7/30</t>
  </si>
  <si>
    <t>8/42</t>
  </si>
  <si>
    <t>TAXA CANCELAMENTO NF 2068.</t>
  </si>
  <si>
    <t>REFERENTE RECISAO.</t>
  </si>
  <si>
    <t>ADTO FRETE Nº 02352, CTE 11457 M MOURA, CONTRATO: 0440/26 - CA. PLACA: MYB-2754, MOTORISTA: CICERO CEZARIO ALVES. EXTRATO DA SILVA TRANSPORTES</t>
  </si>
  <si>
    <t xml:space="preserve"> CICERO CEZARIO ALVES</t>
  </si>
  <si>
    <t>MERCADORIA REF NF 1292, CARREGAMENTO Nº 02352, CONTRATO: 0453/26 - CA. PLACA: MYB-2754, MOTORISTA: CICERO CEZARIO ALVES</t>
  </si>
  <si>
    <t>3/4</t>
  </si>
  <si>
    <t>NF 1782908. SERVICO PORTUARIO. FATURA: 61848802 / NAVIO: CMA CGM BAHIA / SERVICO(S): INSP NAO INV EXP 20 CH DRY</t>
  </si>
  <si>
    <t>1782908</t>
  </si>
  <si>
    <t>NF 1789175 SERVICOS PORTUARIOS. FATURA: 61855076 / NAVIO: MSC AMALFI / 
SERVICO(S): INSP. NAO INVASIVA EXPORT RFB,INSP NAO INV EXP 20 CH DRY,UNIT REC EXP 20 CH DRY</t>
  </si>
  <si>
    <t>1789175</t>
  </si>
  <si>
    <t>NF 1742092 SERVICOS PORTUARIOS. FATURA: 61807985 / NAVIO: NAVEGANTES EXPRESS / EXP-034/25 / SERVICO(S): INSP NAO INV EXP 20 CH 
DRY</t>
  </si>
  <si>
    <t>1742092</t>
  </si>
  <si>
    <t>PAGAMENTO ANTECIPADO CONTRATO CONTRA E VENDA 0044/26 (BELA X MM) - PAGAMENTO CONTA ALENCAR KACIANO GALLO</t>
  </si>
  <si>
    <t>SERVICO DE CAMBIO - CONTRATO: 0407/25 - FC</t>
  </si>
  <si>
    <t>CONSULTA A PROFISSIONAL. NF 454031. FATURA Nº 00929 REF. DOCUMENTOS: 02290, 02252, 02297, 01/2026.</t>
  </si>
  <si>
    <t>454031</t>
  </si>
  <si>
    <t>MERCADORIA REF NF 68, CARREGAMENTO  Nº 02398, CONTRATO: 0473/26 - SO. PLACA: XXX-9999, MOTORISTA: JOEL FLORENCO DE SOUZA</t>
  </si>
  <si>
    <t>TELEFONE 02/2026. Nº da conta:  149591054.</t>
  </si>
  <si>
    <t>SALDO FRETE Nº 02352, CTE 11457 M MOURA, CONTRATO: 0440/26 - CA. PLACA: MYB-2754, MOTORISTA: CICERO CEZARIO ALVES. EXTRATO DA SILVA TRANSPORTES</t>
  </si>
  <si>
    <t>SERVICO DE CAMBIO - CONTRATO: 0393/25 - MP</t>
  </si>
  <si>
    <t>MERCADORIA REF NF 4781 PARCIAL, CARREGAMENTO Nº 02344, CONTRATO: 0459/26 - SO. PLACA: XXX-9999, MOTORISTA: JOEL FLORENCO DE SOUZA. CESSAO DE CREDITO PARA PAGAR MM COMERCIO.</t>
  </si>
  <si>
    <t>NF 43. SERVICO DE RECRUTAMENTO</t>
  </si>
  <si>
    <t>49</t>
  </si>
  <si>
    <t>FUNRURAL CONTRATO: 0469/26 - SO. FATURA Nº 00934 REF. DOCUMENTOS: 02342, 02343, 02341.</t>
  </si>
  <si>
    <t>SENAR CONTRATO: 0467/26 - SO. FATURA Nº 00935 REF. DOCUMENTOS: 02335, 02338, 02340.</t>
  </si>
  <si>
    <t>SENAR CARREGAMENTO  Nº 02291, CONTRATO: 0461/26 - SO. PLACA: XXX-9999, MOTORISTA: JOEL FLORENCO DE SOUZA</t>
  </si>
  <si>
    <t>SENAR CARREGAMENTO  Nº 02299, CONTRATO: 0465/26 - SO. PLACA: XXX-9999, MOTORISTA: JOEL FLORENCO DE SOUZA</t>
  </si>
  <si>
    <t>FUNRURAL REF NF 12, CARREGAMENTO  Nº 02270, CONTRATO: 0455/26 - SO. PLACA: XXX-9999, MOTORISTA: JOEL FLORENCO DE SOUZA</t>
  </si>
  <si>
    <t>SENAR CONTRATO: 0463/26 - SO. FATURA Nº 00927 REF. DOCUMENTOS: 02305, 02306, 02307, 02308, 02309, 02317.</t>
  </si>
  <si>
    <t>SENAR CONTRATO DE COMPRA 0445/26 - SO. FATURA Nº 00928 REF. DOCUMENTOS: 02286, 02298, 02295, 02296.</t>
  </si>
  <si>
    <t>SANAR CONTRATO: 0443/26 - SO. REF NF 065, CARREGAMENTO  Nº 02246, PLACA: XXX-9999, MOTORISTA: JOEL FLORENCO DE SOUZA</t>
  </si>
  <si>
    <t>SENAR CONTRATO: 0444/26 - SO. REF NF 87 E 89, CARREGAMENTO  Nº 02253, PLACA: XXX-9999, MOTORISTA: JOEL FLORENCO DE SOUZA</t>
  </si>
  <si>
    <t>SENAR CONTRATO: 0449/26 - SO. CARREGAMENTO Nº 02267, PLACA: XXX-9999, MOTORISTA: JOEL FLORENCO DE SOUZA</t>
  </si>
  <si>
    <t>REFERENTE 02/2026</t>
  </si>
  <si>
    <t>INSS FOLHA 02/2026</t>
  </si>
  <si>
    <t>02/203</t>
  </si>
  <si>
    <t>ANTECIPACAO CONTRATO COMPRA 0475/26 - MI</t>
  </si>
  <si>
    <t>0475/26 - MI</t>
  </si>
  <si>
    <t>CERTIDAO JUNTA COMERCIAL</t>
  </si>
  <si>
    <t>SENAR CONTRATO 0422/25 - SO</t>
  </si>
  <si>
    <t>FUNRURAL CONTRATO 0441/26 - SO</t>
  </si>
  <si>
    <t>SENAR CONTRATO 0409/25 - SO</t>
  </si>
  <si>
    <t>SENAR CONTRATO 0453/26 - CA</t>
  </si>
  <si>
    <t>0438/26 - SO</t>
  </si>
  <si>
    <t>SENAR CONTRATO COMPRA 0446/26 - SO</t>
  </si>
  <si>
    <t>SENAR CONTRATO COMPRA 0459/26 - SO</t>
  </si>
  <si>
    <t>SENAR CONTRATO COMPRA 0458/26 - SO</t>
  </si>
  <si>
    <t>LAVRATURA ESCRITURA PUBLICA COMPRA E VENDA IMOVEL LUZIMANGUES</t>
  </si>
  <si>
    <t xml:space="preserve"> SERVICO DE TABELIONATO DE NOTAS E DE PROTESTO DE TITULOS DE LUZIMANGUES</t>
  </si>
  <si>
    <t>REFERENTE MARCO/2026 - SALA 505 SUL</t>
  </si>
  <si>
    <t>REFERENTE MARCO/2026. BARRACAO.</t>
  </si>
  <si>
    <t>APOLICE 21.94.2025.0001911 REF 01/2026. FATURA Nº 00918 REF. DOCUMENTOS: 02207, 02211, 02205, 02209, 02208, 02210, 02212, 02213, 02214.</t>
  </si>
  <si>
    <t>ITBI TERRENO LUZIMANGUES</t>
  </si>
  <si>
    <t xml:space="preserve"> MUNICIPIO DE PORTO NACIONAL</t>
  </si>
  <si>
    <t>REGISTRO ESCRITURA COMPRA E VENDA LOTE LUZIMANGUES</t>
  </si>
  <si>
    <t xml:space="preserve"> SERVICO DE REGISTRO DE IMOVEIS</t>
  </si>
  <si>
    <t>CAPITAL DE GIRO CEDULA DE CREDITO BANCARIO NR 713.912.396. 26/30 PARCELAS PRIMEIRA 26/02/2024 ULTIMA 26/07/2026 VALOR PARCELA: R$ 33.666,57. ENCARGO FINANCEIRO 1,40 % MES. TAXA FLAT 0,50%.</t>
  </si>
  <si>
    <t>26/30</t>
  </si>
  <si>
    <t>CTE 11154 HMS. FATURA Nº 00936 REF. DOCUMENTOS: 02353, 02402, 02407.</t>
  </si>
  <si>
    <t>FATURA 00936</t>
  </si>
  <si>
    <t>IMOVEIS</t>
  </si>
  <si>
    <t>MERCADORIA REF NF 310, CARREGAMENTO  Nº 02408 E 02412, CONTRATO: 0477/26 - SO. PLACA: IBB-5C68, MOTORISTA: WELTON CESAR CARMO DE CARVALHO. FATURA Nº 00937 REF. DOCUMENTOS: 02408, 02412.</t>
  </si>
  <si>
    <t>CARTAO DE CREDITO. NF 282192 FRETEBRAS R$ 500,00.</t>
  </si>
  <si>
    <t>HONORARIOS 03/2026. NF 2062.</t>
  </si>
  <si>
    <t>2062</t>
  </si>
  <si>
    <t>FATURA DE MAR/2026 SALA COMERCIAL 505 SUL</t>
  </si>
  <si>
    <t>REPARCELAMENTO REFIS. NUMERO DO PARCELAMENTO 11257711 ICMS. VALOR TOTAL R$ 338.571,58 30/60 PARCELAS.</t>
  </si>
  <si>
    <t>30/60</t>
  </si>
  <si>
    <t>TAIFA</t>
  </si>
  <si>
    <t>SALARIO 03/2026</t>
  </si>
  <si>
    <t xml:space="preserve"> MURILLO MACIEL NUNES</t>
  </si>
  <si>
    <t>ASSOCIACAO IBRAFE 2/12.</t>
  </si>
  <si>
    <t>NF 199</t>
  </si>
  <si>
    <t>199</t>
  </si>
  <si>
    <t>ADIANTAMENTO DE SERVICO DE BENFEICIAMENTO FEIJOES.</t>
  </si>
  <si>
    <t xml:space="preserve"> BAGAGE - ARMAZENS GERAIS LTDA</t>
  </si>
  <si>
    <t>00022</t>
  </si>
  <si>
    <t>FCO DAF 713.906.837 PARCELA 56/60.</t>
  </si>
  <si>
    <t>CAPITAL DE GIRO FCO CEDULA DE CREDITO BANCARIO NR 713.916.308. PARCELA 4/12. VALOR PARCELA: R$ 125.000,00. ENCARGO FINANCEIRO 1,47 % MES.</t>
  </si>
  <si>
    <t>IAGRO REF NF 5351970, CARREGAMENTO  Nº 02348 E 02349, CONTRATO: 0471/26 - SO. PLACA: XXX-9999, MOTORISTA: JOEL FLORENCO DE SOUZA</t>
  </si>
  <si>
    <t>IAGRO REF NF 4781 PARCIAL, CARREGAMENTO Nº 02344, CONTRATO: 0459/26 - SO. PLACA: XXX-9999, MOTORISTA: JOEL FLORENCO DE SOUZA</t>
  </si>
  <si>
    <t>INTERNET ESCRITORIO FATURA 2603927799779</t>
  </si>
  <si>
    <t>2603927799779</t>
  </si>
  <si>
    <t>FETHAB REF NF 5351970, CARREGAMENTO  Nº 02348 E 02349, CONTRATO: 0471/26 - SO. PLACA: XXX-9999, MOTORISTA: JOEL FLORENCO DE SOUZA</t>
  </si>
  <si>
    <t>FETHAB REF NF 4781 PARCIAL, CARREGAMENTO Nº 02344, CONTRATO: 0459/26 - SO. PLACA: XXX-9999, MOTORISTA: JOEL FLORENCO DE SOUZA</t>
  </si>
  <si>
    <t>IAGRO REF NF 67 E 68</t>
  </si>
  <si>
    <t>FETHAB REF NF 67 E 68</t>
  </si>
  <si>
    <t>IAGRO REF NF 289 - 310 - 311</t>
  </si>
  <si>
    <t>FETHAB REF NF 289 - 310 - 311</t>
  </si>
  <si>
    <t>ADIANTAMENTO FORNECEDOR PERDIDO 7901 UM BALANCA RODOVIARIA</t>
  </si>
  <si>
    <t xml:space="preserve"> BALANCAS MERCOSUL LTDA.</t>
  </si>
  <si>
    <t>00023</t>
  </si>
  <si>
    <t>NF 202600000000025. SERVICO DE SUPORTE TECNICO EM INFRAESTRUTURA DE TI.</t>
  </si>
  <si>
    <t>202600000000025</t>
  </si>
  <si>
    <t>8/30</t>
  </si>
  <si>
    <t>9/42</t>
  </si>
  <si>
    <t>4/4</t>
  </si>
  <si>
    <t>NF 202600000002890.</t>
  </si>
  <si>
    <t xml:space="preserve"> VOLUS INSTITUICAO DE PAGAMENTO LTDA</t>
  </si>
  <si>
    <t>202600000002890</t>
  </si>
  <si>
    <t>NF 202600000003594 E 708817.</t>
  </si>
  <si>
    <t>708817</t>
  </si>
  <si>
    <t>CONSULTA A PROFISSIONAL. NF 463380. FATURA Nº 00929 REF. DOCUMENTOS: 02290, 02252, 02297, 01/2026.</t>
  </si>
  <si>
    <t>NF 463380</t>
  </si>
  <si>
    <t>NF 20061 / NF 02600000000870 / NF 02600000000871.</t>
  </si>
  <si>
    <t xml:space="preserve"> CURINGA PNEUMATICOS LTDA - FIL 22</t>
  </si>
  <si>
    <t>20061</t>
  </si>
  <si>
    <t>TELEFONE 03/2026. Nº da conta:  149591054.</t>
  </si>
  <si>
    <t>SENAR REF NF 67 E 68, CONTRATO: 0473/26 - SO E CONTRATO 0428/25 - SO.</t>
  </si>
  <si>
    <t>SENAR REF NF 289 - 310 - 311. CRT 0417/25 - SO E CRT 0477/26 - SO.</t>
  </si>
  <si>
    <t>SENAR REF NF 5351970, CARREGAMENTO  Nº 02348 E 02349, CONTRATO: 0471/26 - SO. PLACA: XXX-9999, MOTORISTA: JOEL FLORENCO DE SOUZA</t>
  </si>
  <si>
    <t>SENAR REF NF 4781 PARCIAL, CARREGAMENTO Nº 02344, CONTRATO: 0459/26 - SO. PLACA: XXX-9999, MOTORISTA: JOEL FLORENCO DE SOUZA</t>
  </si>
  <si>
    <t>REFERENTE 03/2026</t>
  </si>
  <si>
    <t>SENAR NF 1291 CONTRATO 0453/26 - CA</t>
  </si>
  <si>
    <t>REFERENTE 03/2026.</t>
  </si>
  <si>
    <t>REFERENTE ABRIL/2026 - SALA 505 SUL</t>
  </si>
  <si>
    <t>Termo Confissao TAD11979413_TAD11979439_TAD11979457_TAD11979401. CONTRATO 0417/25 - SO</t>
  </si>
  <si>
    <t>MERCADORIA REF NF 68, CARREGAMENTO  Nº 02419, 02420, CONTRATO: 0480/26 - SO. FATURA Nº 00945 REF. DOCUMENTOS: 02419, 02420.</t>
  </si>
  <si>
    <t xml:space="preserve"> HENRIQUE BELOTI</t>
  </si>
  <si>
    <t>0480/26 - SO</t>
  </si>
  <si>
    <t>REFERENTE ABRIL/2026. BARRACAO.</t>
  </si>
  <si>
    <t>ANTECIPACAO CONTRATO 0481/26 - MV. EXTRATO FIAGRIL</t>
  </si>
  <si>
    <t>0481/26 - MV</t>
  </si>
  <si>
    <t>APOLICE 21.94.2025.0001911 REF 02/2026. FATURA Nº 00930 REF. DOCUMENTOS: 02290, 02252, 02297.</t>
  </si>
  <si>
    <t>CAPITAL DE GIRO CEDULA DE CREDITO BANCARIO NR 713.912.396. 27/30 PARCELAS PRIMEIRA 26/02/2024 ULTIMA 26/07/2026 VALOR PARCELA: R$ 33.666,57. ENCARGO FINANCEIRO 1,40 % MES. TAXA FLAT 0,50%.</t>
  </si>
  <si>
    <t>2730</t>
  </si>
  <si>
    <t>DHL CRT 0415/25 - MP</t>
  </si>
  <si>
    <t>REPARCELAMENTO REFIS. NUMERO DO PARCELAMENTO 11257711 ICMS. VALOR TOTAL R$ 338.571,58 31/60 PARCELAS.</t>
  </si>
  <si>
    <t>31/60</t>
  </si>
  <si>
    <t>FATURA DE ABRIL/2026 SALA COMERCIAL 505 SUL</t>
  </si>
  <si>
    <t>HONORARIOS 04/2026. NF 2085.</t>
  </si>
  <si>
    <t>2085</t>
  </si>
  <si>
    <t>RELATORIO DE DESPESAS ABRIL/2026</t>
  </si>
  <si>
    <t>IR 1º TRIMESTRE 2026</t>
  </si>
  <si>
    <t>CSSL 1º TRIMESTRE 2026</t>
  </si>
  <si>
    <t>ANTECIPACAO CONTRATO 0475/26 - MI</t>
  </si>
  <si>
    <t>TARIFGA</t>
  </si>
  <si>
    <t>NF 5980</t>
  </si>
  <si>
    <t>5980</t>
  </si>
  <si>
    <t>INTERNET 12/2024.</t>
  </si>
  <si>
    <t xml:space="preserve"> ABS TELECOMUNICACOES LTDA</t>
  </si>
  <si>
    <t>NF 202400000000003.</t>
  </si>
  <si>
    <t>NF 202400000000003. EXTRATO MARCIA MORATELLI.</t>
  </si>
  <si>
    <t>REFERENTE 01/2025.</t>
  </si>
  <si>
    <t>CEDULA DE CREDITO BANCARIO NR 713.913.095. 11/24 PARCELAS PRIMEIRA 24/02/2024 ULTIMA 24/02/2026 VALOR PARCELA: R$ 54.166,67 . ENCARGO FINANCEIRO 1,33 % MES.</t>
  </si>
  <si>
    <t>713.913.095</t>
  </si>
  <si>
    <t>11/24</t>
  </si>
  <si>
    <t>CERTIDAO PENNHOR SILVIO</t>
  </si>
  <si>
    <t>ANTECIPACAO CONTRATO 0197/25 - SO. NF 10.</t>
  </si>
  <si>
    <t xml:space="preserve"> IVETE TEREZINHA GALLO</t>
  </si>
  <si>
    <t>ANTECIPACAO CONTRATO 0179/24 - SO. GERENTEMAX ADINTAMENTO VINCULADO CONTRATO 0190/25 - SO.</t>
  </si>
  <si>
    <t xml:space="preserve"> RICARDO PANCOTTE</t>
  </si>
  <si>
    <t>ARMAZENAMENTO DADOS. EXTRATO MARCIA MORATELLI.</t>
  </si>
  <si>
    <t xml:space="preserve"> GOOGLE CLOUD BRASIL COMPUTACAO E SERVICOS DE DADOS LTDA.</t>
  </si>
  <si>
    <t>11761122</t>
  </si>
  <si>
    <t>TAXA REGISTRO LIVROS FISCAIS 2021.</t>
  </si>
  <si>
    <t>REFERENTE 12/2024.</t>
  </si>
  <si>
    <t>0190/25 - SO</t>
  </si>
  <si>
    <t>MERCADORIA REF NF 7335, CARREGAMENTO  Nº 01651, CONTRATO: 0195/25 - SO. PLACA: XXX-9999, MOTORISTA: JOEL FLORENCO DE SOUZA</t>
  </si>
  <si>
    <t xml:space="preserve"> ANACLETO BRUNETTA E OUTROS</t>
  </si>
  <si>
    <t>MERCADORIA REF NF 7336, CARREGAMENTO  Nº 01652, CONTRATO: 0195/25 - SO. PLACA: XXX-9999, MOTORISTA: JOEL FLORENCO DE SOUZA</t>
  </si>
  <si>
    <t>MERCADORIA REF NF 7338, CARREGAMENTO  Nº 01653, CONTRATO: 0195/25 - SO. PLACA: XXX-9999, MOTORISTA: JOEL FLORENCO DE SOUZA</t>
  </si>
  <si>
    <t>MERCADORIA REF NF 7339, CARREGAMENTO  Nº 01654, CONTRATO: 0195/25 - SO. PLACA: XXX-9999, MOTORISTA: JOEL FLORENCO DE SOUZA</t>
  </si>
  <si>
    <t>MERCADORIA REF NF 7340, CARREGAMENTO  Nº 01655, CONTRATO: 0195/25 - SO. PLACA: XXX-9999, MOTORISTA: JOEL FLORENCO DE SOUZA</t>
  </si>
  <si>
    <t>MERCADORIA REF NF 7341, CARREGAMENTO  Nº 01656, CONTRATO: 0195/25 - SO. PLACA: XXX-9999, MOTORISTA: JOEL FLORENCO DE SOUZA</t>
  </si>
  <si>
    <t>MERCADORIA REF NF 7342, CARREGAMENTO  Nº 01657, CONTRATO: 0195/25 - SO. PLACA: XXX-9999, MOTORISTA: JOEL FLORENCO DE SOUZA</t>
  </si>
  <si>
    <t>MERCADORIA REF NF 7345, CARREGAMENTO  Nº 01658, CONTRATO: 0195/25 - SO. PLACA: XXX-9999, MOTORISTA: JOEL FLORENCO DE SOUZA</t>
  </si>
  <si>
    <t>MERCADORIA REF NF 7343, CARREGAMENTO  Nº 01659, CONTRATO: 0195/25 - SO. PLACA: XXX-9999, MOTORISTA: JOEL FLORENCO DE SOUZA</t>
  </si>
  <si>
    <t>MERCADORIA REF NF 7344, CARREGAMENTO  Nº 01660, CONTRATO: 0195/25 - SO. PLACA: XXX-9999, MOTORISTA: JOEL FLORENCO DE SOUZA</t>
  </si>
  <si>
    <t>MERCADORIA REF NF 7346, CARREGAMENTO  Nº 01661, CONTRATO: 0195/25 - SO. PLACA: XXX-9999, MOTORISTA: JOEL FLORENCO DE SOUZA</t>
  </si>
  <si>
    <t>MERCADORIA REF NF 7348, CARREGAMENTO  Nº 01662, CONTRATO: 0195/25 - SO. PLACA: XXX-9999, MOTORISTA: JOEL FLORENCO DE SOUZA</t>
  </si>
  <si>
    <t>MERCADORIA REF NF 7353, CARREGAMENTO  Nº 01665, CONTRATO: 0195/25 - SO. PLACA: XXX-9999, MOTORISTA: JOEL FLORENCO DE SOUZA</t>
  </si>
  <si>
    <t xml:space="preserve"> TAXA REGISTRO LIVROS FISCAIS 2022.</t>
  </si>
  <si>
    <t>MERCADORIA REF NF 7349, CARREGAMENTO  Nº 01663, CONTRATO: 0195/25 - SO. PLACA: XXX-9999, MOTORISTA: JOEL FLORENCO DE SOUZA</t>
  </si>
  <si>
    <t>MERCADORIA REF NF 7352, CARREGAMENTO  Nº 01664, CONTRATO: 0195/25 - SO. PLACA: XXX-9999, MOTORISTA: JOEL FLORENCO DE SOUZA</t>
  </si>
  <si>
    <t>MERCADORIA REF NF 7354, CARREGAMENTO  Nº 01666, CONTRATO: 0195/25 - SO. PLACA: XXX-9999, MOTORISTA: JOEL FLORENCO DE SOUZA</t>
  </si>
  <si>
    <t>HONORARIOS 01/2025. NF 1710.</t>
  </si>
  <si>
    <t>1710</t>
  </si>
  <si>
    <t>01/2024</t>
  </si>
  <si>
    <t>MERCADORIA REF NF 7360, CARREGAMENTO  Nº 01669, CONTRATO: 0195/25 - SO. PLACA: XXX-9999, MOTORISTA: JOEL FLORENCO DE SOUZA</t>
  </si>
  <si>
    <t>MERCADORIA REF NF 7356, CARREGAMENTO  Nº 01668, CONTRATO: 0195/25 - SO. PLACA: XXX-9999, MOTORISTA: JOEL FLORENCO DE SOUZA</t>
  </si>
  <si>
    <t>MERCADORIA REF NF 7355, CARREGAMENTO  Nº 01667, CONTRATO: 0195/25 - SO. PLACA: XXX-9999, MOTORISTA: JOEL FLORENCO DE SOUZA</t>
  </si>
  <si>
    <t>ANTECIPACAO CONTRATO 0197/25 - SO. NF 11 PARCIAL.</t>
  </si>
  <si>
    <t>NF 6135.</t>
  </si>
  <si>
    <t>6135</t>
  </si>
  <si>
    <t>SALDO FRETE Nº 01651, CTE 55816, CONTRATO: 0194/25 - SO. PLACA: XXX-9999, MOTORISTA: JOEL FLORENCO DE SOUZA</t>
  </si>
  <si>
    <t>SALDO FRETE Nº 01652, CTE 55820, CONTRATO: 0194/25 - SO. PLACA: XXX-9999, MOTORISTA: JOEL FLORENCO DE SOUZA</t>
  </si>
  <si>
    <t>SALDO FRETE Nº 01655, CTE 55893, CONTRATO: 0194/25 - SO. PLACA: XXX-9999, MOTORISTA: JOEL FLORENCO DE SOUZA</t>
  </si>
  <si>
    <t>SALDO FRETE Nº 01656, CTE 55914, CONTRATO: 0194/25 - SO. PLACA: XXX-9999, MOTORISTA: JOEL FLORENCO DE SOUZA</t>
  </si>
  <si>
    <t>NF 202500000000001. CLASSIFICACAO CONTRATO VENDA 0199/25 - SO.</t>
  </si>
  <si>
    <t xml:space="preserve"> VALE CLASSIFICACAO E ANALISE DE GRAOS LTDA</t>
  </si>
  <si>
    <t>202500000000001</t>
  </si>
  <si>
    <t>SALDO FRETE Nº 01653, CTE 55892, CONTRATO: 0194/25 - SO. PLACA: XXX-9999, MOTORISTA: JOEL FLORENCO DE SOUZA</t>
  </si>
  <si>
    <t>SALDO FRETE Nº 01654, CTE 55901, CONTRATO: 0194/25 - SO. PLACA: XXX-9999, MOTORISTA: JOEL FLORENCO DE SOUZA</t>
  </si>
  <si>
    <t>SALDO FRETE Nº 01657, CTE 55923, CONTRATO: 0194/25 - SO. PLACA: XXX-9999, MOTORISTA: JOEL FLORENCO DE SOUZA</t>
  </si>
  <si>
    <t>INTERNET 01/2025.</t>
  </si>
  <si>
    <t>MERCADORIA REF NF 933, CARREGAMENTO  Nº 01675, CONTRATO: 0200/25 - SO. PLACA: 000-0000, MOTORISTA: LEANDRO WILDE</t>
  </si>
  <si>
    <t>FETHAB 868,24 TONS CONTRATO: 0195/25 - SO. FATURA Nº 00762 REF. DOCUMENTOS: 01651, 01652, 01653, 01654, 01655, 01656, 01657, 01669, 01668, 01667, 01666, 01659, 01660, 01658, 01665, 01664, 01661, 01663, 01662.</t>
  </si>
  <si>
    <t>IAGRO 868,24 TONS CONTRATO: 0195/25 - SO. FATURA Nº 00762 REF. DOCUMENTOS: 01651, 01652, 01653, 01654, 01655, 01656, 01657, 01669, 01668, 01667, 01666, 01659, 01660, 01658, 01665, 01664, 01661, 01663, 01662.</t>
  </si>
  <si>
    <t>FETHAB 600 TONS CONTRATO 0197/25 - SO.</t>
  </si>
  <si>
    <t>IAGRO 600 TONS CONTRATO 0197/25 - SO.</t>
  </si>
  <si>
    <t>SALDO FRETE Nº 01658, CTE 55967, CONTRATO: 0194/25 - SO. PLACA: XXX-9999, MOTORISTA: JOEL FLORENCO DE SOUZA</t>
  </si>
  <si>
    <t>SALDO FRETE Nº 01659, CTE 55974,CONTRATO: 0194/25 - SO. PLACA: XXX-9999, MOTORISTA: JOEL FLORENCO DE SOUZA</t>
  </si>
  <si>
    <t>SALDO FRETE Nº 01665, CTE 56040, CONTRATO: 0194/25 - SO. PLACA: XXX-9999, MOTORISTA: JOEL FLORENCO DE SOUZA</t>
  </si>
  <si>
    <t>SALDO FRETE Nº 01662, CTE 55990, CONTRATO: 0194/25 - SO. PLACA: XXX-9999, MOTORISTA: JOEL FLORENCO DE SOUZA</t>
  </si>
  <si>
    <t>SALDO FRETE Nº 01660, CTE 55977, CONTRATO: 0194/25 - SO. PLACA: XXX-9999, MOTORISTA: JOEL FLORENCO DE SOUZA</t>
  </si>
  <si>
    <t>SALDO FRETE Nº 01669, CTE 56257, CONTRATO: 0199/25 - SO. PLACA: XXX-9999, MOTORISTA: JOEL FLORENCO DE SOUZA</t>
  </si>
  <si>
    <t>SALDO FRETE Nº 01667, CTE 56252, CONTRATO: 0199/25 - SO. PLACA: XXX-9999, MOTORISTA: JOEL FLORENCO DE SOUZA</t>
  </si>
  <si>
    <t>SALDO FRETE Nº 01663, CTE 56248, CONTRATO: 0199/25 - SO. PLACA: XXX-9999, MOTORISTA: JOEL FLORENCO DE SOUZA</t>
  </si>
  <si>
    <t>SALDO FRETE Nº 01664, CTE 56250, CONTRATO: 0199/25 - SO. PLACA: XXX-9999, MOTORISTA: JOEL FLORENCO DE SOUZA</t>
  </si>
  <si>
    <t>SALDO FRETE Nº 01666, CTE 56251, CONTRATO: 0199/25 - SO. PLACA: XXX-9999, MOTORISTA: JOEL FLORENCO DE SOUZA</t>
  </si>
  <si>
    <t>REFERENTE 02/2025.</t>
  </si>
  <si>
    <t>MERCADORIA REF NF 946, CARREGAMENTO  Nº 01677, CONTRATO: 0200/25 - SO. PLACA: XXX-9999, MOTORISTA: JOEL FLORENCO DE SOUZA</t>
  </si>
  <si>
    <t>CEDULA DE CREDITO BANCARIO NR 713.913.095. 12/24 PARCELAS PRIMEIRA 24/02/2024 ULTIMA 24/02/2026 VALOR PARCELA: R$ 54.166,67 . ENCARGO FINANCEIRO 1,33 % MES.</t>
  </si>
  <si>
    <t>12/24</t>
  </si>
  <si>
    <t>SALDO FRETE Nº 01668, CTE 56249, CONTRATO: 0199/25 - SO. PLACA: XXX-9999, MOTORISTA: JOEL FLORENCO DE SOUZA</t>
  </si>
  <si>
    <t>SALDO FRETE Nº 01661, CTE 56260, CONTRATO: 0199/25 - SO. PLACA: XXX-9999, MOTORISTA: JOEL FLORENCO DE SOUZA</t>
  </si>
  <si>
    <t>TAXA ALVARA 2025</t>
  </si>
  <si>
    <t xml:space="preserve"> PREFEITURA DE CONFRESA</t>
  </si>
  <si>
    <t>DEVOLUCAO DA ANTECIPADO DO CONTRATO DE COMPRA E VENDA NUMERO 0040/2024. (BELA CEREAIS X MM COMERCIO).</t>
  </si>
  <si>
    <t>DEVOLUCAO DA ANTECIPADO DO CONTRATO DE COMPRA E VENDA NUMERO 0042/2025. (BELA CEREAIS X MM COMERCIO).</t>
  </si>
  <si>
    <t>SENAR NF 7335, 7336, 7338, 7339, 7340, 7341, 7342, 7343, 7344, 7345, 7346, 7348, 7349, 7352, 7353, 7354, 7355, 7356, 7360. CONTRATO: 0195/25 - SO. FATURA Nº 00762 REF. DOCUMENTOS: 01651, 01652, 01653, 01654, 01655, 01656, 01657, 01669, 01668, 01667, 01666</t>
  </si>
  <si>
    <t>SENAR NF 10 E 11. 600 TONS CONTRATO 0197/25 - SO.</t>
  </si>
  <si>
    <t>NF 11 PARCIAL. CONTRATO 0197/25 - SO.</t>
  </si>
  <si>
    <t>ANTECIPACAO CONTRATO 0202/25 - SO. EXTRATO AUTO POSTO FONTOURA AUTORIZACAO EXPRESSA EM CONTRAO PARA PAGAR NESSA CONTA. RECEBIMENTO FINANCEIRO.</t>
  </si>
  <si>
    <t>12098551</t>
  </si>
  <si>
    <t>MERCADORIA REF NF 678, CARREGAMENTO  Nº 01724, CONTRATO: 0204/25 - POP. PLACA: XXX-9999, MOTORISTA: JOEL FLORENCO DE SOUZA</t>
  </si>
  <si>
    <t xml:space="preserve"> SOMAR AGRONEGOCIOS EIRELLI ME</t>
  </si>
  <si>
    <t>01724</t>
  </si>
  <si>
    <t>HONORARIOS 02/2025. NF 1742.</t>
  </si>
  <si>
    <t>1742</t>
  </si>
  <si>
    <t>CTE 27014 R$ 1.108,20. CTE 27085 R$ 943,40. CTE R$ 948,40.</t>
  </si>
  <si>
    <t xml:space="preserve"> NEROWILLIAN DIAS DE SOUZA TRANSPORTES</t>
  </si>
  <si>
    <t>NF 6282.</t>
  </si>
  <si>
    <t>6282</t>
  </si>
  <si>
    <t>INTERNET 02/2025.</t>
  </si>
  <si>
    <t>FETHAB REF NF 946 e 933, CONTRATO: 0200/25 - SO 98,041 TONS. FATURA Nº 00765 REF. DOCUMENTOS: 01675, 01677.</t>
  </si>
  <si>
    <t>FETHAB NF 5720 1.100 TONS CONTRATO 0177/24 - SO.</t>
  </si>
  <si>
    <t>IAGRO NF 5720 1.100 TONS CONTRATO 0177/24 - SO.</t>
  </si>
  <si>
    <t>FETHAB NF 1402 870 TONS CONTRATO 0179/24 - SO.</t>
  </si>
  <si>
    <t>IAGRO NF 1402 870 TONS CONTRATO 0179/24 - SO.</t>
  </si>
  <si>
    <t>IAGRO REF NF 946 e 933, CONTRATO: 0200/25 - SO 98,041 TONS. FATURA Nº 00765 REF. DOCUMENTOS: 01675, 01677.</t>
  </si>
  <si>
    <t>CANCELAMENTO NF 1295, 1296, 1293, 1294.</t>
  </si>
  <si>
    <t>CANCELAMENTO NF 1300 1299, 1298, 1297, 1301.</t>
  </si>
  <si>
    <t>TARIFAS.</t>
  </si>
  <si>
    <t>REFERENTE 03/2025.</t>
  </si>
  <si>
    <t>CTE 27016 R$ 1.181,60. CTE 27031 R$ 1.239,80. CTE 27042 R$ 417,30. CTE 27045 R$ 111,30.</t>
  </si>
  <si>
    <t>CTE 27068 R$ 936,60. CTE 27096 R$ 1.177.80. CTE 27234 R$ 235,53.</t>
  </si>
  <si>
    <t>CEDULA DE CREDITO BANCARIO NR 713.913.095. 13/24 PARCELAS PRIMEIRA 24/02/2024 ULTIMA 24/02/2026 VALOR PARCELA: R$ 54.166,67 . ENCARGO FINANCEIRO 1,33 % MES.</t>
  </si>
  <si>
    <t>13/24</t>
  </si>
  <si>
    <t>CANCELAMENTO NF 1349, 1350, 1351, 1352, 1353.</t>
  </si>
  <si>
    <t>TAXA ALVARA CORPO DE BOMBEIROS.</t>
  </si>
  <si>
    <t>CTE 27046 PARCIAL.</t>
  </si>
  <si>
    <t>SENAR REF NF 946 e 933, CONTRATO: 0200/25 - SO 98,041 TONS. FATURA Nº 00765 REF. DOCUMENTOS: 01675, 01677. FISCAL COMPENÇOU IMPOSTOS.</t>
  </si>
  <si>
    <t>NF 4. COMISSÃO CORRETOR CONTRATO VENDA: 0194/25 - SO E 0199/25 - SO. FATURA Nº 00766 REF. DOCUMENTOS: 01652, 01653, 01656, 01658, 01659, 01666, 01669, 01663, 01654, 01655, 01657, 01660, 01661, 01651, 01662, 01664, 01665, 01667, 01668.</t>
  </si>
  <si>
    <t>4</t>
  </si>
  <si>
    <t>CTE 27563 R$ 989,27. CTE 27230 R$ 656,30.</t>
  </si>
  <si>
    <t>HONORARIOS 03/2025. NF 1752.</t>
  </si>
  <si>
    <t>1752</t>
  </si>
  <si>
    <t>12353248</t>
  </si>
  <si>
    <t>CTE 27046 PARCIAL</t>
  </si>
  <si>
    <t>NF 6425.</t>
  </si>
  <si>
    <t>6425</t>
  </si>
  <si>
    <t>MERCADORIA NF 5793, CARREGAMENTO  Nº 01792, CONTRATO: 0211/25 - SO. PLACA: XXX-9999, MOTORISTA: JOEL FLORENCO DE SOUZA. CONTRATO PREVE PAGAMENTO NA CONTA DA RM SANTANA.</t>
  </si>
  <si>
    <t>BAIXAR CTE 32329 PARCIAL R$ 4.115,25. CTE 32330 R$ 8.956,80. CTE 32384 R$ 6.944,50. CTE 32441 R$ 9.336,95. CTEE 32445 R$ 5.592,60. CTE 32464 R$ 8.922.80. CTE 32465 R$ 8.839,20. CTE 32466 R$ 8.339,40. CTE 32560 R$ 7.043,40. CTE 32561 R$ 9.073,80. CTE 32562</t>
  </si>
  <si>
    <t>IAGRO NF 4516217 426 TONS. CONTRATO 0175/24 - SO.</t>
  </si>
  <si>
    <t>FETHAB NF 4516217 426 TONS. CONTRATO 0175/24 - SO.</t>
  </si>
  <si>
    <t>IAGRO NF 5793. COTRATO 0211/25 - SO 272,5477 TONS.</t>
  </si>
  <si>
    <t>FETHAB NF 5793. COTRATO 0211/25 - SO 272,5477 TONS.</t>
  </si>
  <si>
    <t>IAGRO NF 5811. CONTRATO 0177/24 - SO.</t>
  </si>
  <si>
    <t>FETHAB NF 5811. CONTRATO 0177/24 - SO.</t>
  </si>
  <si>
    <t>IAGRO NF 1073, 1074, 1075. CONTRATO 0189/24 - SO.</t>
  </si>
  <si>
    <t xml:space="preserve"> RICARDO BRIZOT NICARETTA</t>
  </si>
  <si>
    <t>FETHAB NF 1073, 1074, 1075. CONTRATO 0189/24 - SO.</t>
  </si>
  <si>
    <t xml:space="preserve"> 0189/24 - SO</t>
  </si>
  <si>
    <t>INTERNET 03/2025.</t>
  </si>
  <si>
    <t>NF 1877. BAIXA DO REGISTRO CPR 002/2024 DIEGO</t>
  </si>
  <si>
    <t xml:space="preserve"> BART SOLUCOES DE TECNOLOGIA DIGITAL S.A</t>
  </si>
  <si>
    <t>1877</t>
  </si>
  <si>
    <t>NF 36908.</t>
  </si>
  <si>
    <t>36908</t>
  </si>
  <si>
    <t>MERCADORIA REF NF 7486, CARREGAMENTO  Nº 01829, CONTRATO: 0214/25 - SO. PLACA: XXX-9999, MOTORISTA: JOEL FLORENCO DE SOUZA</t>
  </si>
  <si>
    <t>MERCADORIA REF NF 7485, CARREGAMENTO  Nº 01830, CONTRATO: 0214/25 - SO. PLACA: XXX-9999, MOTORISTA: JOEL FLORENCO DE SOUZA</t>
  </si>
  <si>
    <t>MERCADORIA EF NF 7487, CARREGAMENTO  Nº 01831, CONTRATO: 0214/25 - SO. PLACA: XXX-9999, MOTORISTA: JOEL FLORENCO DE SOUZA</t>
  </si>
  <si>
    <t>MERCADORIA REF NF 7488, CARREGAMENTO  Nº 01834, CONTRATO: 0214/25 - SO. PLACA: XXX-9999, MOTORISTA: JOEL FLORENCO DE SOUZA</t>
  </si>
  <si>
    <t>MERCADORIA REF NF 7489, CARREGAMENTO  Nº 01835, CONTRATO: 0214/25 - SO. PLACA: XXX-9999, MOTORISTA: JOEL FLORENCO DE SOUZA</t>
  </si>
  <si>
    <t>CTE 27046 PARCIAL. CTE 32566 R$ 61,19.</t>
  </si>
  <si>
    <t>MERCADORIA REF NF 7490, CARREGAMENTO  Nº 01836, CONTRATO: 0214/25 - SO. PLACA: XXX-9999, MOTORISTA: JOEL FLORENCO DE SOUZA</t>
  </si>
  <si>
    <t>MERCADORIA REF NF 7491, CARREGAMENTO  Nº 01837, CONTRATO: 0214/25 - SO. PLACA: XXX-9999, MOTORISTA: JOEL FLORENCO DE SOUZA</t>
  </si>
  <si>
    <t>MERCADORIA REF NF 7493, CARREGAMENTO  Nº 01838, CONTRATO: 0214/25 - SO. PLACA: XXX-9999, MOTORISTA: JOEL FLORENCO DE SOUZA</t>
  </si>
  <si>
    <t>MERCADORIA REF NF 7497, CARREGAMENTO  Nº 01839, CONTRATO: 0214/25 - SO. PLACA: XXX-9999, MOTORISTA: JOEL FLORENCO DE SOUZA</t>
  </si>
  <si>
    <t>MERCADORIA REF NF 7498, CARREGAMENTO  Nº 01840, CONTRATO: 0214/25 - SO. PLACA: XXX-9999, MOTORISTA: JOEL FLORENCO DE SOUZA</t>
  </si>
  <si>
    <t>MERCADORIA REF NF 7501, CARREGAMENTO  Nº 01841, CONTRATO: 0214/25 - SO. PLACA: XXX-9999, MOTORISTA: JOEL FLORENCO DE SOUZA</t>
  </si>
  <si>
    <t>MERCADORIA REF NF 7502, CARREGAMENTO  Nº 01842, CONTRATO: 0214/25 - SO. PLACA: XXX-9999, MOTORISTA: JOEL FLORENCO DE SOUZA</t>
  </si>
  <si>
    <t>MERCADORIA REF NF 7503, CARREGAMENTO  Nº 01843, CONTRATO: 0214/25 - SO. PLACA: XXX-9999, MOTORISTA: JOEL FLORENCO DE SOUZA</t>
  </si>
  <si>
    <t>MERCADORIA REF NF 7504, CARREGAMENTO  Nº 01844, CONTRATO: 0214/25 - SO. PLACA: XXX-9999, MOTORISTA: JOEL FLORENCO DE SOUZA</t>
  </si>
  <si>
    <t>REFERENTE 04/2025.</t>
  </si>
  <si>
    <t>MERCADORIA REF NF 7513, CARREGAMENTO  Nº 01855, CONTRATO: 0214/25 - SO. PLACA: XXX-9999, MOTORISTA: JOEL FLORENCO DE SOUZA</t>
  </si>
  <si>
    <t>MERCADORIA REF NF 7514, CARREGAMENTO  Nº 01856, CONTRATO: 0214/25 - SO. PLACA: XXX-9999, MOTORISTA: JOEL FLORENCO DE SOUZA</t>
  </si>
  <si>
    <t>MERCADORIA REF NF 7516, CARREGAMENTO  Nº 01857, CONTRATO: 0214/25 - SO. PLACA: XXX-9999, MOTORISTA: JOEL FLORENCO DE SOUZA</t>
  </si>
  <si>
    <t>MERCADORIA REF NF 7517, CARREGAMENTO  Nº 01858, CONTRATO: 0214/25 - SO. PLACA: XXX-9999, MOTORISTA: JOEL FLORENCO DE SOUZA</t>
  </si>
  <si>
    <t>MERCADORIA REF NF 7519, CARREGAMENTO  Nº 01859, CONTRATO: 0214/25 - SO. PLACA: XXX-9999, MOTORISTA: JOEL FLORENCO DE SOUZA</t>
  </si>
  <si>
    <t>MERCADORIA REF NF 7526, CARREGAMENTO  Nº 01865, CONTRATO: 0214/25 - SO. PLACA: XXX-9999, MOTORISTA: JOEL FLORENCO DE SOUZA</t>
  </si>
  <si>
    <t>MERCADORIA REF NF 7527, CARREGAMENTO  Nº 01866, CONTRATO: 0214/25 - SO. PLACA: XXX-9999, MOTORISTA: JOEL FLORENCO DE SOUZA</t>
  </si>
  <si>
    <t>MERCADORIA REF NF 7531, CARREGAMENTO  Nº 01868, CONTRATO: 0214/25 - SO. PLACA: XXX-9999, MOTORISTA: JOEL FLORENCO DE SOUZA</t>
  </si>
  <si>
    <t>MERCADORIA REF NF 7538, CARREGAMENTO  Nº 01869, CONTRATO: 0214/25 - SO. PLACA: XXX-9999, MOTORISTA: JOEL FLORENCO DE SOUZA</t>
  </si>
  <si>
    <t>MERCADORIA REF NF 7541, CARREGAMENTO  Nº 01871, CONTRATO: 0214/25 - SO. PLACA: XXX-9999, MOTORISTA: JOEL FLORENCO DE SOUZA</t>
  </si>
  <si>
    <t>BAIXA CPR 0002/2024 DIEGO EXTRATO Vianei Baltasar Perius</t>
  </si>
  <si>
    <t>CEDULA DE CREDITO BANCARIO NR 713.913.095. 14/24 PARCELAS PRIMEIRA 24/02/2024 ULTIMA 24/02/2026 VALOR PARCELA: R$ 54.166,67 . ENCARGO FINANCEIRO 1,33 % MES.</t>
  </si>
  <si>
    <t>14/24</t>
  </si>
  <si>
    <t>MERCADORIA REF NF 7552, CARREGAMENTO  Nº 01875, CONTRATO: 0214/25 - SO. PLACA: XXX-9999, MOTORISTA: JOEL FLORENCO DE SOUZA</t>
  </si>
  <si>
    <t>MERCADORIA REF NF 7555, CARREGAMENTO  Nº 01876, CONTRATO: 0214/25 - SO. PLACA: XXX-9999, MOTORISTA: JOEL FLORENCO DE SOUZA</t>
  </si>
  <si>
    <t>NF 202500000000001 PARCIAL.</t>
  </si>
  <si>
    <t>SENAR NF 5811. CONTRATO 0177/24 - SO.</t>
  </si>
  <si>
    <t>SENAR NF 5793. COTRATO 0211/25 - SO 272,5477 TONS.</t>
  </si>
  <si>
    <t>SENAR NF 4516217 426 TONS. CONTRATO 0175/24 - SO.</t>
  </si>
  <si>
    <t>SENAR NF 1073, 1074, 1075. CONTRATO 0189/24 - SO.</t>
  </si>
  <si>
    <t>MERCADORIA REF NF 7575, CARREGAMENTO  Nº 01884, CONTRATO: 0214/25 - SO. PLACA: XXX-9999, MOTORISTA: JOEL FLORENCO DE SOUZA</t>
  </si>
  <si>
    <t>MERCADORIA REF NF 7576, CARREGAMENTO  Nº 01885, CONTRATO: 0214/25 - SO. PLACA: XXX-9999, MOTORISTA: JOEL FLORENCO DE SOUZA</t>
  </si>
  <si>
    <t>01885</t>
  </si>
  <si>
    <t>MERCADORIA REF NF 98, CARREGAMENTO  Nº 01886, CONTRATO: 0215/25 - SO. PLACA: XXX-9999, MOTORISTA: JOEL FLORENCO DE SOUZA</t>
  </si>
  <si>
    <t xml:space="preserve"> SANTA RITA AGRONEGOCIOS LTDA</t>
  </si>
  <si>
    <t>MERCADORIA REF NF 99, CARREGAMENTO  Nº 01887, CONTRATO: 0215/25 - SO. PLACA: XXX-9999, MOTORISTA: JOEL FLORENCO DE SOUZA</t>
  </si>
  <si>
    <t>MERCADORIA REF NF 100, CARREGAMENTO  Nº 01888, CONTRATO: 0215/25 - SO. PLACA: XXX-9999, MOTORISTA: JOEL FLORENCO DE SOUZA</t>
  </si>
  <si>
    <t>MERCADORIA REF NF 101, CARREGAMENTO  Nº 01889, CONTRATO: 0215/25 - SO. PLACA: XXX-9999, MOTORISTA: JOEL FLORENCO DE SOUZA</t>
  </si>
  <si>
    <t>MERCADORIA REF NF 102, CARREGAMENTO  Nº 01890, CONTRATO: 0215/25 - SO. PLACA: XXX-9999, MOTORISTA: JOEL FLORENCO DE SOUZA</t>
  </si>
  <si>
    <t>MERCADORIA REF NF 103, CARREGAMENTO  Nº 01891, CONTRATO: 0215/25 - SO. PLACA: XXX-9999, MOTORISTA: JOEL FLORENCO DE SOUZA</t>
  </si>
  <si>
    <t>SALDO FRETE Nº 01829, CTE 62858, CONTRATO: 0216/25 - SO. PLACA: XXX-9999, MOTORISTA: JOEL FLORENCO DE SOUZA</t>
  </si>
  <si>
    <t>SALDO FRETE Nº 01830, CTE 62861, CONTRATO: 0216/25 - SO. PLACA: XXX-9999, MOTORISTA: JOEL FLORENCO DE SOUZA</t>
  </si>
  <si>
    <t>SALDO FRETE Nº 01834, CTE 62886, CONTRATO: 0216/25 - SO. PLACA: XXX-9999, MOTORISTA: JOEL FLORENCO DE SOUZA</t>
  </si>
  <si>
    <t>SALDO FRETE Nº 01835, CTE 62890, CONTRATO: 0216/25 - SO. PLACA: XXX-9999, MOTORISTA: JOEL FLORENCO DE SOUZA</t>
  </si>
  <si>
    <t>SALDO FRETE Nº 01836, CTE 62899, CONTRATO: 0216/25 - SO. PLACA: XXX-9999, MOTORISTA: JOEL FLORENCO DE SOUZA</t>
  </si>
  <si>
    <t>SALDO FRETE Nº 01837, CTE 62901, CONTRATO: 0216/25 - SO. PLACA: XXX-9999, MOTORISTA: JOEL FLORENCO DE SOUZA</t>
  </si>
  <si>
    <t>SALDO FRETE Nº 01839, CTE 62943, CONTRATO: 0216/25 - SO. PLACA: XXX-9999, MOTORISTA: JOEL FLORENCO DE SOUZA</t>
  </si>
  <si>
    <t>SALDO FRETE Nº 01840, CTE 62947, CONTRATO: 0216/25 - SO. PLACA: XXX-9999, MOTORISTA: JOEL FLORENCO DE SOUZA</t>
  </si>
  <si>
    <t>SALDO FRETE Nº 01843, CTE 62970, CONTRATO: 0216/25 - SO. PLACA: XXX-9999, MOTORISTA: JOEL FLORENCO DE SOUZA</t>
  </si>
  <si>
    <t>SALDO FRETE Nº 01844, CTE 62984, CONTRATO: 0216/25 - SO. PLACA: XXX-9999, MOTORISTA: JOEL FLORENCO DE SOUZA</t>
  </si>
  <si>
    <t>MERCADORIA REF NF 4574853, CARREGAMENTO  Nº 01872, CONTRATO: 0217/25 - SO. PLACA: XXX-9999, MOTORISTA: JOEL FLORENCO DE SOUZA. EXTRATO PANTANAL AGRICOLA AUTORIZADO VIA CONTRATO.</t>
  </si>
  <si>
    <t>MERCADORIA REF NF 104, CARREGAMENTO  Nº 01892, CONTRATO: 0215/25 - SO. PLACA: XXX-9999, MOTORISTA: JOEL FLORENCO DE SOUZA</t>
  </si>
  <si>
    <t>MERCADORIA REF NF 105, CARREGAMENTO  Nº 01894, CONTRATO: 0215/25 - SO. PLACA: XXX-9999, MOTORISTA: JOEL FLORENCO DE SOUZA</t>
  </si>
  <si>
    <t>SALDO FRETE Nº 01838, CTE 62939, CONTRATO: 0216/25 - SO. PLACA: XXX-9999, MOTORISTA: JOEL FLORENCO DE SOUZA</t>
  </si>
  <si>
    <t>MERCADORIA REF NF 106, CARREGAMENTO  Nº 01897, CONTRATO: 0215/25 - SO. PLACA: XXX-9999, MOTORISTA: JOEL FLORENCO DE SOUZA</t>
  </si>
  <si>
    <t>MERCADORIA REF NF 107, CARREGAMENTO  Nº 01898, CONTRATO: 0215/25 - SO. PLACA: XXX-9999, MOTORISTA: JOEL FLORENCO DE SOUZA</t>
  </si>
  <si>
    <t>DEVOLUCAO DA ANTECIPADO DO CONTRATO DE COMPRA E VENDA NUMERO 0038/2024. (BELA CEREAIS X MM COMERCIO).</t>
  </si>
  <si>
    <t>DEVOLUCAO DA ANTECIPADO DO CONTRATO DE COMPRA E VENDA NUMERO 0041/2025. (BELA CEREAIS X MM COMERCIO).</t>
  </si>
  <si>
    <t>MERCADORIA REF NF 108, CARREGAMENTO  Nº 01901, CONTRATO: 0215/25 - SO. PLACA: XXX-9999, MOTORISTA: JOEL FLORENCO DE SOUZA</t>
  </si>
  <si>
    <t>MERCADORIA REF NF 109, CARREGAMENTO  Nº 01904, CONTRATO: 0215/25 - SO. PLACA: XXX-9999, MOTORISTA: JOEL FLORENCO DE SOUZA</t>
  </si>
  <si>
    <t>SALDO FRETE Nº 01841, CTE 4363, CONTRATO: 0216/25 - SO. PLACA: XXX-9999, MOTORISTA: JOEL FLORENCO DE SOUZA</t>
  </si>
  <si>
    <t>SALDO FRETE Nº 01855, CTE 4376, CONTRATO: 0216/25 - SO. PLACA: XXX-9999, MOTORISTA: JOEL FLORENCO DE SOUZA</t>
  </si>
  <si>
    <t>SALDO FRETE Nº 01866, CTE 4380, CONTRATO: 0216/25 - SO. PLACA: XXX-9999, MOTORISTA: JOEL FLORENCO DE SOUZA</t>
  </si>
  <si>
    <t>SALDO FRETE Nº 01871, CTE 4388, CONTRATO: 0216/25 - SO. PLACA: XXX-9999, MOTORISTA: JOEL FLORENCO DE SOUZA</t>
  </si>
  <si>
    <t>MERCADORIA REF NF 110, CARREGAMENTO  Nº 01905, CONTRATO: 0215/25 - SO. PLACA: XXX-9999, MOTORISTA: JOEL FLORENCO DE SOUZA</t>
  </si>
  <si>
    <t>12544549</t>
  </si>
  <si>
    <t>CERTIDAO MATRICULA MARIA JULIA. EXTRATO MARCIA MORATELLI.</t>
  </si>
  <si>
    <t>MERCADORIA CARREGAMENTO  Nº 01115, CONTRATO: 0153/24 - SO. PLACA: XXX-9999, MOTORISTA: JOEL FLORENCO DE SOUZA. REALIZADO ENCONTRO DE CONTAS COM O VALOR PAGO REFERENTE ARMAZENAGEM DE MILHO/2024 DATA PGTO 19/07/2024.</t>
  </si>
  <si>
    <t>01115</t>
  </si>
  <si>
    <t>HONORARIOS 04/2025. NF 1791.</t>
  </si>
  <si>
    <t>1791</t>
  </si>
  <si>
    <t>CSSL e IRPJ 1º TRIMESTRE 2025.</t>
  </si>
  <si>
    <t>JUCEMAT - ALTERACAO CONTRATUAL - AUMENTO DE CAPITAL.</t>
  </si>
  <si>
    <t>CTE 32566 R$ 2038,19. CTE 32567 R$ 961,81.</t>
  </si>
  <si>
    <t>MERCADORIA REF NF 111, CARREGAMENTO  Nº 01906, CONTRATO: 0215/25 - SO. PLACA: XXX-9999, MOTORISTA: JOEL FLORENCO DE SOUZA</t>
  </si>
  <si>
    <t>MERCADORIA REF NF 112, CARREGAMENTO  Nº 01907, CONTRATO: 0215/25 - SO. PLACA: XXX-9999, MOTORISTA: JOEL FLORENCO DE SOUZA</t>
  </si>
  <si>
    <t>AJUSTE FINANCEIRO GANHO ENCONTRO DE CONTAS</t>
  </si>
  <si>
    <t>SALDO FRETE Nº 01831, CTE 62859, CONTRATO: 0216/25 - SO. PLACA: XXX-9999, MOTORISTA: JOEL FLORENCO DE SOUZA</t>
  </si>
  <si>
    <t>SALDO FRETE Nº 01856, CTE 63142, CONTRATO: 0216/25 - SO. PLACA: XXX-9999, MOTORISTA: JOEL FLORENCO DE SOUZA</t>
  </si>
  <si>
    <t>SALDO FRETE Nº 01865, CTE 63282, CONTRATO: 0216/25 - SO. PLACA: XXX-9999, MOTORISTA: JOEL FLORENCO DE SOUZA</t>
  </si>
  <si>
    <t>SALDO FRETE Nº 01868, CTE 63314, CONTRATO: 0216/25 - SO. PLACA: XXX-9999, MOTORISTA: JOEL FLORENCO DE SOUZA</t>
  </si>
  <si>
    <t>SALDO FRETE Nº 01869, CTE 63380, CONTRATO: 0216/25 - SO. PLACA: XXX-9999, MOTORISTA: JOEL FLORENCO DE SOUZA</t>
  </si>
  <si>
    <t>SALDO FRETE Nº 01875, CTE 63464, CONTRATO: 0216/25 - SO. PLACA: XXX-9999, MOTORISTA: JOEL FLORENCO DE SOUZA</t>
  </si>
  <si>
    <t>SALDO FRETE Nº 01876, CTE 63482, CONTRATO: 0216/25 - SO. PLACA: XXX-9999, MOTORISTA: JOEL FLORENCO DE SOUZA</t>
  </si>
  <si>
    <t>CAPITAL DE GIRO OPERAÇÃO 713.915.169 CONTA GARANTIDA. JUROS 1,83%.</t>
  </si>
  <si>
    <t>MERCADORIA REF NF 114, CARREGAMENTO  Nº 01908, CONTRATO: 0215/25 - SO. PLACA: XXX-9999, MOTORISTA: JOEL FLORENCO DE SOUZA</t>
  </si>
  <si>
    <t>MERCADORIA REF NF 115, CARREGAMENTO  Nº 01909, CONTRATO: 0215/25 - SO. PLACA: XXX-9999, MOTORISTA: JOEL FLORENCO DE SOUZA</t>
  </si>
  <si>
    <t>NF 6569.</t>
  </si>
  <si>
    <t>6569</t>
  </si>
  <si>
    <t>ANTECIPACAO CONTRATO 0219/25 - MI.</t>
  </si>
  <si>
    <t>SALDO FRETE Nº 01842, CTE 62968, CONTRATO: 0216/25 - SO. PLACA: XXX-9999, MOTORISTA: JOEL FLORENCO DE SOUZA</t>
  </si>
  <si>
    <t>SALDO FRETE Nº 01887, CTE 63826, CONTRATO: 0216/25 - SO. PLACA: XXX-9999, MOTORISTA: JOEL FLORENCO DE SOUZA</t>
  </si>
  <si>
    <t>SALDO FRETE Nº 01885 E 01886, CTE 63805, CONTRATO: 0216/25 - SO. PLACA: XXX-9999, MOTORISTA: JOEL FLORENCO DE SOUZA. FATURA Nº 00782 REF. DOCUMENTOS: 01885, 01886.</t>
  </si>
  <si>
    <t>INTERNET 04/2025.</t>
  </si>
  <si>
    <t>IOF OPERAÇÃO 713.915.169 CONTA GARANTIDA. JUROS 1,83%.</t>
  </si>
  <si>
    <t>IAGRO REF NF 13, CARREGAMENTO  Nº 01676, CONTRATO: 0201/25 - SO. PLACA: XXX-9999, MOTORISTA: JOEL FLORENCO DE SOUZA</t>
  </si>
  <si>
    <t>IAGRO CONTRATO: 0214/25 - SO. FATURA Nº 00780 REF. DOCUMENTOS: 01830, 01829, 01831, 01834, 01835, 01836, 01837, 01838, 01839, 01840, 01841, 01842, 01843, 01844, 01865, 01866, 01869, 01884, 01885, 01856, 01855, 01868, 01859, 01857, 01858, 01871, 01875, 018</t>
  </si>
  <si>
    <t>FETHAB REF NF 4574853, CARREGAMENTO  Nº 01872, CONTRATO: 0217/25 - SO. PLACA: XXX-9999, MOTORISTA: JOEL FLORENCO DE SOUZA</t>
  </si>
  <si>
    <t>FETHAB CONTRATO: 0214/25 - SO. FATURA Nº 00780 REF. DOCUMENTOS: 01830, 01829, 01831, 01834, 01835, 01836, 01837, 01838, 01839, 01840, 01841, 01842, 01843, 01844, 01865, 01866, 01869, 01884, 01885, 01856, 01855, 01868, 01859, 01857, 01858, 01871, 01875, 01</t>
  </si>
  <si>
    <t>IAGRO NF 1466 1156,869 TONS CONTRATO 0179/24 - SO.</t>
  </si>
  <si>
    <t>FETHAB NF 1466 1156,869 TONS CONTRATO 0179/24 - SO.</t>
  </si>
  <si>
    <t>IAGRO NF 5817. CONTRATO 0177/24 - SO.</t>
  </si>
  <si>
    <t>FETHAB NF 5817. CONTRATO 0177/24 - SO.</t>
  </si>
  <si>
    <t>IAGRO REF NF 4574853, CARREGAMENTO  Nº 01872, CONTRATO: 0217/25 - SO. PLACA: XXX-9999, MOTORISTA: JOEL FLORENCO DE SOUZA</t>
  </si>
  <si>
    <t>FETHAB REF NF 13, CARREGAMENTO  Nº 01676, CONTRATO: 0201/25 - SO. PLACA: XXX-9999, MOTORISTA: JOEL FLORENCO DE SOUZA</t>
  </si>
  <si>
    <t>IAGRO 571,331 TONS. CONTRATO 0189/24 - SO.</t>
  </si>
  <si>
    <t>FETHAB 571,331 TONS. CONTRATO 0189/24 - SO.</t>
  </si>
  <si>
    <t>FETHAB CONTRATO: 0215/25 - SO 668,19 TONS. FATURA Nº 00785 REF. DOCUMENTOS: 01886, 01888, 01889, 01894, 01897, 01898, 01901, 01890, 01891, 01887, 01892, 01905, 01904, 01906, 01907.</t>
  </si>
  <si>
    <t xml:space="preserve">NF 202500000000017. CLASSIFICACAO CONTRATO 0214/25 - SO 1.200 TONS. FATURA Nº 00786 REF. DOCUMENTOS: 01836, 01837, 01840, 01841, 01842, 01843, 01844, 01859, 01884, 01829, 01830, 01831, 01834, 01835, 01838, 01839, 01857, 01855, 01856, 01865, 01866, 01858, </t>
  </si>
  <si>
    <t>202500000000017</t>
  </si>
  <si>
    <t>MERCADORIA REN NF 116, CARREGAMENTO  Nº 01910, CONTRATO: 0215/25 - SO. PLACA: XXX-9999, MOTORISTA: JOEL FLORENCO DE SOUZA</t>
  </si>
  <si>
    <t>SALDO FRETE Nº 01857, CTE 63165, CONTRATO: 0216/25 - SO. PLACA: XXX-9999, MOTORISTA: JOEL FLORENCO DE SOUZA</t>
  </si>
  <si>
    <t>SALDO FRETE Nº 01858, CTE 63182, CONTRATO: 0216/25 - SO. PLACA: XXX-9999, MOTORISTA: JOEL FLORENCO DE SOUZA</t>
  </si>
  <si>
    <t>SALDO FRETE Nº 01859, CTE 63179, CONTRATO: 0216/25 - SO. PLACA: XXX-9999, MOTORISTA: JOEL FLORENCO DE SOUZA</t>
  </si>
  <si>
    <t>MERCADORIA REF NF 117, CARREGAMENTO  Nº 01911, CONTRATO: 0215/25 - SO. PLACA: XXX-9999, MOTORISTA: JOEL FLORENCO DE SOUZA</t>
  </si>
  <si>
    <t>BAIXA CPR 0002/2024 SILVIO VERDELIO VILA RICA EXTRATO RENATO CUNHA DONATO</t>
  </si>
  <si>
    <t>MERCADORIA REF NF 118, CARREGAMENTO  Nº 01915, CONTRATO: 0215/25 - SO. PLACA: XXX-9999, MOTORISTA: JOEL FLORENCO DE SOUZA</t>
  </si>
  <si>
    <t>MERCADORIA REF NF 119,  CARREGAMENTO  Nº 01916, CONTRATO: 0215/25 - SO. PLACA: XXX-9999, MOTORISTA: JOEL FLORENCO DE SOUZA</t>
  </si>
  <si>
    <t>BAIXA CPR 0002/2024 SILVIO VERDELIO PORTO ALEGRE DO NORTE EXTRATO VIANEI B PERIUS</t>
  </si>
  <si>
    <t>MERCADORIA REF NF 120, CARREGAMENTO  Nº 01917, CONTRATO: 0215/25 - SO. PLACA: XXX-9999, MOTORISTA: JOEL FLORENCO DE SOUZA</t>
  </si>
  <si>
    <t xml:space="preserve"> BAIXA CPR 0002/2024 SILVIO VERDELIO PORTO ALEGRE DO NORTE EXTRATO VIANEI B PERIUS</t>
  </si>
  <si>
    <t>MERCADORIA REF NF 121, CARREGAMENTO  Nº 01918, CONTRATO: 0215/25 - SO. PLACA: XXX-9999, MOTORISTA: JOEL FLORENCO DE SOUZA</t>
  </si>
  <si>
    <t>SALDO FRETE Nº 01892, CTE 4488, CONTRATO: 0216/25 - SO. PLACA: XXX-9999, MOTORISTA: JOEL FLORENCO DE SOUZA</t>
  </si>
  <si>
    <t>SALDO FRETE Nº 01901, CTE 64132, CONTRATO: 0216/25 - SO. PLACA: XXX-9999, MOTORISTA: JOEL FLORENCO DE SOUZA</t>
  </si>
  <si>
    <t>SALDO FRETE Nº 01904, CTE 4516, CONTRATO: 0216/25 - SO. PLACA: XXX-9999, MOTORISTA: JOEL FLORENCO DE SOUZA</t>
  </si>
  <si>
    <t>SALDO FRETE Nº 01905, CTE 4525, CONTRATO: 0216/25 - SO. PLACA: XXX-9999, MOTORISTA: JOEL FLORENCO DE SOUZA</t>
  </si>
  <si>
    <t>JUROS CAPITAL DE GIRO OPERAÇÃO 713.915.169 CONTA GARANTIDA. JUROS 1,83%.</t>
  </si>
  <si>
    <t>MERCADORIA REF NF 122, CARREGAMENTO  Nº 01921, CONTRATO: 0215/25 - SO. PLACA: XXX-9999, MOTORISTA: JOEL FLORENCO DE SOUZA</t>
  </si>
  <si>
    <t>MERCADORIA REF N 124, CARREGAMENTO  Nº 01920, CONTRATO: 0215/25 - SO. PLACA: RWT-0J41, MOTORISTA: MARCILIO NUNES BATISTA</t>
  </si>
  <si>
    <t>ADTO FRETE Nº 01920, CTE 20748, CONTRATO: 0218/25 - SO. PLACA: RWT-0J41, MOTORISTA: MARCILIO NUNES BATISTA. FATURA Nº 00787 REF. DOCUMENTOS: 01920, 01920. EXTRATO Edberto Victor Lopes Reis</t>
  </si>
  <si>
    <t xml:space="preserve"> MARCILIO NUNES BATISTA</t>
  </si>
  <si>
    <t>MERCADORIA REF NF 125, ARREGAMENTO  Nº 01923, CONTRATO: 0215/25 - SO. PLACA: XXX-9999, MOTORISTA: JOEL FLORENCO DE SOUZA</t>
  </si>
  <si>
    <t>MERCADORIA REF NF 126, CARREGAMENTO  Nº 01924, CONTRATO: 0215/25 - SO. PLACA: XXX-9999, MOTORISTA: JOEL FLORENCO DE SOUZA</t>
  </si>
  <si>
    <t>CERTIDAO SIMPLIFICADA JUCEMAT.</t>
  </si>
  <si>
    <t>NF 1928. BAIXA B3 CPR 0002/2024 SILVIO VERDELIO.</t>
  </si>
  <si>
    <t>1928</t>
  </si>
  <si>
    <t>MERCADORIA REF NF 127, CARREGAMENTO  Nº 01937, CONTRATO: 0215/25 - SO. PLACA: XXX-9999, MOTORISTA: JOEL FLORENCO DE SOUZA</t>
  </si>
  <si>
    <t>MERCADORIA REF NF 7810, CARREGAMENTO  Nº 01938, CONTRATO: 0195/25 - SO. PLACA: XXX-9999, MOTORISTA: JOEL FLORENCO DE SOUZA</t>
  </si>
  <si>
    <t>SALDO FRETE Nº 01906, CTE 64483, CONTRATO: 0216/25 - SO. PLACA: XXX-9999, MOTORISTA: JOEL FLORENCO DE SOUZA</t>
  </si>
  <si>
    <t>SALDO FRETE Nº 01908, CTE 64582, CONTRATO: 0218/25 - SO. PLACA: XXX-9999, MOTORISTA: JOEL FLORENCO DE SOUZA</t>
  </si>
  <si>
    <t>SALDO FRETE Nº 01909, CTE 64584, CONTRATO: 0218/25 - SO. PLACA: XXX-9999, MOTORISTA: JOEL FLORENCO DE SOUZA</t>
  </si>
  <si>
    <t xml:space="preserve">NF 202500000000019. CLASSIFICACAO CONTRATO 0214/25 - SO 1.200 TONS. FATURA Nº 00786 REF. DOCUMENTOS: 01836, 01837, 01840, 01841, 01842, 01843, 01844, 01859, 01884, 01829, 01830, 01831, 01834, 01835, 01838, 01839, 01857, 01855, 01856, 01865, 01866, 01858, </t>
  </si>
  <si>
    <t>SALDO FRETE Nº 01910, CTE 4584, CONTRATO: 0218/25 - SO. PLACA: XXX-9999, MOTORISTA: JOEL FLORENCO DE SOUZA</t>
  </si>
  <si>
    <t>SALDO FRETE Nº 01915, CTE 4594, CONTRATO: 0218/25 - SO. PLACA: XXX-9999, MOTORISTA: JOEL FLORENCO DE SOUZA</t>
  </si>
  <si>
    <t>SALDO FRETE Nº 01916, CTE 4593, CONTRATO: 0218/25 - SO. PLACA: XXX-9999, MOTORISTA: JOEL FLORENCO DE SOUZA</t>
  </si>
  <si>
    <t>SALDO FRETE Nº 01917, CTE 4602, CONTRATO: 0218/25 - SO. PLACA: XXX-9999, MOTORISTA: JOEL FLORENCO DE SOUZA</t>
  </si>
  <si>
    <t>REFERENTE 05/2025.</t>
  </si>
  <si>
    <t>CEDULA DE CREDITO BANCARIO NR 713.913.095. 15/24 PARCELAS PRIMEIRA 24/02/2024 ULTIMA 24/02/2026 VALOR PARCELA: R$ 54.166,67 . ENCARGO FINANCEIRO 1,33 % MES.</t>
  </si>
  <si>
    <t>15/24</t>
  </si>
  <si>
    <t>CTE 32567 PARCIAL.</t>
  </si>
  <si>
    <t>SENAR CONTRATO: 0214/25 - SO. FATURA Nº 00780 REF. DOCUMENTOS: 01830, 01829, 01831, 01834, 01835, 01836, 01837, 01838, 01839, 01840, 01841, 01842, 01843, 01844, 01865, 01866, 01869, 01884, 01885, 01856, 01855, 01868, 01859, 01857, 01858, 01871, 01875, 018</t>
  </si>
  <si>
    <t>SENAR REF NF 4574853, CARREGAMENTO  Nº 01872, CONTRATO: 0217/25 - SO. PLACA: XXX-9999, MOTORISTA: JOEL FLORENCO DE SOUZA</t>
  </si>
  <si>
    <t>SENAR REF NF 13, CARREGAMENTO  Nº 01676, CONTRATO: 0201/25 - SO. PLACA: XXX-9999, MOTORISTA: JOEL FLORENCO DE SOUZA</t>
  </si>
  <si>
    <t>SENAR NF 5817. CONTRATO 0177/24 - SO.</t>
  </si>
  <si>
    <t>SENAR NF 1466 1156,869 TONS CONTRATO 0179/24 - SO.</t>
  </si>
  <si>
    <t>SENAR NF 1119, 1120, 1121, 1122,1123, 1124, 1125, 1129, 1132, 1134, 1135, 1139, 1186  571,331 TONS. CONTRATO 0189/24 - SO.</t>
  </si>
  <si>
    <t>COMPRA PARCELA Nº 01 Ref Documento nº 5733</t>
  </si>
  <si>
    <t>5733</t>
  </si>
  <si>
    <t>SALDO FRETE Nº 01937 e 01938, CTE 11662, CONTRATO: 0218/25 - SO. PLACA: XXX-9999, MOTORISTA: JOEL FLORENCO DE SOUZA. FATURA Nº 00792 REF. DOCUMENTOS: 01937, 01938.</t>
  </si>
  <si>
    <t xml:space="preserve"> ZAQUEU TRANSPORTES E LOGISTICA LTDA</t>
  </si>
  <si>
    <t>FATURA 00792</t>
  </si>
  <si>
    <t>12981792</t>
  </si>
  <si>
    <t>SALDO FRETE Nº 01911, CTE 18594, CONTRATO: 0218/25 - SO. PLACA: XXX-9999, MOTORISTA: JOEL FLORENCO DE SOUZA</t>
  </si>
  <si>
    <t>SALDO FRETE Nº 01918, CTE 18760, CONTRATO: 0218/25 - SO. PLACA: XXX-9999, MOTORISTA: JOEL FLORENCO DE SOUZA</t>
  </si>
  <si>
    <t>SALDO FRETE Nº 01923, CTE 4660, CONTRATO: 0218/25 - SO. PLACA: XXX-9999, MOTORISTA: JOEL FLORENCO DE SOUZA</t>
  </si>
  <si>
    <t>SALDO FRETE Nº 01924, CTE 4661, CONTRATO: 0218/25 - SO. PLACA: XXX-9999, MOTORISTA: JOEL FLORENCO DE SOUZA</t>
  </si>
  <si>
    <t>RELATORIO DE DESPESA MAIO/2025.</t>
  </si>
  <si>
    <t>SALDO FRETE Nº 01884, CTE 63779, CONTRATO: 0216/25 - SO. PLACA: XXX-9999, MOTORISTA: JOEL FLORENCO DE SOUZA</t>
  </si>
  <si>
    <t>SALDO FRETE Nº 01888, CTE 63829, CONTRATO: 0216/25 - SO. PLACA: XXX-9999, MOTORISTA: JOEL FLORENCO DE SOUZA</t>
  </si>
  <si>
    <t>SALDO FRETE Nº 01889, CTE 63833, CONTRATO: 0216/25 - SO. PLACA: XXX-9999, MOTORISTA: JOEL FLORENCO DE SOUZA</t>
  </si>
  <si>
    <t>SALDO FRETE Nº 01890, CTE 63865, CONTRATO: 0216/25 - SO. PLACA: XXX-9999, MOTORISTA: JOEL FLORENCO DE SOUZA</t>
  </si>
  <si>
    <t>SALDO FRETE Nº 01894, CTE 63963 PARCIAL, CONTRATO: 0216/25 - SO. PLACA: XXX-9999, MOTORISTA: JOEL FLORENCO DE SOUZA</t>
  </si>
  <si>
    <t>SALDO FRETE Nº 01897, CTE 64015, CONTRATO: 0216/25 - SO. PLACA: XXX-9999, MOTORISTA: JOEL FLORENCO DE SOUZA</t>
  </si>
  <si>
    <t xml:space="preserve">COMISSÃO CORRETOR NF 202500000000014, CONTRATO VENDA: 0216/25 - SO. FATURA Nº 00795 REF. DOCUMENTOS: 01836, 01837, 01840, 01841, 01842, 01843, 01844, 01859, 01884, 01887, 01888, 01889, 01890, 01894, 01897, 01898, 01908, 01910, 01829, 01830, 01831, 01834, </t>
  </si>
  <si>
    <t>202500000000014</t>
  </si>
  <si>
    <t>CERTIDAO MATRICULA AQUISICAO AREA.</t>
  </si>
  <si>
    <t>ADTO FRETE Nº 01947, CTE 38588, CONTRATO: 0222/25 - AR. PLACA: QCA-1I82, MOTORISTA: JOAO PAULO MEDEIROS. EXTRATO RICARO PANCOTTE.</t>
  </si>
  <si>
    <t xml:space="preserve"> JOAO PAULO MEDEIROS</t>
  </si>
  <si>
    <t>01947</t>
  </si>
  <si>
    <t>SALDO FRETE Nº 01921, CTE 18940, CONTRATO: 0218/25 - SO. PLACA: XXX-9999, MOTORISTA: JOEL FLORENCO DE SOUZA</t>
  </si>
  <si>
    <t>HONORARIOS 05/2025. NF 1802. MAIS ALTERACAO CONTRATUAL.</t>
  </si>
  <si>
    <t>1802</t>
  </si>
  <si>
    <t>RELATORIO DE DESPESA_2 MAIO/2025.</t>
  </si>
  <si>
    <t>IR APLICACAO.</t>
  </si>
  <si>
    <t>ANTECIPACAO CONTRATO: 0225/25 - MP. NF 5835, 5922, 6052.</t>
  </si>
  <si>
    <t>NF 6712.</t>
  </si>
  <si>
    <t>6712</t>
  </si>
  <si>
    <t>ADTO FRETE Nº 01955, CTE 38638 NEROWILLIAN, CONTRATO: 0222/25 - AR. PLACA: OCM-0I34, MOTORISTA: FRANCISCO MARTINS SANTANA.</t>
  </si>
  <si>
    <t xml:space="preserve"> FRANCISCO MARTINS SANTANA</t>
  </si>
  <si>
    <t>01955</t>
  </si>
  <si>
    <t>IOF CAPITAL DE GIRO OPERAÇÃO 713.915.169 CONTA GARANTIDA.</t>
  </si>
  <si>
    <t>NF 202500000000004. HOSPEDAGEM SITE MM.</t>
  </si>
  <si>
    <t>202500000000004</t>
  </si>
  <si>
    <t>CTE 32567 PARCIAL. FATURA OC 01947, 01955.</t>
  </si>
  <si>
    <t>SALDO FRETE Nº 01947, CTE 38588 CONTRATO: . PLACA: QCA-1I82, MOTORISTA: JOAO PAULO MEDEIROS. EXTRATO RICARO PANCOTTE.</t>
  </si>
  <si>
    <t>SALDO FRETE Nº 01947, CTE 32567, CONTRATO: . PLACA: QCA-1I82, MOTORISTA: JOAO PAULO MEDEIROS. EXTRATO RICARO PANCOTTE.</t>
  </si>
  <si>
    <t>ADTO FRETE Nº 01962, CTE 32569 PARCIAL NEROELILLIAN, CONTRATO: . PLACA: QCA-1I82, MOTORISTA: JOAO PAULO MEDEIROS. EXTRATO Ricardo Pancotte</t>
  </si>
  <si>
    <t>01962</t>
  </si>
  <si>
    <t>CTE 32567 R$ 2212,69 PARCIAL. CTE 32568 R$ 787,31 PARCIAL.</t>
  </si>
  <si>
    <t>PARCELA PRIMEIRA (1/03) REFERENTE AO IMOVEL ADIQUIDO EM CONFRESA ÁREA: 6,1364ha. CONFORME INSTRUMENTO PARTICULAR DE COMPROMISSO DE VENDA E COMPRA DE IMÓVEL RURAL, NA FORMA ABAIXO DATADO 02/06/2025.</t>
  </si>
  <si>
    <t xml:space="preserve"> AFONSO DE OLIVEIRA CARVALHO</t>
  </si>
  <si>
    <t>SALDO FRETE Nº 01955, CTE 38638 NEROWILLIAN, CONTRATO: . PLACA: OCM-0I34, MOTORISTA: FRANCISCO MARTINS SANTANA</t>
  </si>
  <si>
    <t>SALDO FRETE Nº 01955, CTE 32568 NEROWILLIAN, CONTRATO: . PLACA: OCM-0I34, MOTORISTA: FRANCISCO MARTINS SANTANA</t>
  </si>
  <si>
    <t>INTERNET 05/2025.</t>
  </si>
  <si>
    <t>IAGRO CONTRATO: 0215/25 - SO 531,81 TONS, CARREGAMENTO  Nº 01909, CONTRATO: 0215/25 - SO. PLACA: XXX-9999, MOTORISTA: JOEL FLORENCO DE SOUZA</t>
  </si>
  <si>
    <t>FETHAB REF NF 7810, CARREGAMENTO  Nº 01938, CONTRATO: 0195/25 - SO. PLACA: XXX-9999, MOTORISTA: JOEL FLORENCO DE SOUZA</t>
  </si>
  <si>
    <t>FETHAB CONTRATO: 0215/25 - SO 531,81 TONS. FATURA Nº 00789 REF. DOCUMENTOS: 01908, 01910, 01911, 01918, 01921, 01920, 01937, 01915, 01916, 01917, 01923, 01924.</t>
  </si>
  <si>
    <t>IAGRO REF NF 7810, CARREGAMENTO  Nº 01938, CONTRATO: 0195/25 - SO. PLACA: XXX-9999, MOTORISTA: JOEL FLORENCO DE SOUZA</t>
  </si>
  <si>
    <t>FETHAB NF 1474 CONTRATO 0222/25 - AR 96,42 TONS</t>
  </si>
  <si>
    <t>CONTRIB ENTIDADE FEIJAO NF 1474 CONTRATO 0222/25 - AR 96,42 TONS</t>
  </si>
  <si>
    <t>MERCADORIA REF NF 405, CARREGAMENTO  Nº 01964, CONTRATO: 0227/25 - MV. PLACA: OBM-1C00, MOTORISTA: ADINEL CHAVES DE SANTANA</t>
  </si>
  <si>
    <t xml:space="preserve"> UNIAO COMERCIO LTDA</t>
  </si>
  <si>
    <t>01964</t>
  </si>
  <si>
    <t>SALDO FRETE Nº 01961, CTE 38645 NEROWILLIAN, CONTRATO: . PLACA: OBI-2068, MOTORISTA: LUIZ MARQUES DE OLIVEIRA</t>
  </si>
  <si>
    <t xml:space="preserve"> LUIZ MARQUES DE OLIVEIRA</t>
  </si>
  <si>
    <t>01961</t>
  </si>
  <si>
    <t>SALDO FRETE Nº 01962, CTE 32569 NEROWILLIAN, CONTRATO: . PLACA: QCA-1I82, MOTORISTA: JOAO PAULO MEDEIROS. EXTRATO Ricardo Pancotte.</t>
  </si>
  <si>
    <t>CTE 32568 PARCIAL.</t>
  </si>
  <si>
    <t>SALDO FRETE Nº 01961, CTE 32569 PARCIAL NEROWILLIAN, CONTRATO: . PLACA: OBI-2068, MOTORISTA: LUIZ MARQUES DE OLIVEIRA</t>
  </si>
  <si>
    <t>SALDO FRETE Nº 01962, CTE 32568 PARCIAL NEROWILLIAN, CONTRATO: . PLACA: QCA-1I82, MOTORISTA: JOAO PAULO MEDEIROS. EXTRATO Ricardo Pancotte</t>
  </si>
  <si>
    <t>SALDO FRETE Nº 01962, CTE 32590 PARCIAL NEROWILLIAN, CONTRATO: . PLACA: QCA-1I82, MOTORISTA: JOAO PAULO MEDEIROS. EXTRATO Ricardo Pancotte.</t>
  </si>
  <si>
    <t>SALDO FRETE Nº 01962, CTE 32591 PARCIAL NEROWILLIAN, CONTRATO: . PLACA: QCA-1I82, MOTORISTA: JOAO PAULO MEDEIROS. EXTRATO Ricardo Pancotte.</t>
  </si>
  <si>
    <t>ADTO FRETE Nº 01961, CTE 32569 PARCIAL NEROWILLIAN, CONTRATO: . PLACA: OBI-2068, MOTORISTA: LUIZ MARQUES DE OLIVEIRA. EXTRATO MARCIA MORATELLI</t>
  </si>
  <si>
    <t>CTE 32568 PARCIAL NEROWILLIAN. OC 1963 E 1961</t>
  </si>
  <si>
    <t>SALDO FRETE Nº 01963, CTE 21027 WESLEY, CONTRATO: . PLACA: OBI-2068, MOTORISTA: LUIZ MARQUES DE OLIVEIRA</t>
  </si>
  <si>
    <t>01963</t>
  </si>
  <si>
    <t>CEDULA DE CREDITO BANCARIO NR 713.913.095. 16/24 PARCELAS PRIMEIRA 24/02/2024 ULTIMA 24/02/2026 VALOR PARCELA: R$ 54.166,67 . ENCARGO FINANCEIRO 1,33 % MES.</t>
  </si>
  <si>
    <t>16/24</t>
  </si>
  <si>
    <t>SALDO FRETE Nº 01963, CTE 32592 PARCIAL NEROWILIAN, CONTRATO: . PLACA: OBI-2068, MOTORISTA: LUIZ MARQUES DE OLIVEIRA</t>
  </si>
  <si>
    <t>CTE 32591 PARCIAL.</t>
  </si>
  <si>
    <t>SENAR REF NF 7810, CARREGAMENTO  Nº 01938, CONTRATO: 0195/25 - SO. PLACA: XXX-9999, MOTORISTA: JOEL FLORENCO DE SOUZA</t>
  </si>
  <si>
    <t>SENAR NF 1474 CONTRATO 0222/25 - AR 96,42 TONS</t>
  </si>
  <si>
    <t>SENAR NF 1474 CONTRATO 0222/25 - AR 96,42 TONS. (COMPENCOU)</t>
  </si>
  <si>
    <t>REFERENTE 05/2025. COMPECOU.</t>
  </si>
  <si>
    <t>ADTO FRETE Nº 01989, CTE 21243 WESLEY, CONTRATO: . PLACA: AGC-0G10, MOTORISTA: NATANAEL ROCHA</t>
  </si>
  <si>
    <t xml:space="preserve"> NATANAEL ROCHA</t>
  </si>
  <si>
    <t>01989</t>
  </si>
  <si>
    <t>13215408</t>
  </si>
  <si>
    <t>ADTO FRETE Nº 01990, CTE 21263 WESLEY,  CONTRATO: . PLACA: NPK-0F28, MOTORISTA: MACIEL CAMPOS BORGES</t>
  </si>
  <si>
    <t xml:space="preserve"> MACIEL CAMPOS BORGES</t>
  </si>
  <si>
    <t>01990</t>
  </si>
  <si>
    <t>ADTO FRETE Nº 01990, CTE 32592 PARCIAL NEROWILLIAN,  CONTRATO: . PLACA: NPK-0F28, MOTORISTA: MACIEL CAMPOS BORGES</t>
  </si>
  <si>
    <t>SALDO FRETE Nº 01989, CTE 21243 WESLEY, CONTRATO: . PLACA: AGC-0G10, MOTORISTA: NATANAEL ROCHA</t>
  </si>
  <si>
    <t>SALDO FRETE Nº 01989, CTE 32592 PARCIAL NEROWILLIAN, CONTRATO: . PLACA: AGC-0G10, MOTORISTA: NATANAEL ROCHA</t>
  </si>
  <si>
    <t>COMPRA PARCELA Nº 01 Ref Documento nº 5009</t>
  </si>
  <si>
    <t xml:space="preserve"> BIG BAG BRASIL EMBALAGENS - EIRELI</t>
  </si>
  <si>
    <t>5009</t>
  </si>
  <si>
    <t>SALDO FRETE Nº 01891, CTE 22976, CONTRATO: 0216/25 - SO. PLACA: XXX-9999, MOTORISTA: JOEL FLORENCO DE SOUZA</t>
  </si>
  <si>
    <t>SALDO FRETE Nº 01898, CTE 22975, CONTRATO: 0216/25 - SO. PLACA: XXX-9999, MOTORISTA: JOEL FLORENCO DE SOUZA</t>
  </si>
  <si>
    <t>SALDO FRETE Nº 01907, CTE 22974, CONTRATO: 0216/25 - SO. PLACA: XXX-9999, MOTORISTA: JOEL FLORENCO DE SOUZA</t>
  </si>
  <si>
    <t>ANTECIPACAO CONTRATO: 0225/25 - MP. NF 6052.</t>
  </si>
  <si>
    <t>RELATORIO DESPESAS 06/2025.</t>
  </si>
  <si>
    <t>DEVOLUCAO DA ANTECIPADO DO CONTRATO DE COMPRA E VENDA NUMERO 0039/2025. (BELA CEREAIS X MM COMERCIO). CESSAO DE CREDITO PAGAMETO PARA WILLIANRICARDO CHOPTIAN.</t>
  </si>
  <si>
    <t>0039/2025</t>
  </si>
  <si>
    <t>HONORARIOS 06/2025. NF 1827.</t>
  </si>
  <si>
    <t>1827</t>
  </si>
  <si>
    <t>SALDO FRETE Nº 01990, CTE 32593 PARCIAL NEROWILLIAN, CONTRATO: . PLACA: NPK-0F28, MOTORISTA: MACIEL CAMPOS BORGES</t>
  </si>
  <si>
    <t>CTE 32592 PARCIAL NEROWILLIAN. FATURA Nº 00811 REF. DOCUMENTOS: 01962, 01990, 01988, 01989, 01965.</t>
  </si>
  <si>
    <t>FATURA 00811</t>
  </si>
  <si>
    <t>NF 6853.</t>
  </si>
  <si>
    <t>6853</t>
  </si>
  <si>
    <t>IOF CAPITAL DE GIRO OPERAÇÃO 713.915.169 CONTA GARANTIDA. JUROS 1,83%.</t>
  </si>
  <si>
    <t>CTE 32593 PARCIAL</t>
  </si>
  <si>
    <t>COMISSÃO CORRETOR JONAS, CTE 32593 PARCIAL NEROWILLIAN, CARREGAMENTO Nº 01964, CONTRATO COMPRA: 0227/25 - MV. PLACA: OBM-1C00, MOTORISTA: ADINEL CHAVES DE SANTANA.</t>
  </si>
  <si>
    <t>FETHAB NF 5835, 5922, 6052, 6204. CONTRATO: 0225/25 - MP. 548,85 TONS</t>
  </si>
  <si>
    <t>FETHAB NF 1513 CONTRATO 0222/25 - AR 209,4 TONS</t>
  </si>
  <si>
    <t>SALDO FRETE Nº 01988, CTE 21199 WESLEY, CONTRATO: . PLACA: OBM-1C00, MOTORISTA: ADINEL CHAVES DE SANTANA. EXTRATO SILVIO CESAR VERDELIO</t>
  </si>
  <si>
    <t xml:space="preserve"> ADINEL CHAVES DE SANTANA</t>
  </si>
  <si>
    <t>01988</t>
  </si>
  <si>
    <t>CONTRIB ENTIDADE FEIJAO NF 1513 CONTRATO 0222/25 - AR 209,4 TONS</t>
  </si>
  <si>
    <t>SALDO FRETE, CTE 21272 WESLEY, CARREGAMENTO Nº 01964, CONTRATO COMPRA: 0227/25 - MV. PLACA: OBM-1C00, MOTORISTA: ADINEL CHAVES DE SANTANA. EXTRATO SILVIO CESAR VERDELIO.</t>
  </si>
  <si>
    <t>SALDO FRETE Nº 01988, CTE 32594 NEROWILLIAN, CONTRATO: . PLACA: OBM-1C00, MOTORISTA: ADINEL CHAVES DE SANTANA. EXTRATO SILVIO CESAR VERDELIO</t>
  </si>
  <si>
    <t>INTERNET 06/2025.</t>
  </si>
  <si>
    <t>CONTRIB ENTIDADE FEIJAO NF 5835, 5922, 6052, 6204. CONTRATO: 0225/25 - MP. 548,85 TONS</t>
  </si>
  <si>
    <t>CTE 7600296. EXTRATO ROBERTO MARTINS SANTANA.</t>
  </si>
  <si>
    <t xml:space="preserve"> OTI BRASIL TRANSPORTES LTDA</t>
  </si>
  <si>
    <t>072025</t>
  </si>
  <si>
    <t>BAIXAR CTE 32593 PARCIAL NEROWILIAN. CLASSIFICACAO CONTRATO 0214/25 - SO 1.200 TONS. FATURA Nº 00786 REF. DOCUMENTOS: 01836, 01837, 01840, 01841, 01842, 01843, 01844, 01859, 01884, 01829, 01830, 01831, 01834, 01835, 01838, 01839, 01857, 01855, 01856, 0186</t>
  </si>
  <si>
    <t>NF 202500000000010. HOSPEDAGEM SITE MM.</t>
  </si>
  <si>
    <t>202500000000010</t>
  </si>
  <si>
    <t>COMPRA PARCELA Nº 01 Ref Documento nº 5042</t>
  </si>
  <si>
    <t>5042</t>
  </si>
  <si>
    <t>REFERENTE 07/2025.</t>
  </si>
  <si>
    <t>CTE 32594 PARCIAL</t>
  </si>
  <si>
    <t>CEDULA DE CREDITO BANCARIO NR 713.913.095. 17/24 PARCELAS PRIMEIRA 24/02/2024 ULTIMA 24/02/2026 VALOR PARCELA: R$ 54.166,67 . ENCARGO FINANCEIRO 1,33 % MES.</t>
  </si>
  <si>
    <t>17/24</t>
  </si>
  <si>
    <t>FUNRURAL NF 5835, 5922, 6052, 6204. CONTRATO: 0225/25 - MP. 548,85 TONS</t>
  </si>
  <si>
    <t>SENAR NF 1513 CONTRATO 0222/25 - AR 209,4 TONS</t>
  </si>
  <si>
    <t>REFERENTE 06/2025. INSS + IR JUROS SOCIO.</t>
  </si>
  <si>
    <t>DEVOLUCAO DA ANTECIPACAO DO CONTRATO DE COMPRA E VENDA NUMERO 0039/2025. (BELA CEREAIS X MM COMERCIO).</t>
  </si>
  <si>
    <t>COMISSÃO CORRETOR, NF 202500000000065, CONTRATO COMPRA: 0179/24 - SO. FATURA Nº 00840 REF. DOCUMENTOS: 01731, 01717, 01725, 01722, 01739, 01742, 01736, 01753, 01754, 01755, 01764, 01766, 01769, 01679, 01680, 01692, 01694, 01696, 01695, 01697, 01693, 01701</t>
  </si>
  <si>
    <t>CTE 35401 ROBERTO MARTINS SANTANA</t>
  </si>
  <si>
    <t xml:space="preserve"> CARVALIMA TRANSPORTES LTDA</t>
  </si>
  <si>
    <t>35401</t>
  </si>
  <si>
    <t>CSSL e IRPJ 2º TRIMESTRE 2025.</t>
  </si>
  <si>
    <t>HONORARIOS 07/2025. NF 1850.</t>
  </si>
  <si>
    <t>1850</t>
  </si>
  <si>
    <t>13622837</t>
  </si>
  <si>
    <t>COMISSÃO CORRETOR, CONTRATO COMPRA: 0197/25 - SO. FATURA Nº 00835 REF. DOCUMENTOS: 01641, 01639, 01640, 01643, 01644, 01645, 01646, 01648, 01647, 01642, 01673, 01670, 01671, 01674, 01672, 01649, 01650. CONFORME ACERTO PLAN 2025_Fechamento_final_25072025 A</t>
  </si>
  <si>
    <t>COMISSÃO CORRETOR, CONTRATO COMPRA: 0175/24 - SO. FATURA Nº 00836 REF. DOCUMENTOS: 01699, 01778, 01779, 01804, 01805, 01758, 01698, 01759, 01715, 01775, 01714, 01768, 01710, 01782. CONFORME ACERTO PLAN 2025_Fechamento_final_25072025 ARQUIVDO D:\Rede_SM\Ag</t>
  </si>
  <si>
    <t>COMISSÃO CORRETOR, CONTRATO COMPRA: 0189/24 - SO. FATURA Nº 00837 REF. DOCUMENTOS: 01802, 01816, 01824, 01820, 01828, 01852. CONFORME ACERTO PLAN 2025_Fechamento_final_25072025 ARQUIVDO D:\Rede_SM\Agro_Xingu\2025</t>
  </si>
  <si>
    <t>COMISSÃO CORRETOR, CONTRATO COMPRA: 0200/25 - SO. FATURA Nº 00838 REF. DOCUMENTOS: 01677, 01675. CONFORME ACERTO PLAN 2025_Fechamento_final_25072025 ARQUIVDO D:\Rede_SM\Agro_Xingu\2025</t>
  </si>
  <si>
    <t>COMISSÃO CORRETOR, CONTRATO COMPRA: 0195/25 - SO. FATURA Nº 00839 REF. DOCUMENTOS: 01652, 01653, 01656, 01658, 01659, 01666, 01669, 01663, 01654, 01655, 01657, 01660, 01661, 01651, 01662, 01664, 01665, 01667, 01668, 01938. CONFORME ACERTO PLAN 2025_Fecham</t>
  </si>
  <si>
    <t>COMISSÃO CORRETOR, CONTRATO COMPRA: 0214/25 - SO. FATURA Nº 00841 REF. DOCUMENTOS: 01836, 01837, 01840, 01841, 01842, 01843, 01844, 01855, 01884, 01885, 01829, 01830, 01831, 01834, 01835, 01838, 01839, 01857, 01856, 01858, 01865, 01866, 01868, 01869, 0187</t>
  </si>
  <si>
    <t>COMISSÃO CORRETOR, CONTRATO COMPRA: 0215/25 - SO. FATURA Nº 00842 REF. DOCUMENTOS: 01887, 01888, 01889, 01890, 01897, 01898, 01908, 01909, 01917, 01886, 01891, 01892, 01894, 01901, 01904, 01905, 01906, 01907, 01910, 01911, 01915, 01916, 01918, 01921, 0192</t>
  </si>
  <si>
    <t>COMISSÃO CORRETOR, CONTRATO COMPRA: 0177/24 - SO. FATURA Nº 00843 REF. DOCUMENTOS: 01682, 01691, 01688, 01744, 01748, 01750, 01708, 01770, 01772, 01707, 01706, 01773, 01771, 01685, 01690, 01689, 01687, 01684, 01686, 01681, 01683, 01743, 01745, 01746, 0174</t>
  </si>
  <si>
    <t>COMISSÃO CORRETOR, CONTRATO COMPRA: 0179/24 - SO. FATURA Nº 00840 REF. DOCUMENTOS: 01731, 01717, 01725, 01722, 01739, 01742, 01736, 01753, 01754, 01755, 01764, 01766, 01769, 01679, 01680, 01692, 01694, 01696, 01695, 01697, 01693, 01701, 01700, 01718, 0170</t>
  </si>
  <si>
    <t>IR JUROS MUTUO SOCIO.</t>
  </si>
  <si>
    <t>NF 6990</t>
  </si>
  <si>
    <t>6990</t>
  </si>
  <si>
    <t>INTERNET 07/2025.</t>
  </si>
  <si>
    <t>COMPRA PARCELA Nº 01 Ref Documento nº 4445. BENEFICIAMENTO FEIJAO CAUPI CONTRATO 0222/25 - AR</t>
  </si>
  <si>
    <t xml:space="preserve"> VARGAS INDUSTRIA E COMERCIO DE ALIMENTOS LTDA</t>
  </si>
  <si>
    <t>4445</t>
  </si>
  <si>
    <t>COMPRA PARCELA Nº 01 Ref Documento nº 4445. BENEFICIAMENTO FEIJAO CAUPI CONTRATO 0222/25 - AR. ABATEU COM COMPRA DE RESIDUO CONTRATO 0229/25 - FC OC 2028.</t>
  </si>
  <si>
    <t>COMPRA PARCELA Nº 01 Ref Documento nº 9971</t>
  </si>
  <si>
    <t xml:space="preserve"> S. K. TAKAHARA   H. T. TAKAHARA LTDA</t>
  </si>
  <si>
    <t>9971</t>
  </si>
  <si>
    <t>NF 202500000000016.</t>
  </si>
  <si>
    <t>202500000000016</t>
  </si>
  <si>
    <t>CTE 32595 PARCIAL</t>
  </si>
  <si>
    <t>CEDULA DE CREDITO BANCARIO NR 713.913.095. 18/24 PARCELAS PRIMEIRA 24/02/2024 ULTIMA 24/02/2026 VALOR PARCELA: R$ 54.166,67 . ENCARGO FINANCEIRO 1,33 % MES.</t>
  </si>
  <si>
    <t>18/24</t>
  </si>
  <si>
    <t>13990860</t>
  </si>
  <si>
    <t>NF 329. HONORARIOS ADVOCATICIOS CONTRATO SILVIO 0177-24 SO X AGRICOLA ALVORADA.</t>
  </si>
  <si>
    <t xml:space="preserve"> CRISTIANO ZAULI SOCIEDADE INDIVIDUAL DE ADVOCACIA</t>
  </si>
  <si>
    <t>329</t>
  </si>
  <si>
    <t>MERCADORIA REF NF 55319, CARREGAMENTO  Nº 02052, CONTRATO: 0232/25 - CS. PLACA: XXX-9999, MOTORISTA: JOEL FLORENCO DE SOUZA</t>
  </si>
  <si>
    <t xml:space="preserve"> TRES TENTOS AGROINDUSTRIAL S/A</t>
  </si>
  <si>
    <t>HONORARIOS 08/2025. NF 1872.</t>
  </si>
  <si>
    <t>1872</t>
  </si>
  <si>
    <t>NF 462 ANALISE FEIJAO</t>
  </si>
  <si>
    <t xml:space="preserve"> PLANT ANALYSIS LABORATORIO E PESQUISA AGRICOLA LTDA</t>
  </si>
  <si>
    <t>462</t>
  </si>
  <si>
    <t>MERCADORIA REF NF 55628, CARREGAMENTO  Nº 02053, CONTRATO: 0232/25 - CS. PLACA: XXX-9999, MOTORISTA: JOEL FLORENCO DE SOUZA</t>
  </si>
  <si>
    <t>NF 7135</t>
  </si>
  <si>
    <t>7135</t>
  </si>
  <si>
    <t>MERCADORIA REF NF 55934, CARREGAMENTO  Nº 02054, CONTRATO: 0232/25 - CS. PLACA: XXX-9999, MOTORISTA: JOEL FLORENCO DE SOUZA</t>
  </si>
  <si>
    <t>MERCADORIA REF NF 55940, CARREGAMENTO  Nº 02055, CONTRATO: 0232/25 - CS. PLACA: XXX-9999, MOTORISTA: JOEL FLORENCO DE SOUZA</t>
  </si>
  <si>
    <t>CUSTAS PROCESSUAS MARIA JULA. PROCESSO SOB Nº. 1002113-41.2023.8.11.0059 COMARCA RIBEIRAO CASCALHEIRA. CONTRATO 0070/22 - SO. PENHORA DE BENS.</t>
  </si>
  <si>
    <t xml:space="preserve"> PODER JUDICIÁRIO DO ESTADO DE MATO GROSSO</t>
  </si>
  <si>
    <t>INTERNET 08/2025.</t>
  </si>
  <si>
    <t>NF 39792</t>
  </si>
  <si>
    <t>39792</t>
  </si>
  <si>
    <t>ANTECIPACAO CONTRATO 0233/25 - CA</t>
  </si>
  <si>
    <t>NF 202500000000023.</t>
  </si>
  <si>
    <t>202500000000023</t>
  </si>
  <si>
    <t>CTE 32594.</t>
  </si>
  <si>
    <t>ANTECIPACAO CONTRATO 0230/25 - SO</t>
  </si>
  <si>
    <t>NF 202500000025781.</t>
  </si>
  <si>
    <t xml:space="preserve"> SYNGULARID TECNOLOGIA LTDA</t>
  </si>
  <si>
    <t>CEDULA DE CREDITO BANCARIO NR 713.913.095. 19/24 PARCELAS PRIMEIRA 24/02/2024 ULTIMA 24/02/2026 VALOR PARCELA: R$ 54.166,67 . ENCARGO FINANCEIRO 1,33 % MES.</t>
  </si>
  <si>
    <t>19/24</t>
  </si>
  <si>
    <t>CUSTAS DE REGISTRO PROTOCOLO AC011604371 CPR 0001/2025 SILVIO VERDELIO.</t>
  </si>
  <si>
    <t>ANTECIPACAO CONTRATO 0235/25 - SO. nf 1178, 1179, 1180, 1181, 1182 parcial.</t>
  </si>
  <si>
    <t>MERCADORIA REF NF 1182 PARCIAL, CARREGAMENTO  Nº 02091, CONTRATO: 0235/25 - SO. PLACA: XXX-9999, MOTORISTA: JOEL FLORENCO DE SOUZA</t>
  </si>
  <si>
    <t>MERCADORIA REF NF 1183, CARREGAMENTO  Nº 02093, CONTRATO: 0235/25 - SO. PLACA: XXX-9999, MOTORISTA: JOEL FLORENCO DE SOUZA</t>
  </si>
  <si>
    <t>MERCADORIA REF NF 1184, CARREGAMENTO  Nº 02095, CONTRATO: 0235/25 - SO. PLACA: XXX-9999, MOTORISTA: JOEL FLORENCO DE SOUZA</t>
  </si>
  <si>
    <t>MERCADORIA RF NF 1185,CARREGAMENTO  Nº 02098, CONTRATO: 0235/25 - SO. PLACA: XXX-9999, MOTORISTA: JOEL FLORENCO DE SOUZA</t>
  </si>
  <si>
    <t>MERCADORIA REF NF 1186, CARREGAMENTO  Nº 02100, CONTRATO: 0235/25 - SO. PLACA: XXX-9999, MOTORISTA: JOEL FLORENCO DE SOUZA</t>
  </si>
  <si>
    <t>MERCADORIA REF NF 1187, CARREGAMENTO  Nº 02102, CONTRATO: 0235/25 - SO. PLACA: XXX-9999, MOTORISTA: JOEL FLORENCO DE SOUZA</t>
  </si>
  <si>
    <t>MERCADORIA REF NF 1188, CARREGAMENTO  Nº 02104, CONTRATO: 0235/25 - SO. PLACA: XXX-9999, MOTORISTA: JOEL FLORENCO DE SOUZA. NOTA DE DEVOLUCAO 1537 DEVOLVIDO 50 KG.</t>
  </si>
  <si>
    <t>14294176</t>
  </si>
  <si>
    <t>HONORARIOS 09/2025. NF 1898.</t>
  </si>
  <si>
    <t>1898</t>
  </si>
  <si>
    <t>NF 7285</t>
  </si>
  <si>
    <t>7285</t>
  </si>
  <si>
    <t>FETHAB CONTRATO: 0235/25 - SO 480 TONS. FATURA Nº 00869 REF. DOCUMENTOS: 02091, 02093, 02095, 02098, 02100, 02102, 02104.</t>
  </si>
  <si>
    <t>IAGRO CONTRATO: 0235/25 - SO 480 TONS. FATURA Nº 00869 REF. DOCUMENTOS: 02091, 02093, 02095, 02098, 02100, 02102, 02104.</t>
  </si>
  <si>
    <t>INTERNET 09/2025.</t>
  </si>
  <si>
    <t>MERCADORIA REF NF 1191, CARREGAMENTO  Nº 02131, CONTRATO: 0237/25 - SO. PLACA: XXX-9999, MOTORISTA: JOEL FLORENCO DE SOUZA</t>
  </si>
  <si>
    <t>MERCADORIA REF NF 1192 PARCIAL, CARREGAMENTO  Nº 02132, CONTRATO: 0237/25 - SO. PLACA: XXX-9999, MOTORISTA: JOEL FLORENCO DE SOUZA</t>
  </si>
  <si>
    <t>MERCADORIA REF NF 1193, CARREGAMENTO  Nº 02133, CONTRATO: 0237/25 - SO. PLACA: XXX-9999, MOTORISTA: JOEL FLORENCO DE SOUZA</t>
  </si>
  <si>
    <t>MERCADORIA REF NF 1196, CARREGAMENTO  Nº 02135, CONTRATO: 0237/25 - SO. PLACA: XXX-9999, MOTORISTA: JOEL FLORENCO DE SOUZA</t>
  </si>
  <si>
    <t>MERCADORIA REF NF  1197, CARREGAMENTO  Nº 02136, CONTRATO: 0237/25 - SO. PLACA: XXX-9999, MOTORISTA: JOEL FLORENCO DE SOUZA</t>
  </si>
  <si>
    <t>MERCADORIA REF NF 1198, CARREGAMENTO  Nº 02137, CONTRATO: 0237/25 - SO. PLACA: XXX-9999, MOTORISTA: JOEL FLORENCO DE SOUZA</t>
  </si>
  <si>
    <t xml:space="preserve"> NF 202500000000032.</t>
  </si>
  <si>
    <t>202500000000032</t>
  </si>
  <si>
    <t>CTE 32595.</t>
  </si>
  <si>
    <t>COMISSAO CONTRATO VENDA: 0231/25 - CS. FATURA Nº 00876 REF. DOCUMENTOS: 02052, 02053, 02054. EXTRATO JOEL FLORENCO DE SOUZA.
CONTABILIDADE BAIXAR DO MUTUO SOCIO.</t>
  </si>
  <si>
    <t>MERCADORIA REF NF1201, CARREGAMENTO  Nº 02138, CONTRATO: 0237/25 - SO. PLACA: XXX-9999, MOTORISTA: JOEL FLORENCO DE SOUZA</t>
  </si>
  <si>
    <t>MERCADORIA REF NF 1202, CARREGAMENTO  Nº 02139, CONTRATO: 0237/25 - SO. PLACA: XXX-9999, MOTORISTA: JOEL FLORENCO DE SOUZA</t>
  </si>
  <si>
    <t>MERCADORIA REF NF 1203,  CARREGAMENTO  Nº 02142, CONTRATO: 0237/25 - SO. PLACA: XXX-9999, MOTORISTA: JOEL FLORENCO DE SOUZA</t>
  </si>
  <si>
    <t>MERCADORIA REF NF 1204, CARREGAMENTO  Nº 02145, CONTRATO: 0237/25 - SO. PLACA: XXX-9999, MOTORISTA: JOEL FLORENCO DE SOUZA</t>
  </si>
  <si>
    <t>MERCADORIA EF NF 1206, CARREGAMENTO  Nº 02147, CONTRATO: 0237/25 - SO. PLACA: XXX-9999, MOTORISTA: JOEL FLORENCO DE SOUZA</t>
  </si>
  <si>
    <t>MERCADORIA REF NF 1205, CARREGAMENTO  Nº 02146, CONTRATO: 0237/25 - SO. PLACA: XXX-9999, MOTORISTA: JOEL FLORENCO DE SOUZA</t>
  </si>
  <si>
    <t>CEDULA DE CREDITO BANCARIO NR 713.913.095. 20/24 PARCELAS PRIMEIRA 24/02/2024 ULTIMA 24/02/2026 VALOR PARCELA: R$ 54.166,67 . ENCARGO FINANCEIRO 1,33 % MES.</t>
  </si>
  <si>
    <t>20/24</t>
  </si>
  <si>
    <t>SENAR CONTRATO: 0235/25 - SO 480 TONS. FATURA Nº 00869 REF. DOCUMENTOS: 02091, 02093, 02095, 02098, 02100, 02102, 02104.</t>
  </si>
  <si>
    <t>HONORARIOS 10/2025. NF 1935</t>
  </si>
  <si>
    <t>1935</t>
  </si>
  <si>
    <t>CSSL e IRPJ 3º TRIMESTRE 2025.</t>
  </si>
  <si>
    <t>NF 7436</t>
  </si>
  <si>
    <t>7436</t>
  </si>
  <si>
    <t>INTERNET 10/2025.</t>
  </si>
  <si>
    <t>CTE 37461</t>
  </si>
  <si>
    <t>NF 202500000000036.</t>
  </si>
  <si>
    <t>202500000000036</t>
  </si>
  <si>
    <t>FETHAB CONTRATO: 0237/25 - SO. 492,94 TONS. FATURA Nº 00892 REF. DOCUMENTOS: 02135, 02136, 02137, 02139, 02145, 02142, 02133, 02138, 02147, 02146.</t>
  </si>
  <si>
    <t>FATURA 00892</t>
  </si>
  <si>
    <t>IAGRO CONTRATO: 0237/25 - SO. 492,94 TONS. FATURA Nº 00892 REF. DOCUMENTOS: 02135, 02136, 02137, 02139, 02145, 02142, 02133, 02138, 02147, 02146.</t>
  </si>
  <si>
    <t>CEDULA DE CREDITO BANCARIO NR 713.913.095. 21/24 PARCELAS PRIMEIRA 24/02/2024 ULTIMA 24/02/2026 VALOR PARCELA: R$ 54.166,67 . ENCARGO FINANCEIRO 1,33 % MES.</t>
  </si>
  <si>
    <t>21/24</t>
  </si>
  <si>
    <t>ANTECIPACAO CONTRATO 0225/25 - MP. NF 6052.</t>
  </si>
  <si>
    <t>SENAR CONTRATO 0233/25 - CA. NF 1175, 1176, 1180, 1194, 1201.</t>
  </si>
  <si>
    <t>MERCADORIA CARREGAMENTO  Nº 01914, CONTRATO: 0221/25 - SO. PLACA: XXX-9999, MOTORISTA: JOEL FLORENCO DE SOUZA. VOLUME A MAIS DA CESSAO DE CREDITO CONTRATO 4600067483/2025 AGRICOLA ALVORADA E SIVIO VERDELIO.</t>
  </si>
  <si>
    <t>CONTRATO CONTRATO: 0225/25 - MP. NF 6052, 6204.</t>
  </si>
  <si>
    <t>CONTRATO CONTRATO: 0225/25 - MP. NF 6204.</t>
  </si>
  <si>
    <t>SENAR / FETHAB REF NF 5835, CARREGAMENTO  Nº 01950 E 01952, CONTRATO: 0225/25 - MP. PLACA: LWH-9454, MOTORISTA: JOAO ATALIBIO SOARES - PLACA: JCR-4E60, MOTORISTA: JURANDIR OLIVEIRA RODRIGUES. FATURA Nº 00796 REF. DOCUMENTOS: 01950, 01952.</t>
  </si>
  <si>
    <t>14660401</t>
  </si>
  <si>
    <t>15061724</t>
  </si>
  <si>
    <t>SALDO FRETE Nº 01663, CTE 56023, CONTRATO: 0199/25 - SO. PLACA: XXX-9999, MOTORISTA: JOEL FLORENCO DE SOUZA</t>
  </si>
  <si>
    <t>SALDO FRETE Nº 01664, CTE 56039, CONTRATO: 0199/25 - SO. PLACA: XXX-9999, MOTORISTA: JOEL FLORENCO DE SOUZA</t>
  </si>
  <si>
    <t>SALDO FRETE Nº 01666, CTE 56111, CONTRATO: 0199/25 - SO. PLACA: XXX-9999, MOTORISTA: JOEL FLORENCO DE SOUZA</t>
  </si>
  <si>
    <t>SALDO FRETE Nº 01661, CTE 55987, CONTRATO: 0199/25 - SO. PLACA: XXX-9999, MOTORISTA: JOEL FLORENCO DE SOUZA</t>
  </si>
  <si>
    <t>HONORARIOS 11/2025. NF 1935</t>
  </si>
  <si>
    <t>1947</t>
  </si>
  <si>
    <t>NF 7588.</t>
  </si>
  <si>
    <t>7588</t>
  </si>
  <si>
    <t>INTERNET 11/2025.</t>
  </si>
  <si>
    <t>BAIXAR MUTIO</t>
  </si>
  <si>
    <t>PARCELA PRIMEIRA (2/03) REFERENTE AO IMOVEL ADIQUIDO EM CONFRESA ÁREA: 6,1364ha. CONFORME INSTRUMENTO PARTICULAR DE COMPROMISSO DE VENDA E COMPRA DE IMÓVEL RURAL, NA FORMA ABAIXO DATADO 02/06/2025. EXTRATO Anderson P Cordeiro.</t>
  </si>
  <si>
    <t>NF 202500000000044.</t>
  </si>
  <si>
    <t>202500000000044</t>
  </si>
  <si>
    <t>COSORCIO</t>
  </si>
  <si>
    <t>NF 1975. BONUS.</t>
  </si>
  <si>
    <t>1975</t>
  </si>
  <si>
    <t>CTE 37461 PARCIAL</t>
  </si>
  <si>
    <t>CEDULA DE CREDITO BANCARIO NR 713.913.095. 22/24 PARCELAS PRIMEIRA 24/02/2024 ULTIMA 24/02/2026 VALOR PARCELA: R$ 54.166,67 . ENCARGO FINANCEIRO 1,33 % MES.</t>
  </si>
  <si>
    <t>22/24</t>
  </si>
  <si>
    <t>SENAR CONTRATO 0233/25 - CA. NF 1205, 1212, 1216, 1219, 1226, 1227, 1229, 1230, 1231.</t>
  </si>
  <si>
    <t>15300617</t>
  </si>
  <si>
    <t>HONORARIOS 12/2025. NF 1974.</t>
  </si>
  <si>
    <t>1974</t>
  </si>
  <si>
    <t>NF 7732.</t>
  </si>
  <si>
    <t>7732</t>
  </si>
  <si>
    <t>INTERNET 12/2025.</t>
  </si>
  <si>
    <t>NF 202600000000003.</t>
  </si>
  <si>
    <t>202600000000003</t>
  </si>
  <si>
    <t>CTE 32596 PARCIAL.</t>
  </si>
  <si>
    <t>ANTECIPACAO CONTRATO COMPRA 0241/26 - SO. NF 255.</t>
  </si>
  <si>
    <t xml:space="preserve"> ANDREY GUSTAVO GALLO</t>
  </si>
  <si>
    <t>CEDULA DE CREDITO BANCARIO NR 713.913.095. 23/24 PARCELAS PRIMEIRA 24/02/2024 ULTIMA 24/02/2026 VALOR PARCELA: R$ 54.166,67 . ENCARGO FINANCEIRO 1,33 % MES.</t>
  </si>
  <si>
    <t>23/24</t>
  </si>
  <si>
    <t>ANTECIPACAO CONTRATO COMPRA 0243/26 - SO. NF 4576.</t>
  </si>
  <si>
    <t>REFERENTE 01/2026.</t>
  </si>
  <si>
    <t>ANTECIPACAO CONTRATO DE COMPRA 0441/26 - SO (MM 0244/26 - SO). NF 256 E 298</t>
  </si>
  <si>
    <t>MERCADORIA REF NF 381,  CARREGAMENTO Nº 02226, CONTRATO: 0246/26 - SO. PLACA: XXX-9999, MOTORISTA: JOEL FLORENCO DE SOUZA</t>
  </si>
  <si>
    <t>ANTECIPACAO CONTRATO 0247/26 - SO. NF 4611.</t>
  </si>
  <si>
    <t>MERCADORIA REF NF 388, CARREGAMENTO Nº 02229, CONTRATO: 0246/26 - SO.</t>
  </si>
  <si>
    <t>MERCADORIA REF NF 386 PARCIAL, CARREGAMENTO Nº 02230 e 02242, CONTRATO: 0250/26 - SO.</t>
  </si>
  <si>
    <t>HONORARIOS CONTABEIS 01/2026.</t>
  </si>
  <si>
    <t>2005</t>
  </si>
  <si>
    <t>CSSL e IRPJ 4º TRIMESTRE 2025.</t>
  </si>
  <si>
    <t>MERCADORIA REF NF 386 PARCIAL, CARREGAMENTO Nº , CONTRATO: 0250/26 - SO.</t>
  </si>
  <si>
    <t>COMPRA DE MERCADORIA NF REF 394. CONTRATO: 0251/26 - SO. FATURA Nº 00922 REF. DOCUMENTOS: 02243, 02244, 02245.</t>
  </si>
  <si>
    <t>RELATORIO DE DESPESAS JAN/2026.</t>
  </si>
  <si>
    <t>NF 63</t>
  </si>
  <si>
    <t>63</t>
  </si>
  <si>
    <t>INTERNET 01/2026.</t>
  </si>
  <si>
    <t>132980</t>
  </si>
  <si>
    <t>FETHAB CONTRATO COMPRA 0246/26 - SO. NF 381 E 388. FATURA Nº 00921 REF. DOCUMENTOS: 0246/26 - SO, 02226.</t>
  </si>
  <si>
    <t>FETHAB CONTRATO COMPRA: 0250/26 - SO.</t>
  </si>
  <si>
    <t>FETHAB CONTRATO COMPRA: 0251/26 - SO. FATURA Nº 00922 REF. DOCUMENTOS: 02243, 02244, 02245.</t>
  </si>
  <si>
    <t>FETHAB CONTRATO COMPRA 0243/26 - SO</t>
  </si>
  <si>
    <t>FETHAB CONTRATO CONPRA 0247/26 - SO</t>
  </si>
  <si>
    <t>FETHAB CONTRATO DE COMPRA 0441/26 - SO (MM 0244/26 - SO)</t>
  </si>
  <si>
    <t>FETHAB CONTRATO DE COMPRA 0230/25 - SO</t>
  </si>
  <si>
    <t>FETHAB CONTRATO DE COMPRA 0241/26 - SO</t>
  </si>
  <si>
    <t>15841307</t>
  </si>
  <si>
    <t>16246586</t>
  </si>
  <si>
    <t>NF 13 - REF 02/2026</t>
  </si>
  <si>
    <t>13</t>
  </si>
  <si>
    <t>CEDULA DE CREDITO BANCARIO NR 713.913.095. 24 PARCELAS PRIMEIRA 24/02/2024 ULTIMA 24/02/2026 VALOR PARCELA: R$ 54.166,67. ENCARGO FINANCEIRO 1,33 % MES.</t>
  </si>
  <si>
    <t>24/24</t>
  </si>
  <si>
    <t>TAXA ALVARA CORPO DE BOMBEIROS RENOVACAO CERTIFICADO.</t>
  </si>
  <si>
    <t>SENAR CONTRATO COMPRA 0246/26 - SO NF 381, 386, 388, 394. FATURA Nº 00925 REF. DOCUMENTOS: 0250/26 - SO, 0251/26 - SO, 0246/26 - SO.</t>
  </si>
  <si>
    <t>SENAR CONTRATO CONTRATO: 0230/25 - SO.</t>
  </si>
  <si>
    <t>SENAR CONTRATO COMPRA 0244/26 - SO</t>
  </si>
  <si>
    <t>SENAR CONTRATO CONTRATO: 0247/26 - SO.</t>
  </si>
  <si>
    <t>HONORARIOS CONTABEIS 02/2026.</t>
  </si>
  <si>
    <t>2030</t>
  </si>
  <si>
    <t>NF 145</t>
  </si>
  <si>
    <t>145</t>
  </si>
  <si>
    <t>NF 202500000000001 PARCIAL</t>
  </si>
  <si>
    <t>INTERNET 02/2026.</t>
  </si>
  <si>
    <t>IAGRO CONTRATO DE COMPRA 0230/25 - SO</t>
  </si>
  <si>
    <t>NF 18 - REF 03/2026</t>
  </si>
  <si>
    <t>18</t>
  </si>
  <si>
    <t>16498702</t>
  </si>
  <si>
    <t>NF 9 ARMAZEMANENTO FEIJAO MUNGO VERDE - CONTRATO COMPRA 0227/25 - MV.</t>
  </si>
  <si>
    <t xml:space="preserve"> AGRO-SEMEAR COMERCIO DE PRODUTOS AGRICOLAS LTDA</t>
  </si>
  <si>
    <t>ANTECIPACAO CONTRATO 0262/26 - SO. PAGAMENTO BELA CONTA DA BELA CONTRATO DE EMPRESTIMO 0047/26 BELA X MM.</t>
  </si>
  <si>
    <t>MERCADORIA REF NF 4791. CONTRATO COMPRA 0262/26 - SO.</t>
  </si>
  <si>
    <t>RECEBIMENTO REF AO VOLUME DE 7.739 KG NAO ENTREGUE CONTRATO COMPRA 0247/26 - SO. RECEBIDO VIA CESSAO DE CREDITO BELA CEREAIS.</t>
  </si>
  <si>
    <t>NF 2702. EXTRATO VINDI PAGAMENTOS</t>
  </si>
  <si>
    <t>2702</t>
  </si>
  <si>
    <t>CTE 32597 PARCIAL.</t>
  </si>
  <si>
    <t>SENAR CONTRATO 0230/25 - SO NF 7098.</t>
  </si>
  <si>
    <t>TAXA ALVARA 2026</t>
  </si>
  <si>
    <t>HONORARIOS CONTABEIS 03/2026.</t>
  </si>
  <si>
    <t>2049</t>
  </si>
  <si>
    <t>RELATORIO DE DESPESAS MARCO/2026.</t>
  </si>
  <si>
    <t>NF 200</t>
  </si>
  <si>
    <t>200</t>
  </si>
  <si>
    <t>DEVOLUCAO DA ANTECIPACAO DO CONTRATO DE COMPRA E VENDA NUMERO 0044/2026. (BELA CEREAIS X MM COMERCIO).</t>
  </si>
  <si>
    <t>FETHAB REF NF 4791. CONTRATO COMPRA 0262/26 - SO.</t>
  </si>
  <si>
    <t>IAGRO REF NF 4791. CONTRATO COMPRA 0262/26 - SO.</t>
  </si>
  <si>
    <t xml:space="preserve">COMISSÃO CORRETOR, NF 2600000000023, CONTRATO COMPRA: 0262/26 - SO. FATURA Nº 00938 REF. DOCUMENTOS: 02358, 02359, 02360, 02361, 02362, 02369, 02370, 02371, 02372, 02373, 02389, 02394, 02395, 02357, 02363, 02364, 02365, 02366, 02367, 02368, 02374, 02375, </t>
  </si>
  <si>
    <t>COMISSÃO CORRETOR, NF 2600000000023, CONTRATO COMPRA: 0244/26 - SO. FATURA Nº 00939 REF. DOCUMENTOS: 02227, 02228, 02225, 02231, 02232.</t>
  </si>
  <si>
    <t>COMISSÃO CORRETOR, NF 2600000000023, CONTRATO COMPRA: 0247/26 - SO. FATURA Nº 00940 REF. DOCUMENTOS: 02239, 02240, 02241, 02250, 02251.</t>
  </si>
  <si>
    <t>COMISSÃO CORRETOR, NF 2600000000023, CONTRATO COMPRA: 0241/26 - SO. FATURA Nº 00941 REF. DOCUMENTOS: 02235, 02236, 02233.</t>
  </si>
  <si>
    <t>SERVICO SONDAGEM DE SOLO</t>
  </si>
  <si>
    <t xml:space="preserve"> SMART SOLUCOES INTEGRADAS DE ENGENHARIA LTDA</t>
  </si>
  <si>
    <t>202600000000015</t>
  </si>
  <si>
    <t>ADIANTAMENTO A FORDECEDOR - SACARIA EM RAFIA - ORCAMENTO 5261 (ANTECIPACAO 50%).</t>
  </si>
  <si>
    <t>00024</t>
  </si>
  <si>
    <t>NF 26 - REF 04/2026</t>
  </si>
  <si>
    <t>MERCADORIA REF NF 70, CARREGAMENTO  Nº 02425 / 02427 / 02428, CONTRATO: 0279/26 - SO. PLACA: XXX-9999, MOTORISTA: JOEL FLORENCO DE SOUZA. FATURA Nº 00943 REF. DOCUMENTOS: 02427, 02425, 02428.</t>
  </si>
  <si>
    <t>0279/26 - SO</t>
  </si>
  <si>
    <t>SENAR REF NF 4791. CONTRATO COMPRA 0262/26 - SO.</t>
  </si>
  <si>
    <t>CANCELAMENTO NF 1694.</t>
  </si>
  <si>
    <t>MERCADORIA REF NF 70 E 71 PARCIAL, CARREGAMENTO  Nº 02425 / 02427 / 02428, CONTRATO: 0279/26 - SO. PLACA: XXX-9999, MOTORISTA: JOEL FLORENCO DE SOUZA. FATURA Nº 00943 REF. DOCUMENTOS: 02427, 02425, 02428.</t>
  </si>
  <si>
    <t>MERCADORIA REF NF 69, CARREGAMENTO  Nº 02422, 02424, 02426, CONTRATO: 0278/26 - SO. PLACA: XXX-9999, MOTORISTA: JOEL FLORENCO DE SOUZA. FATURA Nº 00944 REF. DOCUMENTOS: 02422, 02424, 02426. CESSAO DE CREDITO PARA PAGAMENTO BELA CEREAIS.</t>
  </si>
  <si>
    <t>0278/26 - SO</t>
  </si>
  <si>
    <t>MERCADORIA REF NF 71 PARCIAL, CARREGAMENTO  Nº 02430, CONTRATO: 0281/26 - SO. PLACA: XXX-9999, MOTORISTA: JOEL FLORENCO DE SOUZA</t>
  </si>
  <si>
    <t>02430</t>
  </si>
  <si>
    <t>16793295</t>
  </si>
  <si>
    <t>ADIANTAMENTO A FORNECEDOR - SACARIA EM RAFIA - ORCAMENTO 5261 (50% FINAL) + FRETE.</t>
  </si>
  <si>
    <t>00025</t>
  </si>
  <si>
    <t>HONORARIOS CONTABEIS 04/2026.</t>
  </si>
  <si>
    <t>2092</t>
  </si>
  <si>
    <t>RELATORIO DE DESPESAS ABRIL/2026.</t>
  </si>
  <si>
    <t>IRPJ 1º TRIMESTRE 2026.</t>
  </si>
  <si>
    <t>CSLL 1º TRIMESTRE 2026.</t>
  </si>
  <si>
    <t>PARCELA PRIMEIRA (3/03) REFERENTE AO IMOVEL ADIQUIDO EM CONFRESA ÁREA: 6,1364ha. CONFORME INSTRUMENTO PARTICULAR DE COMPROMISSO DE VENDA E COMPRA DE IMÓVEL RURAL, NA FORMA ABAIXO DATADO 02/06/2025. EXTRATO Anderson P Cordeiro.</t>
  </si>
  <si>
    <t>NF 7.098 PARCIAL. CESSAO DE CREDITO PARA PAGAMENTO BELA CEREAL (AJUSTE CONTRATO BELA  0439/26 - SO).</t>
  </si>
  <si>
    <t>0372/26 - MV</t>
  </si>
  <si>
    <t>0478/26 - SO</t>
  </si>
  <si>
    <t>HENRIQUE BELOTI</t>
  </si>
  <si>
    <t>0272/26 - MV</t>
  </si>
  <si>
    <t>0275/26 - MV</t>
  </si>
  <si>
    <t>INGO ROBERTO DETTKE</t>
  </si>
  <si>
    <t>0276/26 - MV</t>
  </si>
  <si>
    <t>0268/26 - MV</t>
  </si>
  <si>
    <t>0280/26 - SO</t>
  </si>
  <si>
    <t>0281/26 - SO</t>
  </si>
  <si>
    <t>Outros</t>
  </si>
  <si>
    <t>0483/26 - SO</t>
  </si>
  <si>
    <t>0482/26 - SO</t>
  </si>
  <si>
    <t>MANUTECAO EQUIPAMENTO INFORMATICA</t>
  </si>
  <si>
    <t>05/2026</t>
  </si>
  <si>
    <t>Cashback com pontos</t>
  </si>
  <si>
    <t>RECEBIMENTO ANTECIPADO DO CONTRATO DE COMPRA E VENDA NUMERO 0045/2026. (BELA CEREAIS X MM COMERCIO).</t>
  </si>
  <si>
    <t>0045/2026</t>
  </si>
  <si>
    <t>MERCADORIA REF NF 2098, CARREGAMENTO Nº 02431, CONTRATO: 0483/26 - SO. PLACA: XXX-9999, MOTORISTA: JOEL FLORENCO DE SOUZA</t>
  </si>
  <si>
    <t>02431</t>
  </si>
  <si>
    <t>MERCADORIA REF NF 2100, CARREGAMENTO Nº 02433, CONTRATO: 0483/26 - SO. PLACA: XXX-9999, MOTORISTA: JOEL FLORENCO DE SOUZA</t>
  </si>
  <si>
    <t>02433</t>
  </si>
  <si>
    <t>MERCADORIA REF NF 2099, CARREGAMENTO Nº 02432, CONTRATO: 0483/26 - SO. PLACA: XXX-9999, MOTORISTA: JOEL FLORENCO DE SOUZA</t>
  </si>
  <si>
    <t>02432</t>
  </si>
  <si>
    <t>MERCADORIA REF NF 2101, CARREGAMENTO Nº 02434, CONTRATO: 0483/26 - SO. PLACA: XXX-9999, MOTORISTA: JOEL FLORENCO DE SOUZA</t>
  </si>
  <si>
    <t>02434</t>
  </si>
  <si>
    <t>MERCADORIA REF NF 2102, CARREGAMENTO Nº 02435, CONTRATO: 0483/26 - SO. PLACA: XXX-9999, MOTORISTA: JOEL FLORENCO DE SOUZA</t>
  </si>
  <si>
    <t>02435</t>
  </si>
  <si>
    <t>MERCADORIA REF NF 2103, CARREGAMENTO Nº 02436, CONTRATO: 0483/26 - SO. PLACA: XXX-9999, MOTORISTA: JOEL FLORENCO DE SOUZA</t>
  </si>
  <si>
    <t>02436</t>
  </si>
  <si>
    <t>MERCADORIA REF NF 2105, CARREGAMENTO Nº 02437, CONTRATO: 0483/26 - SO. PLACA: XXX-9999, MOTORISTA: JOEL FLORENCO DE SOUZA</t>
  </si>
  <si>
    <t>02437</t>
  </si>
  <si>
    <t>MERCADORIA REF NF 2106, CARREGAMENTO Nº 02438, CONTRATO: 0483/26 - SO. PLACA: XXX-9999, MOTORISTA: JOEL FLORENCO DE SOUZA</t>
  </si>
  <si>
    <t>02438</t>
  </si>
  <si>
    <t>MERCADORIA REF NF 2107, CARREGAMENTO Nº 02439, CONTRATO: 0483/26 - SO. PLACA: XXX-9999, MOTORISTA: JOEL FLORENCO DE SOUZA</t>
  </si>
  <si>
    <t>02439</t>
  </si>
  <si>
    <t>MERCADORIA REF NF 2108, CARREGAMENTO Nº 02440, CONTRATO: 0483/26 - SO. PLACA: XXX-9999, MOTORISTA: JOEL FLORENCO DE SOUZA</t>
  </si>
  <si>
    <t>02440</t>
  </si>
  <si>
    <t>MERCADORIA REF NF 2109, CARREGAMENTO Nº 02441, CONTRATO: 0483/26 - SO. PLACA: XXX-9999, MOTORISTA: JOEL FLORENCO DE SOUZA</t>
  </si>
  <si>
    <t>02441</t>
  </si>
  <si>
    <t>MERCADORIA REF NF 2110, CARREGAMENTO Nº 02442, CONTRATO: 0483/26 - SO. PLACA: XXX-9999, MOTORISTA: JOEL FLORENCO DE SOUZA</t>
  </si>
  <si>
    <t>02442</t>
  </si>
  <si>
    <t>MERCADORIA REF NF 2111, CARREGAMENTO Nº 02443, CONTRATO: 0483/26 - SO. PLACA: XXX-9999, MOTORISTA: JOEL FLORENCO DE SOUZA</t>
  </si>
  <si>
    <t>02443</t>
  </si>
  <si>
    <t>MERCADORIA REF NF 2112, CARREGAMENTO Nº 02444, CONTRATO: 0483/26 - SO. PLACA: XXX-9999, MOTORISTA: JOEL FLORENCO DE SOUZA</t>
  </si>
  <si>
    <t>02444</t>
  </si>
  <si>
    <t>MERCADORIA REF NF 2113, CARREGAMENTO Nº 02445, CONTRATO: 0483/26 - SO. PLACA: XXX-9999, MOTORISTA: JOEL FLORENCO DE SOUZA</t>
  </si>
  <si>
    <t>02445</t>
  </si>
  <si>
    <t>MERCADORIA REF NF 2114, CARREGAMENTO Nº 02446, CONTRATO: 0483/26 - SO. PLACA: XXX-9999, MOTORISTA: JOEL FLORENCO DE SOUZA</t>
  </si>
  <si>
    <t>02446</t>
  </si>
  <si>
    <t>MERCADORIA REF NF 2116, CARREGAMENTO Nº 02448, CONTRATO: 0483/26 - SO. PLACA: XXX-9999, MOTORISTA: JOEL FLORENCO DE SOUZA</t>
  </si>
  <si>
    <t>02448</t>
  </si>
  <si>
    <t>MERCADORIA REF NF 2115, CARREGAMENTO Nº 02447, CONTRATO: 0483/26 - SO. PLACA: XXX-9999, MOTORISTA: JOEL FLORENCO DE SOUZA</t>
  </si>
  <si>
    <t>02447</t>
  </si>
  <si>
    <t>MERCADORIA REF NF 2117, CARREGAMENTO Nº 02449, CONTRATO: 0483/26 - SO. PLACA: XXX-9999, MOTORISTA: JOEL FLORENCO DE SOUZA</t>
  </si>
  <si>
    <t>02449</t>
  </si>
  <si>
    <t>MERCADORIA REF NF 2126, CARREGAMENTO Nº 02458, CONTRATO: 0483/26 - SO. PLACA: XXX-9999, MOTORISTA: JOEL FLORENCO DE SOUZA</t>
  </si>
  <si>
    <t>02458</t>
  </si>
  <si>
    <t>MERCADORIA REF NF 2125, CARREGAMENTO Nº 02457, CONTRATO: 0483/26 - SO. PLACA: XXX-9999, MOTORISTA: JOEL FLORENCO DE SOUZA</t>
  </si>
  <si>
    <t>02457</t>
  </si>
  <si>
    <t>MERCADORIA REF NF 2124, CARREGAMENTO Nº 02456, CONTRATO: 0483/26 - SO. PLACA: XXX-9999, MOTORISTA: JOEL FLORENCO DE SOUZA</t>
  </si>
  <si>
    <t>02456</t>
  </si>
  <si>
    <t>MERCADORIA REF NF 2123, CARREGAMENTO Nº 02455, CONTRATO: 0483/26 - SO. PLACA: XXX-9999, MOTORISTA: JOEL FLORENCO DE SOUZA</t>
  </si>
  <si>
    <t>02455</t>
  </si>
  <si>
    <t>MERCADORIA REF NF 2122, CARREGAMENTO Nº 02454, CONTRATO: 0483/26 - SO. PLACA: XXX-9999, MOTORISTA: JOEL FLORENCO DE SOUZA</t>
  </si>
  <si>
    <t>02454</t>
  </si>
  <si>
    <t>MERCADORIA REF NF 2121, CARREGAMENTO Nº 02453, CONTRATO: 0483/26 - SO. PLACA: XXX-9999, MOTORISTA: JOEL FLORENCO DE SOUZA</t>
  </si>
  <si>
    <t>02453</t>
  </si>
  <si>
    <t>MERCADORIA REF NF 2119, CARREGAMENTO Nº 02451, CONTRATO: 0483/26 - SO. PLACA: XXX-9999, MOTORISTA: JOEL FLORENCO DE SOUZA</t>
  </si>
  <si>
    <t>02451</t>
  </si>
  <si>
    <t>MERCADORIA REF NF 2120, CARREGAMENTO Nº 02450, CONTRATO: 0483/26 - SO. PLACA: XXX-9999, MOTORISTA: JOEL FLORENCO DE SOUZA</t>
  </si>
  <si>
    <t>02450</t>
  </si>
  <si>
    <t>MERCADORIA REF NF 2129, CARREGAMENTO Nº 02461, CONTRATO: 0483/26 - SO. PLACA: XXX-9999, MOTORISTA: JOEL FLORENCO DE SOUZA</t>
  </si>
  <si>
    <t>02461</t>
  </si>
  <si>
    <t>MERCADORIA REF NF 2130, CARREGAMENTO Nº 02462, CONTRATO: 0483/26 - SO. PLACA: XXX-9999, MOTORISTA: JOEL FLORENCO DE SOUZA</t>
  </si>
  <si>
    <t>02462</t>
  </si>
  <si>
    <t>MERCADORIA REF NF 2128, CARREGAMENTO Nº 02460, CONTRATO: 0483/26 - SO. PLACA: XXX-9999, MOTORISTA: JOEL FLORENCO DE SOUZA</t>
  </si>
  <si>
    <t>02460</t>
  </si>
  <si>
    <t>MERCADORIA REF NF 2127, CARREGAMENTO Nº 02459, CONTRATO: 0483/26 - SO. PLACA: XXX-9999, MOTORISTA: JOEL FLORENCO DE SOUZA</t>
  </si>
  <si>
    <t>02459</t>
  </si>
  <si>
    <t>MERCADORIA REF NF 2132, CARREGAMENTO Nº 02464, CONTRATO: 0483/26 - SO. PLACA: XXX-9999, MOTORISTA: JOEL FLORENCO DE SOUZA</t>
  </si>
  <si>
    <t>02464</t>
  </si>
  <si>
    <t>MERCADORIA REF NF 2131, CARREGAMENTO Nº 02463, CONTRATO: 0483/26 - SO. PLACA: XXX-9999, MOTORISTA: JOEL FLORENCO DE SOUZA</t>
  </si>
  <si>
    <t>02463</t>
  </si>
  <si>
    <t>MERCADORIA REF NF 2133, CARREGAMENTO Nº 02465, CONTRATO: 0483/26 - SO. PLACA: XXX-9999, MOTORISTA: JOEL FLORENCO DE SOUZA</t>
  </si>
  <si>
    <t>02465</t>
  </si>
  <si>
    <t>MERCADORIA REF NF 2136, CARREGAMENTO Nº 02468, CONTRATO: 0483/26 - SO. PLACA: XXX-9999, MOTORISTA: JOEL FLORENCO DE SOUZA</t>
  </si>
  <si>
    <t>02468</t>
  </si>
  <si>
    <t>MERCADORIA REF NF 2135, CARREGAMENTO Nº 02467, CONTRATO: 0483/26 - SO. PLACA: XXX-9999, MOTORISTA: JOEL FLORENCO DE SOUZA</t>
  </si>
  <si>
    <t>02467</t>
  </si>
  <si>
    <t>MERCADORIA REF NF 2134, CARREGAMENTO Nº 02466, CONTRATO: 0483/26 - SO. PLACA: XXX-9999, MOTORISTA: JOEL FLORENCO DE SOUZA</t>
  </si>
  <si>
    <t>02466</t>
  </si>
  <si>
    <t>MERCADORIA REF NF 2137, CARREGAMENTO Nº 02469, CONTRATO: 0483/26 - SO. PLACA: XXX-9999, MOTORISTA: JOEL FLORENCO DE SOUZA</t>
  </si>
  <si>
    <t>02469</t>
  </si>
  <si>
    <t>MERCADORIA REF NF 2138, CARREGAMENTO Nº 02470, CONTRATO: 0483/26 - SO. PLACA: XXX-9999, MOTORISTA: JOEL FLORENCO DE SOUZA</t>
  </si>
  <si>
    <t>02470</t>
  </si>
  <si>
    <t>MERCADORIA REF NF 2139, CARREGAMENTO Nº 02471, CONTRATO: 0483/26 - SO. PLACA: XXX-9999, MOTORISTA: JOEL FLORENCO DE SOUZA</t>
  </si>
  <si>
    <t>02471</t>
  </si>
  <si>
    <t>MERCADORIA REF NF 2140, CARREGAMENTO Nº 02472, CONTRATO: 0483/26 - SO. PLACA: XXX-9999, MOTORISTA: JOEL FLORENCO DE SOUZA</t>
  </si>
  <si>
    <t>02472</t>
  </si>
  <si>
    <t>MERCADORIA REF NF 2141, CARREGAMENTO Nº 02473, CONTRATO: 0483/26 - SO. PLACA: XXX-9999, MOTORISTA: JOEL FLORENCO DE SOUZA</t>
  </si>
  <si>
    <t>02473</t>
  </si>
  <si>
    <t>COMPRA PARCELA Nº 01 Ref Documento nº 7205</t>
  </si>
  <si>
    <t>7205</t>
  </si>
  <si>
    <t>COMPRA PARCELA Nº 01 Ref Documento nº 7211</t>
  </si>
  <si>
    <t>7211</t>
  </si>
  <si>
    <t>COMPRA PARCELA Nº 01 Ref Documento nº 17022</t>
  </si>
  <si>
    <t xml:space="preserve"> Comag Agroindustrial Ltda</t>
  </si>
  <si>
    <t>17022</t>
  </si>
  <si>
    <t>SALARIO 04/2026</t>
  </si>
  <si>
    <t>NF 294</t>
  </si>
  <si>
    <t>294</t>
  </si>
  <si>
    <t>FCO DAF 713.906.837 PARCELA 57/60.</t>
  </si>
  <si>
    <t>CAPITAL DE GIRO FCO CEDULA DE CREDITO BANCARIO NR 713.916.308. PARCELA 5/12. VALOR PARCELA: R$ 125.000,00. ENCARGO FINANCEIRO 1,47 % MES.</t>
  </si>
  <si>
    <t>INTERNET ESCRITORIO FATURA 2604927800125</t>
  </si>
  <si>
    <t>2604927800125</t>
  </si>
  <si>
    <t>NF 2026000004134 E 721008.</t>
  </si>
  <si>
    <t>721008</t>
  </si>
  <si>
    <t>NF 202600000000032. SERVICO DE SUPORTE TECNICO EM INFRAESTRUTURA DE TI.</t>
  </si>
  <si>
    <t>202600000000032</t>
  </si>
  <si>
    <t>REFERENTE 04/2026.</t>
  </si>
  <si>
    <t>TELEFONE 04/2026. Nº da conta:  149591054.</t>
  </si>
  <si>
    <t>ANTECIPACAO CONTRATO 0481/26 - MV.</t>
  </si>
  <si>
    <t>10/42</t>
  </si>
  <si>
    <t>REFERENTE 04/2026</t>
  </si>
  <si>
    <t>INSS FOLHA 04/2026</t>
  </si>
  <si>
    <t>NF 4044.</t>
  </si>
  <si>
    <t>4044</t>
  </si>
  <si>
    <t>ANTECIPACAO CONTRTO 0482/26 - SO. NF 310.</t>
  </si>
  <si>
    <t>REFERENTE MAIO/2026 - SALA 505 SUL</t>
  </si>
  <si>
    <t>REFERENTE MAIO/2026. BARRACAO.</t>
  </si>
  <si>
    <t>NF 2026000000055. SERVIÇOS DE ASSESSORIA E CONSULTORIA AMBIENTAL</t>
  </si>
  <si>
    <t xml:space="preserve"> MC CONSULTORIA AMBIENTAL LTDA</t>
  </si>
  <si>
    <t>2026000000055</t>
  </si>
  <si>
    <t>CERTIDAO USO SOLO TERRENO LUZIMANGUES</t>
  </si>
  <si>
    <t xml:space="preserve"> SEFAZ TO</t>
  </si>
  <si>
    <t>ANOTACAO RESP. TECNICA TERRENO LUZIMANGUES</t>
  </si>
  <si>
    <t xml:space="preserve"> CONSELHO REGIONAL DE ENGENHARIA E AGRONOMIA DO ESTADO DO TOCANTINS</t>
  </si>
  <si>
    <t>HONORARIOS 05/2026. NF 2107.</t>
  </si>
  <si>
    <t>2107</t>
  </si>
  <si>
    <t>REPARCELAMENTO REFIS. NUMERO DO PARCELAMENTO 11257711 ICMS. VALOR TOTAL R$ 338.571,58 32/60 PARCELAS.</t>
  </si>
  <si>
    <t>32/60</t>
  </si>
  <si>
    <t>NF 295</t>
  </si>
  <si>
    <t>295</t>
  </si>
  <si>
    <t>INTERNET 04/2026.</t>
  </si>
  <si>
    <t>NF 33 - REF 05/2026</t>
  </si>
  <si>
    <t>33</t>
  </si>
  <si>
    <t>CTE 32598 PARCIAL.</t>
  </si>
  <si>
    <t>REFERENTE 05/2026.</t>
  </si>
  <si>
    <t>PAGAMENTO ANTECIPADO CONTRATO CONTRA E VENDA 0045/26 (BELA X MM)</t>
  </si>
  <si>
    <t>0045/26</t>
  </si>
  <si>
    <t>CANCELAMENTO NOTA FISCAL</t>
  </si>
  <si>
    <t>HONORARIOS CONTABEIS 05/2026.</t>
  </si>
  <si>
    <t>2104</t>
  </si>
  <si>
    <t>MANUTENCAO  EQUIPAMENTOS INFORMATICA NF 2600000000051</t>
  </si>
  <si>
    <t xml:space="preserve"> BP LIMA TECNOLOGIA LTDA</t>
  </si>
  <si>
    <t>2600000000051</t>
  </si>
  <si>
    <t>ASSOCIACAO IBRAFE 3/12.</t>
  </si>
  <si>
    <t>IAGRO REF NF 68, CARREGAMENTO  Nº 02419, 02420, CONTRATO: 0480/26 - SO. FATURA Nº 00945 REF. DOCUMENTOS: 02419, 02420.</t>
  </si>
  <si>
    <t>FETHAB REF NF 68, CARREGAMENTO  Nº 02419, 02420, CONTRATO: 0480/26 - SO. FATURA Nº 00945 REF. DOCUMENTOS: 02419, 02420.</t>
  </si>
  <si>
    <t>SENAR REF NF 68, CARREGAMENTO  Nº 02419, 02420, CONTRATO: 0480/26 - SO. FATURA Nº 00945 REF. DOCUMENTOS: 02419, 02420.</t>
  </si>
  <si>
    <t>APOLICE 21.94.2025.0001911 REF 03/2026.</t>
  </si>
  <si>
    <t>CAPITAL DE GIRO CEDULA DE CREDITO BANCARIO NR 713.912.396. 28/30 PARCELAS PRIMEIRA 26/02/2024 ULTIMA 26/07/2026 VALOR PARCELA: R$ 33.666,57. ENCARGO FINANCEIRO 1,40 % MES. TAXA FLAT 0,50%.</t>
  </si>
  <si>
    <t>28/30</t>
  </si>
  <si>
    <t>CARTAO DE CREDITO. NF 282192 FRETEBRAS R$ 500,00. NF 4850 BIRKHAN</t>
  </si>
  <si>
    <t>FATURA DE MAIO/2026 SALA COMERCIAL 505 SUL</t>
  </si>
  <si>
    <t>IR S/ APLICACAO</t>
  </si>
  <si>
    <t>SENAR REF NF 69, CARREGAMENTO  Nº 02422, 02424, 02426, CONTRATO: 0278/26 - SO. PLACA: XXX-9999, MOTORISTA: JOEL FLORENCO DE SOUZA. FATURA Nº 00944 REF. DOCUMENTOS: 02422, 02424, 02426.</t>
  </si>
  <si>
    <t>FETHAB REF NF 69, CARREGAMENTO  Nº 02422, 02424, 02426, CONTRATO: 0278/26 - SO. PLACA: XXX-9999, MOTORISTA: JOEL FLORENCO DE SOUZA. FATURA Nº 00944 REF. DOCUMENTOS: 02422, 02424, 02426.</t>
  </si>
  <si>
    <t>FETHAB REF NF 70 E 71 PARCIAL, CARREGAMENTO  Nº 02425 / 02427 / 02428, CONTRATO: 0279/26 - SO. PLACA: XXX-9999, MOTORISTA: JOEL FLORENCO DE SOUZA. FATURA Nº 00943 REF. DOCUMENTOS: 02427, 02425, 02428.</t>
  </si>
  <si>
    <t>FETHAB REF NF 71 PARCIAL, CARREGAMENTO  Nº 02430, CONTRATO: 0281/26 - SO. PLACA: XXX-9999, MOTORISTA: JOEL FLORENCO DE SOUZA</t>
  </si>
  <si>
    <t>IAGRO REF NF 71 PARCIAL, CARREGAMENTO  Nº 02430, CONTRATO: 0281/26 - SO. PLACA: XXX-9999, MOTORISTA: JOEL FLORENCO DE SOUZA</t>
  </si>
  <si>
    <t>IAGRO REF NF 69, CARREGAMENTO  Nº 02422, 02424, 02426, CONTRATO: 0278/26 - SO. PLACA: XXX-9999, MOTORISTA: JOEL FLORENCO DE SOUZA. FATURA Nº 00944 REF. DOCUMENTOS: 02422, 02424, 02426.</t>
  </si>
  <si>
    <t>IAGRO REF NF 70 E 71 PARCIAL, CARREGAMENTO  Nº 02425 / 02427 / 02428, CONTRATO: 0279/26 - SO. PLACA: XXX-9999, MOTORISTA: JOEL FLORENCO DE SOUZA. FATURA Nº 00943 REF. DOCUMENTOS: 02427, 02425, 02428.</t>
  </si>
  <si>
    <t>MERCADORIA NF 121, CARREGAMENTO  Nº 02347, CONTRATO: 0255/26 - MP. PLACA: XXX-9999, MOTORISTA: JOEL FLORENCO DE SOUZA</t>
  </si>
  <si>
    <t>02347</t>
  </si>
  <si>
    <t>MERCADORIA REF NF 126, CARREGAMENTO  Nº 02415, CONTRATO: 0269/26 - FC. PLACA: IKY-0H92, MOTORISTA: NEURO CIVARDI</t>
  </si>
  <si>
    <t>02415</t>
  </si>
  <si>
    <t>MERCADORIA REF NF 127, CARREGAMENTO  Nº 02418, CONTRATO: 0275/26 - MV. PLACA: XXX-9999, MOTORISTA: JOEL FLORENCO DE SOUZA</t>
  </si>
  <si>
    <t>02418</t>
  </si>
  <si>
    <t>MERCADORIA REF NF 125, CARREGAMENTO  Nº 02421, CONTRATO: 0268/26 - MV. PLACA: IKY-0H92, MOTORISTA: NEURO CIVARDI</t>
  </si>
  <si>
    <t>02421</t>
  </si>
  <si>
    <t>SENAR REF NF 71 PARCIAL, CARREGAMENTO  Nº 02430, CONTRATO: 0281/26 - SO. PLACA: XXX-9999, MOTORISTA: JOEL FLORENCO DE SOUZA</t>
  </si>
  <si>
    <t>SENAR REF NF 70 E 71 PARCIAL, CARREGAMENTO  Nº 02425 / 02427 / 02428, CONTRATO: 0279/26 - SO. PLACA: XXX-9999, MOTORISTA: JOEL FLORENCO DE SOUZA. FATURA Nº 00943 REF. DOCUMENTOS: 02427, 02425, 02428.</t>
  </si>
  <si>
    <t>MERCADORIA REF NF 1689, CARREGAMENTO Nº 02422, CONTRATO: 0280/26 - SO. PLACA: XXX-9999, MOTORISTA: JOEL FLORENCO DE SOUZA</t>
  </si>
  <si>
    <t>02422</t>
  </si>
  <si>
    <t>MERCADORIA REF NF , CARREGAMENTO Nº 02424, CONTRATO: 0280/26 - SO. PLACA: XXX-9999, MOTORISTA: JOEL FLORENCO DE SOUZA</t>
  </si>
  <si>
    <t>02424</t>
  </si>
  <si>
    <t>MERCADORIA REF NF 1692, CARREGAMENTO Nº 02426, CONTRATO: 0280/26 - SO. PLACA: XXX-9999, MOTORISTA: JOEL FLORENCO DE SOUZA</t>
  </si>
  <si>
    <t>02426</t>
  </si>
  <si>
    <t>MERCADORIA REF NF 1692, CARREGAMENTO Nº 02425, CONTRATO: 0280/26 - SO. PLACA: XXX-9999, MOTORISTA: JOEL FLORENCO DE SOUZA</t>
  </si>
  <si>
    <t>02425</t>
  </si>
  <si>
    <t>MERCADORIA REF NF 1693, CARREGAMENTO Nº 02427, CONTRATO: 0280/26 - SO. PLACA: XXX-9999, MOTORISTA: JOEL FLORENCO DE SOUZA</t>
  </si>
  <si>
    <t>02427</t>
  </si>
  <si>
    <t>MERCADORIA REF NF 1695, CARREGAMENTO Nº 02428, CONTRATO: 0280/26 - SO. PLACA: XXX-9999, MOTORISTA: JOEL FLORENCO DE SOUZA</t>
  </si>
  <si>
    <t>02428</t>
  </si>
  <si>
    <t>MERCADORIA REF NF 1696 e 1697, CARREGAMENTO Nº 02430, CONTRATO: 0280/26 - SO. PLACA: XXX-9999, MOTORISTA: JOEL FLORENCO DE SOUZA</t>
  </si>
  <si>
    <t>QCM-7I13</t>
  </si>
  <si>
    <t>BCZ-9H95</t>
  </si>
  <si>
    <t>GAT-4401</t>
  </si>
  <si>
    <t>RAH-4J85</t>
  </si>
  <si>
    <t>BEB-4B05</t>
  </si>
  <si>
    <t>IPF-6F38</t>
  </si>
  <si>
    <t>JVT-5469</t>
  </si>
  <si>
    <t>MLX-4178</t>
  </si>
  <si>
    <t>NZB-5J49</t>
  </si>
  <si>
    <t>XXX-9999</t>
  </si>
  <si>
    <t>Data</t>
  </si>
  <si>
    <t>Peso</t>
  </si>
  <si>
    <t>1570/1585/1586/1587/1588/1589</t>
  </si>
  <si>
    <t>1580/1590/1591</t>
  </si>
  <si>
    <t>1581/1593/1594</t>
  </si>
  <si>
    <t>1578/1582/1583/1584</t>
  </si>
  <si>
    <t>/1599</t>
  </si>
  <si>
    <t>/1600</t>
  </si>
  <si>
    <t>/1601</t>
  </si>
  <si>
    <t>/1602</t>
  </si>
  <si>
    <t>/1603</t>
  </si>
  <si>
    <t>/1605</t>
  </si>
  <si>
    <t>/1606</t>
  </si>
  <si>
    <t>/1607</t>
  </si>
  <si>
    <t>/1608</t>
  </si>
  <si>
    <t>/1609</t>
  </si>
  <si>
    <t>/1614</t>
  </si>
  <si>
    <t>/1616</t>
  </si>
  <si>
    <t>/1617</t>
  </si>
  <si>
    <t>/1618</t>
  </si>
  <si>
    <t>/1619</t>
  </si>
  <si>
    <t>/1620</t>
  </si>
  <si>
    <t>/1622</t>
  </si>
  <si>
    <t>PKU-4A12</t>
  </si>
  <si>
    <t>BDQ-2E35</t>
  </si>
  <si>
    <t>IKY-0H92</t>
  </si>
  <si>
    <t>/2049</t>
  </si>
  <si>
    <t>GZV-0E42</t>
  </si>
  <si>
    <t>/2065</t>
  </si>
  <si>
    <t>GQO-4F51</t>
  </si>
  <si>
    <t>/2066</t>
  </si>
  <si>
    <t>MYB-2754</t>
  </si>
  <si>
    <t>KEW-3E10</t>
  </si>
  <si>
    <t>/2075</t>
  </si>
  <si>
    <t>LYT-4G70</t>
  </si>
  <si>
    <t>/2076</t>
  </si>
  <si>
    <t>AYV-9I65</t>
  </si>
  <si>
    <t>/2077</t>
  </si>
  <si>
    <t>CUC-8C06</t>
  </si>
  <si>
    <t>AMH-4G43</t>
  </si>
  <si>
    <t>IBB-5C68</t>
  </si>
  <si>
    <t>/1615</t>
  </si>
  <si>
    <t>/1621</t>
  </si>
  <si>
    <t>/1623</t>
  </si>
  <si>
    <t>/1628</t>
  </si>
  <si>
    <t>JYT-4A21</t>
  </si>
  <si>
    <t>1629/1632</t>
  </si>
  <si>
    <t>1630/1633</t>
  </si>
  <si>
    <t>Placa</t>
  </si>
  <si>
    <t>Nota Fiscal</t>
  </si>
  <si>
    <t>Frete</t>
  </si>
  <si>
    <t>Outros Gastos</t>
  </si>
  <si>
    <t>Lucro Contrato</t>
  </si>
  <si>
    <t>Valor Venda</t>
  </si>
  <si>
    <t>Valor Compra</t>
  </si>
  <si>
    <t>Num Carregamento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</si>
</sst>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%"/>
    <numFmt numFmtId="165" formatCode="mmmm"/>
    <numFmt numFmtId="166" formatCode="_(\$* #,##0.00_);_(\$* \(#,##0.00\);_(\$* \-??_);_(@_)"/>
    <numFmt numFmtId="167" formatCode="_-&quot;R$ &quot;* #,##0.00_-;&quot;-R$ &quot;* #,##0.00_-;_-&quot;R$ &quot;* \-??_-;_-@_-"/>
    <numFmt numFmtId="168" formatCode="_-[$R$-416]\ * #,##0.00_-;\-[$R$-416]\ * #,##0.00_-;_-[$R$-416]\ * &quot;-&quot;??_-;_-@_-"/>
    <numFmt numFmtId="169" formatCode="dd/mm/yy;@"/>
  </numFmts>
  <fonts count="41">
    <font>
      <sz val="11"/>
      <color theme="1"/>
      <name val="Aptos Narrow"/>
      <family val="2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2E7D32"/>
      <name val="Arial"/>
      <family val="2"/>
    </font>
    <font>
      <sz val="10"/>
      <color rgb="FF000000"/>
      <name val="Arial"/>
      <family val="2"/>
    </font>
    <font>
      <sz val="10"/>
      <color rgb="FF37474F"/>
      <name val="Arial"/>
      <family val="2"/>
    </font>
    <font>
      <b/>
      <sz val="10"/>
      <color rgb="FFC62828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12"/>
      <color rgb="FFFFFFFF"/>
      <name val="Arial"/>
      <family val="2"/>
    </font>
    <font>
      <sz val="10"/>
      <name val="Arial"/>
      <family val="2"/>
    </font>
    <font>
      <sz val="9"/>
      <color rgb="FF0000FF"/>
      <name val="Arial"/>
      <family val="2"/>
    </font>
    <font>
      <sz val="9"/>
      <color theme="1"/>
      <name val="Arial"/>
      <family val="2"/>
      <charset val="1"/>
    </font>
    <font>
      <b/>
      <sz val="10"/>
      <color theme="0"/>
      <name val="Arial"/>
      <family val="2"/>
      <charset val="1"/>
    </font>
    <font>
      <sz val="9"/>
      <color rgb="FF000000"/>
      <name val="Arial"/>
      <family val="2"/>
      <charset val="1"/>
    </font>
    <font>
      <b/>
      <sz val="11"/>
      <color theme="0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b/>
      <sz val="11"/>
      <color theme="5" tint="-0.249977111117893"/>
      <name val="Aptos Narrow"/>
      <family val="2"/>
      <charset val="1"/>
    </font>
    <font>
      <b/>
      <sz val="9"/>
      <color rgb="FFFFFFFF"/>
      <name val="Arial"/>
      <family val="2"/>
      <charset val="1"/>
    </font>
    <font>
      <b/>
      <sz val="9"/>
      <color rgb="FF0000FF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theme="0"/>
      <name val="Aptos Narrow"/>
      <family val="2"/>
    </font>
    <font>
      <b/>
      <sz val="12"/>
      <color rgb="FFFFFFFF"/>
      <name val="Arial"/>
      <family val="2"/>
    </font>
    <font>
      <sz val="9"/>
      <color rgb="FF0000FF"/>
      <name val="Arial"/>
      <family val="2"/>
    </font>
    <font>
      <sz val="9"/>
      <color rgb="FF000000"/>
      <name val="Calibri"/>
      <family val="2"/>
    </font>
    <font>
      <sz val="10"/>
      <name val="Calibri"/>
      <family val="2"/>
    </font>
    <font>
      <sz val="8"/>
      <name val="Aptos Narrow"/>
      <family val="2"/>
      <charset val="1"/>
    </font>
    <font>
      <sz val="9"/>
      <color theme="1"/>
      <name val="Calibri"/>
      <family val="2"/>
    </font>
    <font>
      <b/>
      <sz val="12"/>
      <color theme="0"/>
      <name val="Aptos Narrow"/>
      <family val="2"/>
    </font>
    <font>
      <b/>
      <sz val="11"/>
      <color theme="1"/>
      <name val="Aptos Narrow"/>
      <family val="2"/>
    </font>
    <font>
      <b/>
      <sz val="11"/>
      <name val="Arial"/>
      <family val="2"/>
    </font>
    <font>
      <b/>
      <sz val="10"/>
      <color theme="0"/>
      <name val="Arial"/>
    </font>
    <font>
      <b/>
      <sz val="11"/>
      <color theme="0"/>
      <name val="Arial"/>
    </font>
    <font>
      <b/>
      <sz val="11"/>
      <color theme="1"/>
      <name val="Aptos Narrow"/>
    </font>
    <font>
      <sz val="12"/>
      <color theme="1"/>
      <name val="Aptos Narrow"/>
    </font>
  </fonts>
  <fills count="25">
    <fill>
      <patternFill patternType="none"/>
    </fill>
    <fill>
      <patternFill patternType="gray125"/>
    </fill>
    <fill>
      <patternFill patternType="solid">
        <fgColor rgb="FF1E4620"/>
        <bgColor rgb="FF37474F"/>
      </patternFill>
    </fill>
    <fill>
      <patternFill patternType="solid">
        <fgColor rgb="FF37474F"/>
        <bgColor rgb="FF1E4620"/>
      </patternFill>
    </fill>
    <fill>
      <patternFill patternType="solid">
        <fgColor rgb="FF1565C0"/>
        <bgColor rgb="FF1976D2"/>
      </patternFill>
    </fill>
    <fill>
      <patternFill patternType="solid">
        <fgColor rgb="FF2E7D32"/>
        <bgColor rgb="FF196B24"/>
      </patternFill>
    </fill>
    <fill>
      <patternFill patternType="solid">
        <fgColor rgb="FFC8E6C9"/>
        <bgColor rgb="FFC2F1C8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2F2F2"/>
      </patternFill>
    </fill>
    <fill>
      <patternFill patternType="solid">
        <fgColor rgb="FFFFCDD2"/>
        <bgColor rgb="FFD9D9D9"/>
      </patternFill>
    </fill>
    <fill>
      <patternFill patternType="solid">
        <fgColor rgb="FFE3F2FD"/>
        <bgColor rgb="FFF2F2F2"/>
      </patternFill>
    </fill>
    <fill>
      <patternFill patternType="solid">
        <fgColor rgb="FF1976D2"/>
        <bgColor rgb="FF1565C0"/>
      </patternFill>
    </fill>
    <fill>
      <patternFill patternType="solid">
        <fgColor rgb="FFFFF9C4"/>
        <bgColor rgb="FFF5F5F5"/>
      </patternFill>
    </fill>
    <fill>
      <patternFill patternType="solid">
        <fgColor theme="5"/>
        <bgColor rgb="FFFF8080"/>
      </patternFill>
    </fill>
    <fill>
      <patternFill patternType="solid">
        <fgColor theme="6" tint="0.79979857783745845"/>
        <bgColor rgb="FFC8E6C9"/>
      </patternFill>
    </fill>
    <fill>
      <patternFill patternType="solid">
        <fgColor theme="0" tint="-4.9989318521683403E-2"/>
        <bgColor rgb="FFF5F5F5"/>
      </patternFill>
    </fill>
    <fill>
      <patternFill patternType="solid">
        <fgColor theme="5"/>
        <bgColor rgb="FF1976D2"/>
      </patternFill>
    </fill>
    <fill>
      <patternFill patternType="solid">
        <fgColor rgb="FF0070C0"/>
        <bgColor rgb="FF196B2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rgb="FFF5F5F5"/>
      </patternFill>
    </fill>
    <fill>
      <patternFill patternType="solid">
        <fgColor theme="6" tint="-0.499984740745262"/>
        <bgColor rgb="FF196B24"/>
      </patternFill>
    </fill>
    <fill>
      <patternFill patternType="solid">
        <fgColor rgb="FFFFFF00"/>
        <bgColor rgb="FFF5F5F5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166" fontId="13" fillId="0" borderId="0"/>
  </cellStyleXfs>
  <cellXfs count="147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3" fontId="4" fillId="6" borderId="2" xfId="0" applyNumberFormat="1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4" fontId="6" fillId="7" borderId="2" xfId="0" applyNumberFormat="1" applyFont="1" applyFill="1" applyBorder="1" applyAlignment="1">
      <alignment horizontal="center" vertical="center"/>
    </xf>
    <xf numFmtId="164" fontId="6" fillId="7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/>
    </xf>
    <xf numFmtId="4" fontId="6" fillId="8" borderId="2" xfId="0" applyNumberFormat="1" applyFont="1" applyFill="1" applyBorder="1" applyAlignment="1">
      <alignment horizontal="center" vertical="center"/>
    </xf>
    <xf numFmtId="164" fontId="6" fillId="8" borderId="2" xfId="0" applyNumberFormat="1" applyFont="1" applyFill="1" applyBorder="1" applyAlignment="1">
      <alignment horizontal="center" vertical="center"/>
    </xf>
    <xf numFmtId="4" fontId="4" fillId="6" borderId="2" xfId="0" applyNumberFormat="1" applyFont="1" applyFill="1" applyBorder="1" applyAlignment="1">
      <alignment horizontal="center" vertical="center"/>
    </xf>
    <xf numFmtId="4" fontId="0" fillId="7" borderId="2" xfId="0" applyNumberForma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  <xf numFmtId="4" fontId="7" fillId="9" borderId="2" xfId="0" applyNumberFormat="1" applyFont="1" applyFill="1" applyBorder="1" applyAlignment="1">
      <alignment horizontal="center" vertical="center"/>
    </xf>
    <xf numFmtId="164" fontId="7" fillId="9" borderId="2" xfId="0" applyNumberFormat="1" applyFont="1" applyFill="1" applyBorder="1" applyAlignment="1">
      <alignment horizontal="center" vertical="center"/>
    </xf>
    <xf numFmtId="3" fontId="6" fillId="7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left" vertical="center"/>
    </xf>
    <xf numFmtId="4" fontId="11" fillId="8" borderId="2" xfId="0" applyNumberFormat="1" applyFont="1" applyFill="1" applyBorder="1" applyAlignment="1">
      <alignment horizontal="center" vertical="center"/>
    </xf>
    <xf numFmtId="164" fontId="11" fillId="8" borderId="2" xfId="0" applyNumberFormat="1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center"/>
    </xf>
    <xf numFmtId="4" fontId="11" fillId="7" borderId="2" xfId="0" applyNumberFormat="1" applyFont="1" applyFill="1" applyBorder="1" applyAlignment="1">
      <alignment horizontal="center" vertical="center"/>
    </xf>
    <xf numFmtId="164" fontId="11" fillId="7" borderId="2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4" fontId="2" fillId="5" borderId="2" xfId="0" applyNumberFormat="1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 vertical="center"/>
    </xf>
    <xf numFmtId="165" fontId="0" fillId="0" borderId="0" xfId="0" applyNumberFormat="1"/>
    <xf numFmtId="4" fontId="9" fillId="5" borderId="3" xfId="0" applyNumberFormat="1" applyFont="1" applyFill="1" applyBorder="1" applyAlignment="1">
      <alignment horizontal="center" vertical="center"/>
    </xf>
    <xf numFmtId="165" fontId="9" fillId="5" borderId="4" xfId="0" applyNumberFormat="1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4" fontId="9" fillId="5" borderId="4" xfId="0" applyNumberFormat="1" applyFont="1" applyFill="1" applyBorder="1" applyAlignment="1">
      <alignment horizontal="center" vertical="center"/>
    </xf>
    <xf numFmtId="4" fontId="14" fillId="12" borderId="6" xfId="0" applyNumberFormat="1" applyFont="1" applyFill="1" applyBorder="1" applyAlignment="1">
      <alignment horizontal="center" vertical="center"/>
    </xf>
    <xf numFmtId="1" fontId="15" fillId="12" borderId="2" xfId="0" applyNumberFormat="1" applyFont="1" applyFill="1" applyBorder="1" applyAlignment="1">
      <alignment horizontal="center" vertical="center"/>
    </xf>
    <xf numFmtId="165" fontId="14" fillId="12" borderId="2" xfId="0" applyNumberFormat="1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4" fontId="14" fillId="12" borderId="2" xfId="0" applyNumberFormat="1" applyFont="1" applyFill="1" applyBorder="1" applyAlignment="1">
      <alignment horizontal="center" vertical="center"/>
    </xf>
    <xf numFmtId="3" fontId="14" fillId="12" borderId="2" xfId="0" applyNumberFormat="1" applyFont="1" applyFill="1" applyBorder="1" applyAlignment="1">
      <alignment horizontal="center" vertical="center"/>
    </xf>
    <xf numFmtId="4" fontId="14" fillId="12" borderId="1" xfId="0" applyNumberFormat="1" applyFont="1" applyFill="1" applyBorder="1" applyAlignment="1">
      <alignment horizontal="center" vertical="center"/>
    </xf>
    <xf numFmtId="0" fontId="0" fillId="0" borderId="2" xfId="0" applyFont="1" applyBorder="1"/>
    <xf numFmtId="167" fontId="19" fillId="0" borderId="2" xfId="1" applyNumberFormat="1" applyFont="1" applyBorder="1"/>
    <xf numFmtId="167" fontId="20" fillId="0" borderId="2" xfId="1" applyNumberFormat="1" applyFont="1" applyBorder="1"/>
    <xf numFmtId="0" fontId="21" fillId="14" borderId="2" xfId="0" applyFont="1" applyFill="1" applyBorder="1"/>
    <xf numFmtId="167" fontId="21" fillId="14" borderId="2" xfId="0" applyNumberFormat="1" applyFont="1" applyFill="1" applyBorder="1"/>
    <xf numFmtId="167" fontId="0" fillId="0" borderId="2" xfId="1" applyNumberFormat="1" applyFont="1" applyBorder="1"/>
    <xf numFmtId="0" fontId="22" fillId="13" borderId="2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left" vertical="center"/>
    </xf>
    <xf numFmtId="3" fontId="23" fillId="15" borderId="2" xfId="0" applyNumberFormat="1" applyFont="1" applyFill="1" applyBorder="1" applyAlignment="1">
      <alignment horizontal="center" vertical="center"/>
    </xf>
    <xf numFmtId="4" fontId="23" fillId="15" borderId="2" xfId="0" applyNumberFormat="1" applyFont="1" applyFill="1" applyBorder="1" applyAlignment="1">
      <alignment horizontal="center" vertical="center"/>
    </xf>
    <xf numFmtId="164" fontId="24" fillId="6" borderId="2" xfId="0" applyNumberFormat="1" applyFont="1" applyFill="1" applyBorder="1" applyAlignment="1">
      <alignment horizontal="center" vertical="center"/>
    </xf>
    <xf numFmtId="0" fontId="25" fillId="15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left" vertical="center"/>
    </xf>
    <xf numFmtId="164" fontId="24" fillId="15" borderId="2" xfId="0" applyNumberFormat="1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3" fontId="26" fillId="5" borderId="2" xfId="0" applyNumberFormat="1" applyFont="1" applyFill="1" applyBorder="1" applyAlignment="1">
      <alignment horizontal="center" vertical="center"/>
    </xf>
    <xf numFmtId="4" fontId="26" fillId="5" borderId="2" xfId="0" applyNumberFormat="1" applyFont="1" applyFill="1" applyBorder="1" applyAlignment="1">
      <alignment horizontal="center" vertical="center"/>
    </xf>
    <xf numFmtId="164" fontId="26" fillId="5" borderId="2" xfId="0" applyNumberFormat="1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164" fontId="11" fillId="10" borderId="2" xfId="0" applyNumberFormat="1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64" fontId="26" fillId="17" borderId="2" xfId="0" applyNumberFormat="1" applyFont="1" applyFill="1" applyBorder="1" applyAlignment="1">
      <alignment horizontal="center" vertical="center"/>
    </xf>
    <xf numFmtId="4" fontId="14" fillId="12" borderId="7" xfId="0" applyNumberFormat="1" applyFont="1" applyFill="1" applyBorder="1" applyAlignment="1">
      <alignment horizontal="center" vertical="center"/>
    </xf>
    <xf numFmtId="1" fontId="15" fillId="12" borderId="8" xfId="0" applyNumberFormat="1" applyFont="1" applyFill="1" applyBorder="1" applyAlignment="1">
      <alignment horizontal="center" vertical="center"/>
    </xf>
    <xf numFmtId="165" fontId="14" fillId="12" borderId="8" xfId="0" applyNumberFormat="1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/>
    </xf>
    <xf numFmtId="4" fontId="14" fillId="12" borderId="8" xfId="0" applyNumberFormat="1" applyFont="1" applyFill="1" applyBorder="1" applyAlignment="1">
      <alignment horizontal="center" vertical="center"/>
    </xf>
    <xf numFmtId="3" fontId="14" fillId="12" borderId="8" xfId="0" applyNumberFormat="1" applyFont="1" applyFill="1" applyBorder="1" applyAlignment="1">
      <alignment horizontal="center" vertical="center"/>
    </xf>
    <xf numFmtId="4" fontId="14" fillId="12" borderId="9" xfId="0" applyNumberFormat="1" applyFont="1" applyFill="1" applyBorder="1" applyAlignment="1">
      <alignment horizontal="center" vertical="center"/>
    </xf>
    <xf numFmtId="4" fontId="0" fillId="7" borderId="2" xfId="0" applyNumberFormat="1" applyFont="1" applyFill="1" applyBorder="1" applyAlignment="1">
      <alignment horizontal="center" vertical="center"/>
    </xf>
    <xf numFmtId="4" fontId="0" fillId="8" borderId="2" xfId="0" applyNumberFormat="1" applyFont="1" applyFill="1" applyBorder="1" applyAlignment="1">
      <alignment horizontal="center" vertical="center"/>
    </xf>
    <xf numFmtId="3" fontId="0" fillId="7" borderId="2" xfId="0" applyNumberFormat="1" applyFont="1" applyFill="1" applyBorder="1" applyAlignment="1">
      <alignment horizontal="center" vertical="center"/>
    </xf>
    <xf numFmtId="4" fontId="0" fillId="6" borderId="2" xfId="0" applyNumberFormat="1" applyFont="1" applyFill="1" applyBorder="1" applyAlignment="1">
      <alignment horizontal="center" vertical="center"/>
    </xf>
    <xf numFmtId="3" fontId="0" fillId="6" borderId="2" xfId="0" applyNumberFormat="1" applyFont="1" applyFill="1" applyBorder="1" applyAlignment="1">
      <alignment horizontal="center" vertical="center"/>
    </xf>
    <xf numFmtId="0" fontId="29" fillId="12" borderId="8" xfId="0" applyFont="1" applyFill="1" applyBorder="1" applyAlignment="1">
      <alignment horizontal="center" vertical="center"/>
    </xf>
    <xf numFmtId="0" fontId="29" fillId="12" borderId="2" xfId="0" applyFont="1" applyFill="1" applyBorder="1" applyAlignment="1">
      <alignment horizontal="center" vertical="center"/>
    </xf>
    <xf numFmtId="4" fontId="29" fillId="12" borderId="7" xfId="0" applyNumberFormat="1" applyFont="1" applyFill="1" applyBorder="1" applyAlignment="1">
      <alignment horizontal="center" vertical="center"/>
    </xf>
    <xf numFmtId="165" fontId="14" fillId="21" borderId="8" xfId="0" applyNumberFormat="1" applyFont="1" applyFill="1" applyBorder="1" applyAlignment="1">
      <alignment horizontal="center" vertical="center"/>
    </xf>
    <xf numFmtId="3" fontId="29" fillId="12" borderId="8" xfId="0" applyNumberFormat="1" applyFont="1" applyFill="1" applyBorder="1" applyAlignment="1">
      <alignment horizontal="center" vertical="center"/>
    </xf>
    <xf numFmtId="4" fontId="9" fillId="22" borderId="4" xfId="0" applyNumberFormat="1" applyFont="1" applyFill="1" applyBorder="1" applyAlignment="1">
      <alignment horizontal="center" vertical="center"/>
    </xf>
    <xf numFmtId="0" fontId="9" fillId="22" borderId="5" xfId="0" applyFont="1" applyFill="1" applyBorder="1" applyAlignment="1">
      <alignment horizontal="center" vertical="center"/>
    </xf>
    <xf numFmtId="14" fontId="0" fillId="0" borderId="0" xfId="0" applyNumberFormat="1"/>
    <xf numFmtId="0" fontId="34" fillId="18" borderId="0" xfId="0" applyFont="1" applyFill="1"/>
    <xf numFmtId="14" fontId="34" fillId="18" borderId="0" xfId="0" applyNumberFormat="1" applyFont="1" applyFill="1"/>
    <xf numFmtId="0" fontId="35" fillId="0" borderId="0" xfId="0" applyFont="1"/>
    <xf numFmtId="0" fontId="30" fillId="0" borderId="0" xfId="0" applyFont="1" applyFill="1" applyBorder="1" applyAlignment="1">
      <alignment horizontal="center" vertical="center"/>
    </xf>
    <xf numFmtId="1" fontId="30" fillId="0" borderId="0" xfId="0" applyNumberFormat="1" applyFont="1" applyFill="1" applyBorder="1" applyAlignment="1">
      <alignment horizontal="center" vertical="center"/>
    </xf>
    <xf numFmtId="165" fontId="30" fillId="0" borderId="0" xfId="0" applyNumberFormat="1" applyFont="1" applyFill="1" applyBorder="1" applyAlignment="1">
      <alignment horizontal="center" vertical="center"/>
    </xf>
    <xf numFmtId="0" fontId="33" fillId="0" borderId="0" xfId="0" applyFont="1" applyBorder="1" applyAlignment="1">
      <alignment horizontal="center"/>
    </xf>
    <xf numFmtId="168" fontId="31" fillId="0" borderId="0" xfId="1" applyNumberFormat="1" applyFont="1" applyFill="1" applyBorder="1" applyAlignment="1">
      <alignment horizontal="center"/>
    </xf>
    <xf numFmtId="4" fontId="14" fillId="23" borderId="8" xfId="0" applyNumberFormat="1" applyFont="1" applyFill="1" applyBorder="1" applyAlignment="1">
      <alignment horizontal="center" vertical="center"/>
    </xf>
    <xf numFmtId="0" fontId="37" fillId="13" borderId="7" xfId="0" applyFont="1" applyFill="1" applyBorder="1" applyAlignment="1">
      <alignment horizontal="center" vertical="center"/>
    </xf>
    <xf numFmtId="0" fontId="37" fillId="13" borderId="8" xfId="0" applyFont="1" applyFill="1" applyBorder="1" applyAlignment="1">
      <alignment horizontal="center" vertical="center"/>
    </xf>
    <xf numFmtId="165" fontId="37" fillId="13" borderId="8" xfId="0" applyNumberFormat="1" applyFont="1" applyFill="1" applyBorder="1" applyAlignment="1">
      <alignment horizontal="center" vertical="center"/>
    </xf>
    <xf numFmtId="3" fontId="37" fillId="13" borderId="8" xfId="0" applyNumberFormat="1" applyFont="1" applyFill="1" applyBorder="1" applyAlignment="1">
      <alignment horizontal="center" vertical="center"/>
    </xf>
    <xf numFmtId="4" fontId="37" fillId="13" borderId="8" xfId="0" applyNumberFormat="1" applyFont="1" applyFill="1" applyBorder="1" applyAlignment="1">
      <alignment horizontal="center" vertical="center"/>
    </xf>
    <xf numFmtId="4" fontId="37" fillId="13" borderId="9" xfId="0" applyNumberFormat="1" applyFont="1" applyFill="1" applyBorder="1" applyAlignment="1">
      <alignment horizontal="center" vertical="center"/>
    </xf>
    <xf numFmtId="4" fontId="14" fillId="0" borderId="8" xfId="0" applyNumberFormat="1" applyFont="1" applyFill="1" applyBorder="1" applyAlignment="1">
      <alignment horizontal="center" vertical="center"/>
    </xf>
    <xf numFmtId="168" fontId="31" fillId="0" borderId="0" xfId="1" applyNumberFormat="1" applyFont="1" applyBorder="1" applyAlignment="1">
      <alignment horizontal="center"/>
    </xf>
    <xf numFmtId="0" fontId="37" fillId="13" borderId="12" xfId="0" applyFont="1" applyFill="1" applyBorder="1" applyAlignment="1">
      <alignment horizontal="center" vertical="center"/>
    </xf>
    <xf numFmtId="0" fontId="37" fillId="13" borderId="13" xfId="0" applyFont="1" applyFill="1" applyBorder="1" applyAlignment="1">
      <alignment horizontal="center" vertical="center"/>
    </xf>
    <xf numFmtId="168" fontId="38" fillId="18" borderId="13" xfId="0" applyNumberFormat="1" applyFont="1" applyFill="1" applyBorder="1" applyAlignment="1" applyProtection="1"/>
    <xf numFmtId="0" fontId="39" fillId="0" borderId="0" xfId="0" applyFont="1"/>
    <xf numFmtId="168" fontId="36" fillId="0" borderId="0" xfId="0" applyNumberFormat="1" applyFont="1" applyFill="1" applyBorder="1" applyAlignment="1" applyProtection="1"/>
    <xf numFmtId="168" fontId="40" fillId="0" borderId="0" xfId="0" applyNumberFormat="1" applyFont="1"/>
    <xf numFmtId="165" fontId="9" fillId="5" borderId="14" xfId="0" applyNumberFormat="1" applyFont="1" applyFill="1" applyBorder="1" applyAlignment="1">
      <alignment horizontal="center" vertical="center"/>
    </xf>
    <xf numFmtId="165" fontId="9" fillId="5" borderId="15" xfId="0" applyNumberFormat="1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4" fontId="9" fillId="5" borderId="15" xfId="0" applyNumberFormat="1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168" fontId="31" fillId="0" borderId="0" xfId="1" applyNumberFormat="1" applyFont="1" applyBorder="1"/>
    <xf numFmtId="168" fontId="31" fillId="24" borderId="0" xfId="1" applyNumberFormat="1" applyFont="1" applyFill="1" applyBorder="1" applyAlignment="1">
      <alignment horizontal="center"/>
    </xf>
    <xf numFmtId="169" fontId="0" fillId="0" borderId="0" xfId="0" applyNumberFormat="1"/>
    <xf numFmtId="2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8" fillId="13" borderId="4" xfId="0" applyFont="1" applyFill="1" applyBorder="1" applyAlignment="1">
      <alignment horizontal="center"/>
    </xf>
    <xf numFmtId="0" fontId="28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28" fillId="16" borderId="1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/>
    </xf>
    <xf numFmtId="0" fontId="27" fillId="19" borderId="10" xfId="0" applyFont="1" applyFill="1" applyBorder="1" applyAlignment="1">
      <alignment horizontal="center"/>
    </xf>
    <xf numFmtId="0" fontId="27" fillId="19" borderId="11" xfId="0" applyFont="1" applyFill="1" applyBorder="1" applyAlignment="1">
      <alignment horizontal="center"/>
    </xf>
    <xf numFmtId="0" fontId="27" fillId="18" borderId="10" xfId="0" applyFont="1" applyFill="1" applyBorder="1" applyAlignment="1">
      <alignment horizontal="center"/>
    </xf>
    <xf numFmtId="0" fontId="27" fillId="18" borderId="11" xfId="0" applyFont="1" applyFill="1" applyBorder="1" applyAlignment="1">
      <alignment horizontal="center"/>
    </xf>
    <xf numFmtId="0" fontId="27" fillId="20" borderId="10" xfId="0" applyFont="1" applyFill="1" applyBorder="1" applyAlignment="1">
      <alignment horizontal="center"/>
    </xf>
    <xf numFmtId="0" fontId="27" fillId="20" borderId="1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" fontId="0" fillId="0" borderId="0" xfId="0" applyNumberForma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4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169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4" fontId="0" fillId="0" borderId="0" xfId="0" applyNumberFormat="1" applyAlignment="1">
      <alignment horizontal="left" vertical="center"/>
    </xf>
  </cellXfs>
  <cellStyles count="2">
    <cellStyle name="Moeda" xfId="1" builtinId="4"/>
    <cellStyle name="Normal" xfId="0" builtinId="0"/>
  </cellStyles>
  <dxfs count="74">
    <dxf>
      <numFmt numFmtId="4" formatCode="#,##0.00"/>
      <alignment horizontal="left" vertical="bottom" textRotation="0" wrapText="0" indent="0" justifyLastLine="0" shrinkToFit="0" readingOrder="0"/>
    </dxf>
    <dxf>
      <numFmt numFmtId="4" formatCode="#,##0.00"/>
      <alignment horizontal="left" vertical="bottom" textRotation="0" wrapText="0" indent="0" justifyLastLine="0" shrinkToFit="0" readingOrder="0"/>
    </dxf>
    <dxf>
      <numFmt numFmtId="4" formatCode="#,##0.00"/>
      <alignment horizontal="left" vertical="bottom" textRotation="0" wrapText="0" indent="0" justifyLastLine="0" shrinkToFit="0" readingOrder="0"/>
    </dxf>
    <dxf>
      <numFmt numFmtId="4" formatCode="#,##0.00"/>
      <alignment horizontal="left" vertical="bottom" textRotation="0" wrapText="0" indent="0" justifyLastLine="0" shrinkToFit="0" readingOrder="0"/>
    </dxf>
    <dxf>
      <numFmt numFmtId="4" formatCode="#,##0.00"/>
      <alignment horizontal="left" vertical="bottom" textRotation="0" wrapText="0" indent="0" justifyLastLine="0" shrinkToFit="0" readingOrder="0"/>
    </dxf>
    <dxf>
      <numFmt numFmtId="4" formatCode="#,##0.00"/>
      <alignment horizontal="left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4" formatCode="#,##0.00"/>
      <alignment horizontal="left" vertical="center" textRotation="0" wrapText="0" indent="0" justifyLastLine="0" shrinkToFit="0" readingOrder="0"/>
    </dxf>
    <dxf>
      <numFmt numFmtId="4" formatCode="#,##0.00"/>
      <alignment horizontal="left" vertical="center" textRotation="0" wrapText="0" indent="0" justifyLastLine="0" shrinkToFit="0" readingOrder="0"/>
    </dxf>
    <dxf>
      <numFmt numFmtId="4" formatCode="#,##0.00"/>
      <alignment horizontal="left" vertical="center" textRotation="0" wrapText="0" indent="0" justifyLastLine="0" shrinkToFit="0" readingOrder="0"/>
    </dxf>
    <dxf>
      <numFmt numFmtId="4" formatCode="#,##0.00"/>
      <alignment horizontal="left" vertical="center" textRotation="0" wrapText="0" indent="0" justifyLastLine="0" shrinkToFit="0" readingOrder="0"/>
    </dxf>
    <dxf>
      <numFmt numFmtId="4" formatCode="#,##0.00"/>
      <alignment horizontal="left" vertical="center" textRotation="0" wrapText="0" indent="0" justifyLastLine="0" shrinkToFit="0" readingOrder="0"/>
    </dxf>
    <dxf>
      <numFmt numFmtId="4" formatCode="#,##0.00"/>
      <alignment horizontal="left" vertical="center" textRotation="0" wrapText="0" indent="0" justifyLastLine="0" shrinkToFit="0" readingOrder="0"/>
    </dxf>
    <dxf>
      <numFmt numFmtId="3" formatCode="#,##0"/>
      <alignment horizontal="left" vertical="center" textRotation="0" wrapText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9" formatCode="dd/mm/yy;@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3" formatCode="#,##0"/>
    </dxf>
    <dxf>
      <alignment horizontal="center" vertical="bottom" textRotation="0" wrapText="0" indent="0" justifyLastLine="0" shrinkToFit="0" readingOrder="0"/>
    </dxf>
    <dxf>
      <font>
        <b/>
        <color rgb="FFFF0000"/>
      </font>
    </dxf>
    <dxf>
      <font>
        <b/>
        <color rgb="FF00B050"/>
      </font>
    </dxf>
    <dxf>
      <font>
        <b/>
        <color rgb="FF00B050"/>
      </font>
    </dxf>
    <dxf>
      <font>
        <b/>
        <color rgb="FFFF0000"/>
      </font>
    </dxf>
    <dxf>
      <font>
        <b/>
        <color rgb="FF00B050"/>
      </font>
    </dxf>
    <dxf>
      <font>
        <b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color rgb="FF196B24"/>
      </font>
    </dxf>
    <dxf>
      <font>
        <b/>
        <color rgb="FFFF0000"/>
      </font>
    </dxf>
    <dxf>
      <font>
        <b/>
        <color rgb="FF196B24"/>
      </font>
    </dxf>
    <dxf>
      <font>
        <b/>
        <color rgb="FFFF0000"/>
      </font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  <numFmt numFmtId="168" formatCode="_-[$R$-416]\ * #,##0.00_-;\-[$R$-416]\ * #,##0.00_-;_-[$R$-416]\ * &quot;-&quot;??_-;_-@_-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8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none"/>
      </font>
      <fill>
        <patternFill patternType="solid">
          <fgColor indexed="64"/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numFmt numFmtId="168" formatCode="_-[$R$-416]\ * #,##0.00_-;\-[$R$-416]\ * #,##0.00_-;_-[$R$-416]\ * &quot;-&quot;??_-;_-@_-"/>
      <fill>
        <patternFill patternType="solid">
          <fgColor indexed="64"/>
          <bgColor theme="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medium">
          <color auto="1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8" formatCode="_-[$R$-416]\ * #,##0.00_-;\-[$R$-416]\ * #,##0.00_-;_-[$R$-416]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auto="1"/>
        </bottom>
      </border>
    </dxf>
    <dxf>
      <font>
        <strike val="0"/>
        <outline val="0"/>
        <shadow val="0"/>
        <u val="none"/>
        <vertAlign val="baseline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auto="1"/>
        </bottom>
      </border>
    </dxf>
    <dxf>
      <font>
        <strike val="0"/>
        <outline val="0"/>
        <shadow val="0"/>
        <u val="none"/>
        <vertAlign val="baseline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auto="1"/>
        </bottom>
      </border>
    </dxf>
    <dxf>
      <font>
        <strike val="0"/>
        <outline val="0"/>
        <shadow val="0"/>
        <u val="none"/>
        <vertAlign val="baseline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/>
        <top/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numFmt numFmtId="4" formatCode="#,##0.00"/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numFmt numFmtId="4" formatCode="#,##0.00"/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numFmt numFmtId="4" formatCode="#,##0.00"/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scheme val="none"/>
      </font>
      <numFmt numFmtId="4" formatCode="#,##0.00"/>
      <fill>
        <patternFill patternType="solid">
          <fgColor rgb="FFF5F5F5"/>
          <bgColor rgb="FFFFF9C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numFmt numFmtId="4" formatCode="#,##0.00"/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numFmt numFmtId="4" formatCode="#,##0.00"/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numFmt numFmtId="4" formatCode="#,##0.00"/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numFmt numFmtId="4" formatCode="#,##0.00"/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numFmt numFmtId="3" formatCode="#,##0"/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numFmt numFmtId="3" formatCode="#,##0"/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scheme val="none"/>
      </font>
      <numFmt numFmtId="3" formatCode="#,##0"/>
      <fill>
        <patternFill patternType="solid">
          <fgColor rgb="FFF5F5F5"/>
          <bgColor rgb="FFFFF9C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numFmt numFmtId="165" formatCode="mmmm"/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rgb="FFFF8080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00695C"/>
      <rgbColor rgb="FFC8E6C9"/>
      <rgbColor rgb="FF8B8B8B"/>
      <rgbColor rgb="FF9999FF"/>
      <rgbColor rgb="FFC04F15"/>
      <rgbColor rgb="FFFFF9C4"/>
      <rgbColor rgb="FFE3F2FD"/>
      <rgbColor rgb="FF4A148C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F2F2F2"/>
      <rgbColor rgb="FFC2F1C8"/>
      <rgbColor rgb="FFF5F5F5"/>
      <rgbColor rgb="FF99CCFF"/>
      <rgbColor rgb="FFFF99CC"/>
      <rgbColor rgb="FFCC99FF"/>
      <rgbColor rgb="FFFFCDD2"/>
      <rgbColor rgb="FF1976D2"/>
      <rgbColor rgb="FF00B050"/>
      <rgbColor rgb="FF99CC00"/>
      <rgbColor rgb="FFFFC107"/>
      <rgbColor rgb="FFFF9900"/>
      <rgbColor rgb="FFE97132"/>
      <rgbColor rgb="FF666699"/>
      <rgbColor rgb="FF969696"/>
      <rgbColor rgb="FF003366"/>
      <rgbColor rgb="FF2E7D32"/>
      <rgbColor rgb="FF003300"/>
      <rgbColor rgb="FF1E4620"/>
      <rgbColor rgb="FFC62828"/>
      <rgbColor rgb="FF993366"/>
      <rgbColor rgb="FF333399"/>
      <rgbColor rgb="FF3747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Aptos Narrow"/>
              </a:rPr>
              <a:t>Lucro Líq. Operacional: 2025 vs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 ANUAL'!$B$17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'COMPARATIVO ANUAL'!$A$18:$A$29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'COMPARATIVO ANUAL'!$B$18:$B$29</c:f>
              <c:numCache>
                <c:formatCode>#,##0.00</c:formatCode>
                <c:ptCount val="12"/>
                <c:pt idx="0">
                  <c:v>106231.70000000001</c:v>
                </c:pt>
                <c:pt idx="1">
                  <c:v>716883.39999999991</c:v>
                </c:pt>
                <c:pt idx="2">
                  <c:v>1154496.8399999999</c:v>
                </c:pt>
                <c:pt idx="3">
                  <c:v>499270.09</c:v>
                </c:pt>
                <c:pt idx="4">
                  <c:v>520095.42</c:v>
                </c:pt>
                <c:pt idx="5">
                  <c:v>60153.780000000006</c:v>
                </c:pt>
                <c:pt idx="6">
                  <c:v>93877.56</c:v>
                </c:pt>
                <c:pt idx="7">
                  <c:v>357771.60000000009</c:v>
                </c:pt>
                <c:pt idx="8">
                  <c:v>207587.74</c:v>
                </c:pt>
                <c:pt idx="9">
                  <c:v>233803.58000000002</c:v>
                </c:pt>
                <c:pt idx="10">
                  <c:v>165851.95000000001</c:v>
                </c:pt>
                <c:pt idx="11">
                  <c:v>84051.78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F4D-4EFC-A587-2965B31AEF0D}"/>
            </c:ext>
          </c:extLst>
        </c:ser>
        <c:ser>
          <c:idx val="1"/>
          <c:order val="1"/>
          <c:tx>
            <c:strRef>
              <c:f>'COMPARATIVO ANUAL'!$C$17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E9713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'COMPARATIVO ANUAL'!$A$18:$A$29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'COMPARATIVO ANUAL'!$C$18:$C$29</c:f>
              <c:numCache>
                <c:formatCode>#,##0.00</c:formatCode>
                <c:ptCount val="12"/>
                <c:pt idx="0">
                  <c:v>259819.54</c:v>
                </c:pt>
                <c:pt idx="1">
                  <c:v>487694.56000000011</c:v>
                </c:pt>
                <c:pt idx="2">
                  <c:v>561581.16999999993</c:v>
                </c:pt>
                <c:pt idx="3">
                  <c:v>30408.190000000002</c:v>
                </c:pt>
                <c:pt idx="4">
                  <c:v>88157.7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F4D-4EFC-A587-2965B31AE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612096"/>
        <c:axId val="202630656"/>
      </c:barChart>
      <c:catAx>
        <c:axId val="2026120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202630656"/>
        <c:crosses val="autoZero"/>
        <c:auto val="1"/>
        <c:lblAlgn val="ctr"/>
        <c:lblOffset val="100"/>
        <c:noMultiLvlLbl val="0"/>
      </c:catAx>
      <c:valAx>
        <c:axId val="202630656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2026120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495300</xdr:colOff>
      <xdr:row>0</xdr:row>
      <xdr:rowOff>47625</xdr:rowOff>
    </xdr:from>
    <xdr:to>
      <xdr:col>14</xdr:col>
      <xdr:colOff>549825</xdr:colOff>
      <xdr:row>30</xdr:row>
      <xdr:rowOff>2145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BD_LUCRO" displayName="BD_LUCRO" ref="A1:Q212" totalsRowCount="1">
  <autoFilter ref="A1:Q211"/>
  <tableColumns count="17">
    <tableColumn id="1" name="Empresa" totalsRowLabel="Total" totalsRowDxfId="73"/>
    <tableColumn id="2" name="Ano" totalsRowDxfId="72"/>
    <tableColumn id="3" name="Mês" totalsRowDxfId="71"/>
    <tableColumn id="4" name="Contrato V" totalsRowDxfId="70"/>
    <tableColumn id="5" name="Contrato C" totalsRowDxfId="69"/>
    <tableColumn id="6" name="Fornecedor" totalsRowDxfId="68"/>
    <tableColumn id="7" name="Cliente" totalsRowDxfId="67"/>
    <tableColumn id="8" name="Produto" totalsRowDxfId="66"/>
    <tableColumn id="9" name="Peso Kg" totalsRowFunction="sum" dataDxfId="65" totalsRowDxfId="64"/>
    <tableColumn id="10" name="Sacas/Ton" totalsRowFunction="sum" dataDxfId="63" totalsRowDxfId="62">
      <calculatedColumnFormula>I2/60</calculatedColumnFormula>
    </tableColumn>
    <tableColumn id="11" name="Lucro Bruto" totalsRowFunction="sum" totalsRowDxfId="61"/>
    <tableColumn id="12" name="Total Frete" totalsRowFunction="sum" totalsRowDxfId="60"/>
    <tableColumn id="13" name="Impostos" totalsRowFunction="sum" totalsRowDxfId="59"/>
    <tableColumn id="14" name="Comissão" totalsRowFunction="sum" totalsRowDxfId="58"/>
    <tableColumn id="17" name="Outros" totalsRowFunction="sum" dataDxfId="57" totalsRowDxfId="56"/>
    <tableColumn id="15" name="Lucro Líq." totalsRowFunction="sum" totalsRowDxfId="55"/>
    <tableColumn id="16" name="Lucro Sc/Tn" totalsRowFunction="sum" totalsRowDxfId="54">
      <calculatedColumnFormula>BD_LUCRO[[#This Row],[Lucro Líq.]]/BD_LUCRO[[#This Row],[Sacas/Ton]]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" name="BD_DESP" displayName="BD_DESP" ref="A1:E760" totalsRowCount="1" dataDxfId="53">
  <autoFilter ref="A1:E759"/>
  <tableColumns count="5">
    <tableColumn id="1" name="Empresa" totalsRowLabel="Total" dataDxfId="52" totalsRowDxfId="51"/>
    <tableColumn id="2" name="Ano" dataDxfId="50" totalsRowDxfId="49"/>
    <tableColumn id="3" name="Mês" dataDxfId="48" totalsRowDxfId="47"/>
    <tableColumn id="4" name="Item" dataDxfId="46" totalsRowDxfId="45"/>
    <tableColumn id="5" name="Valor" totalsRowFunction="sum" dataDxfId="44" totalsRowDxfId="43" dataCellStyle="Moeda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BD_REC_FIN" displayName="BD_REC_FIN" ref="A1:I1670" totalsRowCount="1" headerRowDxfId="42">
  <autoFilter ref="A1:I1669"/>
  <tableColumns count="9">
    <tableColumn id="1" name="Empresa" totalsRowLabel="Total" dataDxfId="41" totalsRowDxfId="40"/>
    <tableColumn id="2" name="DataPagto" dataDxfId="39"/>
    <tableColumn id="3" name="Descricao"/>
    <tableColumn id="4" name="NomeClienteOk"/>
    <tableColumn id="5" name="NDocumento"/>
    <tableColumn id="6" name="DescricaoPlanoContas"/>
    <tableColumn id="7" name="Parcela"/>
    <tableColumn id="8" name="DescricaoFormaPagto"/>
    <tableColumn id="9" name="ValorPagoR" totalsRowFunction="sum" totalsRowDxfId="38" dataCellStyle="Moeda"/>
  </tableColumns>
  <tableStyleInfo name="TableStyleLight10" showFirstColumn="0" showLastColumn="0" showRowStripes="0" showColumnStripes="0"/>
</table>
</file>

<file path=xl/tables/table4.xml><?xml version="1.0" encoding="utf-8"?>
<table xmlns="http://schemas.openxmlformats.org/spreadsheetml/2006/main" id="4" name="BD_DESP_COMPL" displayName="BD_DESP_COMPL" ref="A1:J3682" totalsRowCount="1">
  <autoFilter ref="A1:J3681"/>
  <tableColumns count="10">
    <tableColumn id="1" name="Empresa" totalsRowLabel="Total" dataDxfId="37" totalsRowDxfId="36"/>
    <tableColumn id="2" name="DataPagto" dataDxfId="35"/>
    <tableColumn id="3" name="Descricao"/>
    <tableColumn id="4" name="NomeCC"/>
    <tableColumn id="5" name="NomeClienteOk"/>
    <tableColumn id="6" name="NDocumento"/>
    <tableColumn id="7" name="DescricaoPlanoContas"/>
    <tableColumn id="8" name="Parcela"/>
    <tableColumn id="9" name="DescricaoFormaPagto"/>
    <tableColumn id="10" name="ValorPagoR" totalsRowFunction="sum" totalsRowDxfId="34"/>
  </tableColumns>
  <tableStyleInfo name="TableStyleLight10" showFirstColumn="0" showLastColumn="0" showRowStripes="0" showColumnStripes="0"/>
</table>
</file>

<file path=xl/tables/table5.xml><?xml version="1.0" encoding="utf-8"?>
<table xmlns="http://schemas.openxmlformats.org/spreadsheetml/2006/main" id="5" name="BD_FATURAMENTO" displayName="BD_FATURAMENTO" ref="A1:L261" totalsRowCount="1" headerRowDxfId="33" dataDxfId="6">
  <autoFilter ref="A1:L260"/>
  <tableColumns count="12">
    <tableColumn id="1" name="Empresa" totalsRowLabel="Total" dataDxfId="18"/>
    <tableColumn id="2" name="Data" dataDxfId="17"/>
    <tableColumn id="3" name="Num Carregamento" dataDxfId="16"/>
    <tableColumn id="4" name="Placa" dataDxfId="15"/>
    <tableColumn id="5" name="Nota Fiscal" dataDxfId="14" totalsRowDxfId="20"/>
    <tableColumn id="6" name="Peso" dataDxfId="13" totalsRowDxfId="19"/>
    <tableColumn id="7" name="Valor Venda" totalsRowFunction="sum" dataDxfId="12" totalsRowDxfId="5"/>
    <tableColumn id="8" name="Valor Compra" totalsRowFunction="sum" dataDxfId="11" totalsRowDxfId="4"/>
    <tableColumn id="9" name="Frete" dataDxfId="10" totalsRowDxfId="3"/>
    <tableColumn id="10" name="Impostos" dataDxfId="9" totalsRowDxfId="2"/>
    <tableColumn id="11" name="Outros Gastos" dataDxfId="8" totalsRowDxfId="1"/>
    <tableColumn id="12" name="Lucro Contrato" totalsRowFunction="sum" dataDxfId="7" totalsRow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showGridLines="0" zoomScaleNormal="100" workbookViewId="0">
      <selection activeCell="D36" sqref="D36"/>
    </sheetView>
  </sheetViews>
  <sheetFormatPr defaultColWidth="8.625" defaultRowHeight="14.25"/>
  <cols>
    <col min="1" max="1" width="28.75" bestFit="1" customWidth="1"/>
    <col min="2" max="2" width="13.75" bestFit="1" customWidth="1"/>
    <col min="3" max="3" width="11.75" bestFit="1" customWidth="1"/>
    <col min="4" max="4" width="13.25" bestFit="1" customWidth="1"/>
    <col min="5" max="5" width="12.25" bestFit="1" customWidth="1"/>
    <col min="6" max="7" width="11.75" bestFit="1" customWidth="1"/>
    <col min="8" max="8" width="12" bestFit="1" customWidth="1"/>
    <col min="9" max="9" width="11" bestFit="1" customWidth="1"/>
  </cols>
  <sheetData>
    <row r="1" spans="1:5" ht="16.5">
      <c r="A1" s="120" t="s">
        <v>0</v>
      </c>
      <c r="B1" s="120"/>
      <c r="C1" s="120"/>
      <c r="D1" s="120"/>
      <c r="E1" s="120"/>
    </row>
    <row r="2" spans="1:5">
      <c r="A2" s="1" t="s">
        <v>1</v>
      </c>
      <c r="B2" s="2">
        <v>2025</v>
      </c>
      <c r="C2" s="3">
        <v>2026</v>
      </c>
      <c r="D2" s="1" t="s">
        <v>2</v>
      </c>
      <c r="E2" s="1" t="s">
        <v>3</v>
      </c>
    </row>
    <row r="3" spans="1:5">
      <c r="A3" s="4" t="s">
        <v>4</v>
      </c>
      <c r="B3" s="79">
        <f>SUMIF(BD_LUCRO!B2:B211,2025,BD_LUCRO!K2:K211)</f>
        <v>6965952.6699999999</v>
      </c>
      <c r="C3" s="79">
        <f>SUMIF(BD_LUCRO!B2:B211,2026,BD_LUCRO!K2:K211)</f>
        <v>1831062.6399999992</v>
      </c>
      <c r="D3" s="5">
        <f t="shared" ref="D3:D9" si="0">C3-B3</f>
        <v>-5134890.0300000012</v>
      </c>
      <c r="E3" s="6">
        <f t="shared" ref="E3:E9" si="1">IF(B3&lt;&gt;0,(C3-B3)/ABS(B3),0)</f>
        <v>-0.73714110233826802</v>
      </c>
    </row>
    <row r="4" spans="1:5">
      <c r="A4" s="7" t="s">
        <v>5</v>
      </c>
      <c r="B4" s="75">
        <f>-SUMIF(BD_LUCRO!B2:B211,2025,BD_LUCRO!L2:L211)</f>
        <v>-3259171.7999999993</v>
      </c>
      <c r="C4" s="75">
        <f>-SUMIF(BD_LUCRO!B2:B211,2026,BD_LUCRO!L2:L211)</f>
        <v>-163687</v>
      </c>
      <c r="D4" s="8">
        <f t="shared" si="0"/>
        <v>3095484.7999999993</v>
      </c>
      <c r="E4" s="9">
        <f t="shared" si="1"/>
        <v>0.94977650457088514</v>
      </c>
    </row>
    <row r="5" spans="1:5">
      <c r="A5" s="10" t="s">
        <v>6</v>
      </c>
      <c r="B5" s="76">
        <f>-SUMIF(BD_LUCRO!B2:B211,2025,BD_LUCRO!M2:M211)</f>
        <v>-7281.9699999999793</v>
      </c>
      <c r="C5" s="76">
        <f>-SUMIF(BD_LUCRO!B2:B211,2026,BD_LUCRO!M2:M211)</f>
        <v>-65961.45</v>
      </c>
      <c r="D5" s="11">
        <f t="shared" si="0"/>
        <v>-58679.480000000018</v>
      </c>
      <c r="E5" s="12">
        <f t="shared" si="1"/>
        <v>-8.0581875508962799</v>
      </c>
    </row>
    <row r="6" spans="1:5">
      <c r="A6" s="7" t="s">
        <v>7</v>
      </c>
      <c r="B6" s="75">
        <f>-SUMIF(BD_LUCRO!B2:B211,2025,BD_LUCRO!N2:N211)</f>
        <v>-1826139.8399999999</v>
      </c>
      <c r="C6" s="75">
        <f>-SUMIF(BD_LUCRO!B2:B211,2026,BD_LUCRO!N2:N211)</f>
        <v>-192725.19</v>
      </c>
      <c r="D6" s="8">
        <f t="shared" si="0"/>
        <v>1633414.65</v>
      </c>
      <c r="E6" s="9">
        <f t="shared" si="1"/>
        <v>0.89446307134945369</v>
      </c>
    </row>
    <row r="7" spans="1:5">
      <c r="A7" s="4" t="s">
        <v>8</v>
      </c>
      <c r="B7" s="78">
        <f>SUMIF(BD_LUCRO!B2:B211,2025,BD_LUCRO!P2:P211)</f>
        <v>4200075.4399999995</v>
      </c>
      <c r="C7" s="78">
        <f>SUMIF(BD_LUCRO!B2:B211,2026,BD_LUCRO!P2:P211)</f>
        <v>1427661.1600000001</v>
      </c>
      <c r="D7" s="13">
        <f t="shared" si="0"/>
        <v>-2772414.2799999993</v>
      </c>
      <c r="E7" s="6">
        <f t="shared" si="1"/>
        <v>-0.66008678167933088</v>
      </c>
    </row>
    <row r="8" spans="1:5">
      <c r="A8" s="7" t="s">
        <v>9</v>
      </c>
      <c r="B8" s="14">
        <f>-SUMIF(BD_DESP!B2:B759,2025,BD_DESP!E2:E759)</f>
        <v>-3677506.7399999998</v>
      </c>
      <c r="C8" s="14">
        <f>-SUMIF(BD_DESP!B2:B759,2026,BD_DESP!E2:E759)</f>
        <v>-1334005.8399999996</v>
      </c>
      <c r="D8" s="8">
        <f t="shared" si="0"/>
        <v>2343500.9000000004</v>
      </c>
      <c r="E8" s="9">
        <f t="shared" si="1"/>
        <v>0.63725264579664664</v>
      </c>
    </row>
    <row r="9" spans="1:5">
      <c r="A9" s="15" t="s">
        <v>10</v>
      </c>
      <c r="B9" s="16">
        <f>B7+B8</f>
        <v>522568.69999999972</v>
      </c>
      <c r="C9" s="16">
        <f>C7+C8</f>
        <v>93655.320000000531</v>
      </c>
      <c r="D9" s="16">
        <f t="shared" si="0"/>
        <v>-428913.37999999919</v>
      </c>
      <c r="E9" s="17">
        <f t="shared" si="1"/>
        <v>-0.82077893299005356</v>
      </c>
    </row>
    <row r="11" spans="1:5">
      <c r="A11" s="10" t="s">
        <v>11</v>
      </c>
      <c r="B11" s="76">
        <f>SUMIF(BD_LUCRO!B2:B211,2025,BD_LUCRO!I2:I211)</f>
        <v>25716499</v>
      </c>
      <c r="C11" s="76">
        <f>SUMIF(BD_LUCRO!B2:B211,2026,BD_LUCRO!I2:I211)</f>
        <v>11013681</v>
      </c>
      <c r="D11" s="11">
        <f>C11-B11</f>
        <v>-14702818</v>
      </c>
      <c r="E11" s="12">
        <f>IF(B11&lt;&gt;0,(C11-B11)/ABS(B11),0)</f>
        <v>-0.5717270457382243</v>
      </c>
    </row>
    <row r="12" spans="1:5">
      <c r="A12" s="7" t="s">
        <v>12</v>
      </c>
      <c r="B12" s="77">
        <f>COUNTIF(BD_LUCRO!B2:B211,2025)</f>
        <v>124</v>
      </c>
      <c r="C12" s="77">
        <f>COUNTIF(BD_LUCRO!B2:B211,2026)</f>
        <v>86</v>
      </c>
      <c r="D12" s="18">
        <f>C12-B12</f>
        <v>-38</v>
      </c>
      <c r="E12" s="9">
        <f>IF(B12&lt;&gt;0,(C12-B12)/ABS(B12),0)</f>
        <v>-0.30645161290322581</v>
      </c>
    </row>
    <row r="13" spans="1:5">
      <c r="A13" s="10" t="s">
        <v>13</v>
      </c>
      <c r="B13" s="12">
        <f>IF(B3&lt;&gt;0,(B3+B4+B5+B6)/B3,0)</f>
        <v>0.26893077641309909</v>
      </c>
      <c r="C13" s="12">
        <f>IF(C3&lt;&gt;0,(C3+C4+C5+C6)/C3,0)</f>
        <v>0.76932867790912929</v>
      </c>
      <c r="D13" s="12">
        <f>C13-B13</f>
        <v>0.50039790149603025</v>
      </c>
      <c r="E13" s="12">
        <f>IF(B13&lt;&gt;0,(C13-B13)/ABS(B13),0)</f>
        <v>1.860694072170376</v>
      </c>
    </row>
    <row r="14" spans="1:5">
      <c r="A14" s="7" t="s">
        <v>14</v>
      </c>
      <c r="B14" s="9">
        <f>IF(B3&lt;&gt;0,B9/B3,0)</f>
        <v>7.5017549609621412E-2</v>
      </c>
      <c r="C14" s="9">
        <f>IF(C3&lt;&gt;0,C9/C3,0)</f>
        <v>5.1148069953521946E-2</v>
      </c>
      <c r="D14" s="9">
        <f>C14-B14</f>
        <v>-2.3869479656099465E-2</v>
      </c>
      <c r="E14" s="9">
        <f>IF(B14&lt;&gt;0,(C14-B14)/ABS(B14),0)</f>
        <v>-0.31818527504980082</v>
      </c>
    </row>
    <row r="16" spans="1:5" ht="15">
      <c r="A16" s="121" t="s">
        <v>15</v>
      </c>
      <c r="B16" s="121"/>
      <c r="C16" s="121"/>
      <c r="D16" s="121"/>
      <c r="E16" s="121"/>
    </row>
    <row r="17" spans="1:5">
      <c r="A17" s="19" t="s">
        <v>16</v>
      </c>
      <c r="B17" s="20">
        <v>2025</v>
      </c>
      <c r="C17" s="21">
        <v>2026</v>
      </c>
      <c r="D17" s="19" t="s">
        <v>17</v>
      </c>
      <c r="E17" s="19" t="s">
        <v>18</v>
      </c>
    </row>
    <row r="18" spans="1:5">
      <c r="A18" s="22" t="s">
        <v>19</v>
      </c>
      <c r="B18" s="76">
        <f>SUMPRODUCT((BD_LUCRO!B2:B211=2025)*(MONTH(BD_LUCRO!C2:C211)=1)*IF(ISNUMBER(BD_LUCRO!P2:P211),BD_LUCRO!P2:P211,0))</f>
        <v>106231.70000000001</v>
      </c>
      <c r="C18" s="76">
        <f>SUMPRODUCT((BD_LUCRO!B2:B211=2026)*(MONTH(BD_LUCRO!C2:C211)=1)*IF(ISNUMBER(BD_LUCRO!P2:P211),BD_LUCRO!P2:P211,0))</f>
        <v>259819.54</v>
      </c>
      <c r="D18" s="23">
        <f t="shared" ref="D18:D29" si="2">C18-B18</f>
        <v>153587.84</v>
      </c>
      <c r="E18" s="24">
        <f t="shared" ref="E18:E30" si="3">IF(B18&lt;&gt;0,(C18-B18)/ABS(B18),0)</f>
        <v>1.4457816263883565</v>
      </c>
    </row>
    <row r="19" spans="1:5">
      <c r="A19" s="25" t="s">
        <v>20</v>
      </c>
      <c r="B19" s="75">
        <f>SUMPRODUCT((BD_LUCRO!B2:B211=2025)*(MONTH(BD_LUCRO!C2:C211)=2)*IF(ISNUMBER(BD_LUCRO!P2:P211),BD_LUCRO!P2:P211,0))</f>
        <v>716883.39999999991</v>
      </c>
      <c r="C19" s="75">
        <f>SUMPRODUCT((BD_LUCRO!B2:B211=2026)*(MONTH(BD_LUCRO!C2:C211)=2)*IF(ISNUMBER(BD_LUCRO!P2:P211),BD_LUCRO!P2:P211,0))</f>
        <v>487694.56000000011</v>
      </c>
      <c r="D19" s="26">
        <f t="shared" si="2"/>
        <v>-229188.83999999979</v>
      </c>
      <c r="E19" s="27">
        <f t="shared" si="3"/>
        <v>-0.31970169765403944</v>
      </c>
    </row>
    <row r="20" spans="1:5">
      <c r="A20" s="22" t="s">
        <v>21</v>
      </c>
      <c r="B20" s="76">
        <f>SUMPRODUCT((BD_LUCRO!B2:B211=2025)*(MONTH(BD_LUCRO!C2:C211)=3)*IF(ISNUMBER(BD_LUCRO!P2:P211),BD_LUCRO!P2:P211,0))</f>
        <v>1154496.8399999999</v>
      </c>
      <c r="C20" s="76">
        <f>SUMPRODUCT((BD_LUCRO!B2:B211=2026)*(MONTH(BD_LUCRO!C2:C211)=3)*IF(ISNUMBER(BD_LUCRO!P2:P211),BD_LUCRO!P2:P211,0))</f>
        <v>561581.16999999993</v>
      </c>
      <c r="D20" s="23">
        <f t="shared" si="2"/>
        <v>-592915.66999999993</v>
      </c>
      <c r="E20" s="24">
        <f t="shared" si="3"/>
        <v>-0.51357063047483087</v>
      </c>
    </row>
    <row r="21" spans="1:5">
      <c r="A21" s="25" t="s">
        <v>22</v>
      </c>
      <c r="B21" s="75">
        <f>SUMPRODUCT((BD_LUCRO!B2:B211=2025)*(MONTH(BD_LUCRO!C2:C211)=4)*IF(ISNUMBER(BD_LUCRO!P2:P211),BD_LUCRO!P2:P211,0))</f>
        <v>499270.09</v>
      </c>
      <c r="C21" s="75">
        <f>SUMPRODUCT((BD_LUCRO!B2:B211=2026)*(MONTH(BD_LUCRO!C2:C211)=4)*IF(ISNUMBER(BD_LUCRO!P2:P211),BD_LUCRO!P2:P211,0))</f>
        <v>30408.190000000002</v>
      </c>
      <c r="D21" s="26">
        <f t="shared" si="2"/>
        <v>-468861.9</v>
      </c>
      <c r="E21" s="27">
        <f t="shared" si="3"/>
        <v>-0.93909470923844041</v>
      </c>
    </row>
    <row r="22" spans="1:5">
      <c r="A22" s="22" t="s">
        <v>23</v>
      </c>
      <c r="B22" s="76">
        <f>SUMPRODUCT((BD_LUCRO!B2:B211=2025)*(MONTH(BD_LUCRO!C2:C211)=5)*IF(ISNUMBER(BD_LUCRO!P2:P211),BD_LUCRO!P2:P211,0))</f>
        <v>520095.42</v>
      </c>
      <c r="C22" s="76">
        <f>SUMPRODUCT((BD_LUCRO!B2:B211=2026)*(MONTH(BD_LUCRO!C2:C211)=5)*IF(ISNUMBER(BD_LUCRO!P2:P211),BD_LUCRO!P2:P211,0))</f>
        <v>88157.7</v>
      </c>
      <c r="D22" s="23">
        <f t="shared" si="2"/>
        <v>-431937.72</v>
      </c>
      <c r="E22" s="24">
        <f t="shared" si="3"/>
        <v>-0.83049706532697398</v>
      </c>
    </row>
    <row r="23" spans="1:5">
      <c r="A23" s="25" t="s">
        <v>24</v>
      </c>
      <c r="B23" s="75">
        <f>SUMPRODUCT((BD_LUCRO!B2:B211=2025)*(MONTH(BD_LUCRO!C2:C211)=6)*IF(ISNUMBER(BD_LUCRO!P2:P211),BD_LUCRO!P2:P211,0))</f>
        <v>60153.780000000006</v>
      </c>
      <c r="C23" s="75">
        <f>SUMPRODUCT((BD_LUCRO!B2:B211=2026)*(MONTH(BD_LUCRO!C2:C211)=6)*IF(ISNUMBER(BD_LUCRO!P2:P211),BD_LUCRO!P2:P211,0))</f>
        <v>0</v>
      </c>
      <c r="D23" s="26">
        <f t="shared" si="2"/>
        <v>-60153.780000000006</v>
      </c>
      <c r="E23" s="27">
        <f t="shared" si="3"/>
        <v>-1</v>
      </c>
    </row>
    <row r="24" spans="1:5">
      <c r="A24" s="22" t="s">
        <v>25</v>
      </c>
      <c r="B24" s="76">
        <f>SUMPRODUCT((BD_LUCRO!B2:B211=2025)*(MONTH(BD_LUCRO!C2:C211)=7)*IF(ISNUMBER(BD_LUCRO!P2:P211),BD_LUCRO!P2:P211,0))</f>
        <v>93877.56</v>
      </c>
      <c r="C24" s="76">
        <f>SUMPRODUCT((BD_LUCRO!B2:B211=2026)*(MONTH(BD_LUCRO!C2:C211)=7)*IF(ISNUMBER(BD_LUCRO!P2:P211),BD_LUCRO!P2:P211,0))</f>
        <v>0</v>
      </c>
      <c r="D24" s="23">
        <f t="shared" si="2"/>
        <v>-93877.56</v>
      </c>
      <c r="E24" s="24">
        <f t="shared" si="3"/>
        <v>-1</v>
      </c>
    </row>
    <row r="25" spans="1:5">
      <c r="A25" s="25" t="s">
        <v>26</v>
      </c>
      <c r="B25" s="75">
        <f>SUMPRODUCT((BD_LUCRO!B2:B211=2025)*(MONTH(BD_LUCRO!C2:C211)=8)*IF(ISNUMBER(BD_LUCRO!P2:P211),BD_LUCRO!P2:P211,0))</f>
        <v>357771.60000000009</v>
      </c>
      <c r="C25" s="75">
        <f>SUMPRODUCT((BD_LUCRO!B2:B211=2026)*(MONTH(BD_LUCRO!C2:C211)=8)*IF(ISNUMBER(BD_LUCRO!P2:P211),BD_LUCRO!P2:P211,0))</f>
        <v>0</v>
      </c>
      <c r="D25" s="26">
        <f t="shared" si="2"/>
        <v>-357771.60000000009</v>
      </c>
      <c r="E25" s="27">
        <f t="shared" si="3"/>
        <v>-1</v>
      </c>
    </row>
    <row r="26" spans="1:5">
      <c r="A26" s="22" t="s">
        <v>27</v>
      </c>
      <c r="B26" s="76">
        <f>SUMPRODUCT((BD_LUCRO!B2:B211=2025)*(MONTH(BD_LUCRO!C2:C211)=9)*IF(ISNUMBER(BD_LUCRO!P2:P211),BD_LUCRO!P2:P211,0))</f>
        <v>207587.74</v>
      </c>
      <c r="C26" s="76">
        <f>SUMPRODUCT((BD_LUCRO!B2:B211=2026)*(MONTH(BD_LUCRO!C2:C211)=9)*IF(ISNUMBER(BD_LUCRO!P2:P211),BD_LUCRO!P2:P211,0))</f>
        <v>0</v>
      </c>
      <c r="D26" s="23">
        <f t="shared" si="2"/>
        <v>-207587.74</v>
      </c>
      <c r="E26" s="24">
        <f t="shared" si="3"/>
        <v>-1</v>
      </c>
    </row>
    <row r="27" spans="1:5">
      <c r="A27" s="25" t="s">
        <v>28</v>
      </c>
      <c r="B27" s="75">
        <f>SUMPRODUCT((BD_LUCRO!B2:B211=2025)*(MONTH(BD_LUCRO!C2:C211)=10)*IF(ISNUMBER(BD_LUCRO!P2:P211),BD_LUCRO!P2:P211,0))</f>
        <v>233803.58000000002</v>
      </c>
      <c r="C27" s="75">
        <f>SUMPRODUCT((BD_LUCRO!B2:B211=2026)*(MONTH(BD_LUCRO!C2:C211)=10)*IF(ISNUMBER(BD_LUCRO!P2:P211),BD_LUCRO!P2:P211,0))</f>
        <v>0</v>
      </c>
      <c r="D27" s="26">
        <f t="shared" si="2"/>
        <v>-233803.58000000002</v>
      </c>
      <c r="E27" s="27">
        <f t="shared" si="3"/>
        <v>-1</v>
      </c>
    </row>
    <row r="28" spans="1:5">
      <c r="A28" s="22" t="s">
        <v>29</v>
      </c>
      <c r="B28" s="76">
        <f>SUMPRODUCT((BD_LUCRO!B2:B211=2025)*(MONTH(BD_LUCRO!C2:C211)=11)*IF(ISNUMBER(BD_LUCRO!P2:P211),BD_LUCRO!P2:P211,0))</f>
        <v>165851.95000000001</v>
      </c>
      <c r="C28" s="76">
        <f>SUMPRODUCT((BD_LUCRO!B2:B211=2026)*(MONTH(BD_LUCRO!C2:C211)=11)*IF(ISNUMBER(BD_LUCRO!P2:P211),BD_LUCRO!P2:P211,0))</f>
        <v>0</v>
      </c>
      <c r="D28" s="23">
        <f t="shared" si="2"/>
        <v>-165851.95000000001</v>
      </c>
      <c r="E28" s="24">
        <f t="shared" si="3"/>
        <v>-1</v>
      </c>
    </row>
    <row r="29" spans="1:5">
      <c r="A29" s="25" t="s">
        <v>30</v>
      </c>
      <c r="B29" s="75">
        <f>SUMPRODUCT((BD_LUCRO!B2:B211=2025)*(MONTH(BD_LUCRO!C2:C211)=12)*IF(ISNUMBER(BD_LUCRO!P2:P211),BD_LUCRO!P2:P211,0))</f>
        <v>84051.78</v>
      </c>
      <c r="C29" s="75">
        <f>SUMPRODUCT((BD_LUCRO!B2:B211=2026)*(MONTH(BD_LUCRO!C2:C211)=12)*IF(ISNUMBER(BD_LUCRO!P2:P211),BD_LUCRO!P2:P211,0))</f>
        <v>0</v>
      </c>
      <c r="D29" s="26">
        <f t="shared" si="2"/>
        <v>-84051.78</v>
      </c>
      <c r="E29" s="27">
        <f t="shared" si="3"/>
        <v>-1</v>
      </c>
    </row>
    <row r="30" spans="1:5">
      <c r="A30" s="28" t="s">
        <v>31</v>
      </c>
      <c r="B30" s="29">
        <f>SUM(B18:B29)</f>
        <v>4200075.4400000004</v>
      </c>
      <c r="C30" s="29">
        <f>SUM(C18:C29)</f>
        <v>1427661.16</v>
      </c>
      <c r="D30" s="29">
        <f>SUM(D18:D29)</f>
        <v>-2772414.28</v>
      </c>
      <c r="E30" s="30">
        <f t="shared" si="3"/>
        <v>-0.66008678167933099</v>
      </c>
    </row>
  </sheetData>
  <mergeCells count="2">
    <mergeCell ref="A1:E1"/>
    <mergeCell ref="A16:E1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2"/>
  <sheetViews>
    <sheetView showGridLines="0" tabSelected="1" zoomScaleNormal="100" workbookViewId="0">
      <selection activeCell="F8" sqref="F8"/>
    </sheetView>
  </sheetViews>
  <sheetFormatPr defaultColWidth="13" defaultRowHeight="14.25"/>
  <cols>
    <col min="1" max="1" width="11.25" bestFit="1" customWidth="1"/>
    <col min="2" max="2" width="7.625" bestFit="1" customWidth="1"/>
    <col min="3" max="3" width="7.875" style="31" bestFit="1" customWidth="1"/>
    <col min="4" max="5" width="12.375" bestFit="1" customWidth="1"/>
    <col min="6" max="6" width="47.875" bestFit="1" customWidth="1"/>
    <col min="7" max="7" width="45.375" bestFit="1" customWidth="1"/>
    <col min="8" max="8" width="17.625" bestFit="1" customWidth="1"/>
    <col min="9" max="9" width="10.75" bestFit="1" customWidth="1"/>
    <col min="10" max="10" width="12.375" bestFit="1" customWidth="1"/>
    <col min="11" max="11" width="13.25" bestFit="1" customWidth="1"/>
    <col min="12" max="12" width="12.375" bestFit="1" customWidth="1"/>
    <col min="13" max="13" width="11.5" bestFit="1" customWidth="1"/>
    <col min="14" max="14" width="12" bestFit="1" customWidth="1"/>
    <col min="15" max="15" width="9.75" bestFit="1" customWidth="1"/>
    <col min="16" max="16" width="11.875" bestFit="1" customWidth="1"/>
    <col min="17" max="17" width="13.375" bestFit="1" customWidth="1"/>
  </cols>
  <sheetData>
    <row r="1" spans="1:17">
      <c r="A1" s="32" t="s">
        <v>34</v>
      </c>
      <c r="B1" s="33" t="s">
        <v>35</v>
      </c>
      <c r="C1" s="33" t="s">
        <v>16</v>
      </c>
      <c r="D1" s="34" t="s">
        <v>36</v>
      </c>
      <c r="E1" s="34" t="s">
        <v>37</v>
      </c>
      <c r="F1" s="34" t="s">
        <v>38</v>
      </c>
      <c r="G1" s="34" t="s">
        <v>39</v>
      </c>
      <c r="H1" s="35" t="s">
        <v>32</v>
      </c>
      <c r="I1" s="35" t="s">
        <v>40</v>
      </c>
      <c r="J1" s="85" t="s">
        <v>41</v>
      </c>
      <c r="K1" s="35" t="s">
        <v>42</v>
      </c>
      <c r="L1" s="35" t="s">
        <v>43</v>
      </c>
      <c r="M1" s="35" t="s">
        <v>44</v>
      </c>
      <c r="N1" s="35" t="s">
        <v>45</v>
      </c>
      <c r="O1" s="35" t="s">
        <v>4643</v>
      </c>
      <c r="P1" s="34" t="s">
        <v>46</v>
      </c>
      <c r="Q1" s="86" t="s">
        <v>47</v>
      </c>
    </row>
    <row r="2" spans="1:17">
      <c r="A2" s="36" t="s">
        <v>51</v>
      </c>
      <c r="B2" s="37">
        <v>2025</v>
      </c>
      <c r="C2" s="38">
        <v>45658</v>
      </c>
      <c r="D2" s="81" t="s">
        <v>123</v>
      </c>
      <c r="E2" s="39" t="s">
        <v>124</v>
      </c>
      <c r="F2" s="39" t="s">
        <v>125</v>
      </c>
      <c r="G2" s="81" t="s">
        <v>126</v>
      </c>
      <c r="H2" s="40" t="s">
        <v>33</v>
      </c>
      <c r="I2" s="41">
        <v>558840</v>
      </c>
      <c r="J2" s="41">
        <f t="shared" ref="J2:J65" si="0">I2/60</f>
        <v>9314</v>
      </c>
      <c r="K2" s="40">
        <v>138070</v>
      </c>
      <c r="L2" s="40">
        <v>94425.600000000006</v>
      </c>
      <c r="M2" s="40">
        <v>0</v>
      </c>
      <c r="N2" s="40">
        <v>5658.25</v>
      </c>
      <c r="O2" s="40">
        <v>0</v>
      </c>
      <c r="P2" s="40">
        <v>37986.15</v>
      </c>
      <c r="Q2" s="42">
        <f>BD_LUCRO[[#This Row],[Lucro Líq.]]/BD_LUCRO[[#This Row],[Sacas/Ton]]</f>
        <v>4.0783927421086537</v>
      </c>
    </row>
    <row r="3" spans="1:17">
      <c r="A3" s="36" t="s">
        <v>51</v>
      </c>
      <c r="B3" s="37">
        <v>2025</v>
      </c>
      <c r="C3" s="38">
        <v>45658</v>
      </c>
      <c r="D3" s="81" t="s">
        <v>127</v>
      </c>
      <c r="E3" s="39" t="s">
        <v>128</v>
      </c>
      <c r="F3" s="39" t="s">
        <v>129</v>
      </c>
      <c r="G3" s="81" t="s">
        <v>49</v>
      </c>
      <c r="H3" s="40" t="s">
        <v>33</v>
      </c>
      <c r="I3" s="41">
        <v>413950</v>
      </c>
      <c r="J3" s="41">
        <f t="shared" si="0"/>
        <v>6899.166666666667</v>
      </c>
      <c r="K3" s="40">
        <v>34495.83</v>
      </c>
      <c r="L3" s="40">
        <v>0</v>
      </c>
      <c r="M3" s="40">
        <v>0</v>
      </c>
      <c r="N3" s="40">
        <v>2069.75</v>
      </c>
      <c r="O3" s="40">
        <v>0</v>
      </c>
      <c r="P3" s="40">
        <v>32426.080000000002</v>
      </c>
      <c r="Q3" s="42">
        <f>BD_LUCRO[[#This Row],[Lucro Líq.]]/BD_LUCRO[[#This Row],[Sacas/Ton]]</f>
        <v>4.6999995168498607</v>
      </c>
    </row>
    <row r="4" spans="1:17">
      <c r="A4" s="36" t="s">
        <v>51</v>
      </c>
      <c r="B4" s="37">
        <v>2025</v>
      </c>
      <c r="C4" s="38">
        <v>45658</v>
      </c>
      <c r="D4" s="81" t="s">
        <v>130</v>
      </c>
      <c r="E4" s="39" t="s">
        <v>124</v>
      </c>
      <c r="F4" s="39" t="s">
        <v>125</v>
      </c>
      <c r="G4" s="81" t="s">
        <v>131</v>
      </c>
      <c r="H4" s="40" t="s">
        <v>33</v>
      </c>
      <c r="I4" s="41">
        <v>309400</v>
      </c>
      <c r="J4" s="41">
        <f t="shared" si="0"/>
        <v>5156.666666666667</v>
      </c>
      <c r="K4" s="40">
        <v>110649.60000000001</v>
      </c>
      <c r="L4" s="40">
        <v>81294.399999999994</v>
      </c>
      <c r="M4" s="40">
        <v>0</v>
      </c>
      <c r="N4" s="40">
        <v>3145.57</v>
      </c>
      <c r="O4" s="40">
        <v>0</v>
      </c>
      <c r="P4" s="40">
        <v>23867.52</v>
      </c>
      <c r="Q4" s="42">
        <f>BD_LUCRO[[#This Row],[Lucro Líq.]]/BD_LUCRO[[#This Row],[Sacas/Ton]]</f>
        <v>4.6284783451842273</v>
      </c>
    </row>
    <row r="5" spans="1:17">
      <c r="A5" s="68" t="s">
        <v>51</v>
      </c>
      <c r="B5" s="69">
        <v>2025</v>
      </c>
      <c r="C5" s="70">
        <v>45689</v>
      </c>
      <c r="D5" s="80" t="s">
        <v>92</v>
      </c>
      <c r="E5" s="71" t="s">
        <v>132</v>
      </c>
      <c r="F5" s="71" t="s">
        <v>133</v>
      </c>
      <c r="G5" s="80" t="s">
        <v>92</v>
      </c>
      <c r="H5" s="72" t="s">
        <v>134</v>
      </c>
      <c r="I5" s="73">
        <v>40</v>
      </c>
      <c r="J5" s="73">
        <f t="shared" si="0"/>
        <v>0.66666666666666663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4">
        <f>BD_LUCRO[[#This Row],[Lucro Líq.]]/BD_LUCRO[[#This Row],[Sacas/Ton]]</f>
        <v>0</v>
      </c>
    </row>
    <row r="6" spans="1:17">
      <c r="A6" s="68" t="s">
        <v>51</v>
      </c>
      <c r="B6" s="69">
        <v>2025</v>
      </c>
      <c r="C6" s="70">
        <v>45689</v>
      </c>
      <c r="D6" s="81" t="s">
        <v>135</v>
      </c>
      <c r="E6" s="39" t="s">
        <v>136</v>
      </c>
      <c r="F6" s="39" t="s">
        <v>137</v>
      </c>
      <c r="G6" s="81" t="s">
        <v>48</v>
      </c>
      <c r="H6" s="40" t="s">
        <v>33</v>
      </c>
      <c r="I6" s="41">
        <v>134954</v>
      </c>
      <c r="J6" s="41">
        <f t="shared" si="0"/>
        <v>2249.2333333333331</v>
      </c>
      <c r="K6" s="40">
        <v>61086.48</v>
      </c>
      <c r="L6" s="40">
        <v>0</v>
      </c>
      <c r="M6" s="40">
        <v>0</v>
      </c>
      <c r="N6" s="40">
        <v>1124.6199999999999</v>
      </c>
      <c r="O6" s="40">
        <v>0</v>
      </c>
      <c r="P6" s="40">
        <v>59961.86</v>
      </c>
      <c r="Q6" s="42">
        <f>BD_LUCRO[[#This Row],[Lucro Líq.]]/BD_LUCRO[[#This Row],[Sacas/Ton]]</f>
        <v>26.65879929457445</v>
      </c>
    </row>
    <row r="7" spans="1:17">
      <c r="A7" s="68" t="s">
        <v>51</v>
      </c>
      <c r="B7" s="69">
        <v>2025</v>
      </c>
      <c r="C7" s="70">
        <v>45689</v>
      </c>
      <c r="D7" s="81" t="s">
        <v>138</v>
      </c>
      <c r="E7" s="39" t="s">
        <v>136</v>
      </c>
      <c r="F7" s="39" t="s">
        <v>137</v>
      </c>
      <c r="G7" s="81" t="s">
        <v>49</v>
      </c>
      <c r="H7" s="40" t="s">
        <v>33</v>
      </c>
      <c r="I7" s="41">
        <v>222150</v>
      </c>
      <c r="J7" s="41">
        <f t="shared" si="0"/>
        <v>3702.5</v>
      </c>
      <c r="K7" s="40">
        <v>106439.1</v>
      </c>
      <c r="L7" s="40">
        <v>0</v>
      </c>
      <c r="M7" s="40">
        <v>0</v>
      </c>
      <c r="N7" s="40">
        <v>1851.25</v>
      </c>
      <c r="O7" s="40">
        <v>0</v>
      </c>
      <c r="P7" s="40">
        <v>104587.85</v>
      </c>
      <c r="Q7" s="42">
        <f>BD_LUCRO[[#This Row],[Lucro Líq.]]/BD_LUCRO[[#This Row],[Sacas/Ton]]</f>
        <v>28.247900067521947</v>
      </c>
    </row>
    <row r="8" spans="1:17">
      <c r="A8" s="68" t="s">
        <v>51</v>
      </c>
      <c r="B8" s="69">
        <v>2025</v>
      </c>
      <c r="C8" s="70">
        <v>45689</v>
      </c>
      <c r="D8" s="81" t="s">
        <v>139</v>
      </c>
      <c r="E8" s="39" t="s">
        <v>140</v>
      </c>
      <c r="F8" s="39" t="s">
        <v>52</v>
      </c>
      <c r="G8" s="81" t="s">
        <v>53</v>
      </c>
      <c r="H8" s="40" t="s">
        <v>33</v>
      </c>
      <c r="I8" s="41">
        <v>498138</v>
      </c>
      <c r="J8" s="41">
        <f t="shared" si="0"/>
        <v>8302.2999999999993</v>
      </c>
      <c r="K8" s="40">
        <v>263630.40000000002</v>
      </c>
      <c r="L8" s="40">
        <v>0</v>
      </c>
      <c r="M8" s="40">
        <v>0</v>
      </c>
      <c r="N8" s="40">
        <v>4151.1499999999996</v>
      </c>
      <c r="O8" s="40">
        <v>0</v>
      </c>
      <c r="P8" s="40">
        <v>259479.25</v>
      </c>
      <c r="Q8" s="42">
        <f>BD_LUCRO[[#This Row],[Lucro Líq.]]/BD_LUCRO[[#This Row],[Sacas/Ton]]</f>
        <v>31.253899521819257</v>
      </c>
    </row>
    <row r="9" spans="1:17">
      <c r="A9" s="68" t="s">
        <v>51</v>
      </c>
      <c r="B9" s="69">
        <v>2025</v>
      </c>
      <c r="C9" s="70">
        <v>45689</v>
      </c>
      <c r="D9" s="81" t="s">
        <v>141</v>
      </c>
      <c r="E9" s="39" t="s">
        <v>142</v>
      </c>
      <c r="F9" s="39" t="s">
        <v>143</v>
      </c>
      <c r="G9" s="81" t="s">
        <v>49</v>
      </c>
      <c r="H9" s="40" t="s">
        <v>33</v>
      </c>
      <c r="I9" s="41">
        <v>98041</v>
      </c>
      <c r="J9" s="41">
        <f t="shared" si="0"/>
        <v>1634.0166666666667</v>
      </c>
      <c r="K9" s="40">
        <v>31373.119999999999</v>
      </c>
      <c r="L9" s="40">
        <v>0</v>
      </c>
      <c r="M9" s="40">
        <v>0</v>
      </c>
      <c r="N9" s="40">
        <v>490.21</v>
      </c>
      <c r="O9" s="40">
        <v>0</v>
      </c>
      <c r="P9" s="40">
        <v>30882.92</v>
      </c>
      <c r="Q9" s="42">
        <f>BD_LUCRO[[#This Row],[Lucro Líq.]]/BD_LUCRO[[#This Row],[Sacas/Ton]]</f>
        <v>18.900003059944307</v>
      </c>
    </row>
    <row r="10" spans="1:17">
      <c r="A10" s="68" t="s">
        <v>51</v>
      </c>
      <c r="B10" s="69">
        <v>2025</v>
      </c>
      <c r="C10" s="70">
        <v>45689</v>
      </c>
      <c r="D10" s="81" t="s">
        <v>141</v>
      </c>
      <c r="E10" s="39" t="s">
        <v>144</v>
      </c>
      <c r="F10" s="39" t="s">
        <v>129</v>
      </c>
      <c r="G10" s="81" t="s">
        <v>49</v>
      </c>
      <c r="H10" s="40" t="s">
        <v>33</v>
      </c>
      <c r="I10" s="41">
        <v>33405</v>
      </c>
      <c r="J10" s="41">
        <f t="shared" si="0"/>
        <v>556.75</v>
      </c>
      <c r="K10" s="40">
        <v>4175.63</v>
      </c>
      <c r="L10" s="40">
        <v>0</v>
      </c>
      <c r="M10" s="40">
        <v>0</v>
      </c>
      <c r="N10" s="40">
        <v>167.03</v>
      </c>
      <c r="O10" s="40">
        <v>0</v>
      </c>
      <c r="P10" s="40">
        <v>4008.6</v>
      </c>
      <c r="Q10" s="42">
        <f>BD_LUCRO[[#This Row],[Lucro Líq.]]/BD_LUCRO[[#This Row],[Sacas/Ton]]</f>
        <v>7.2</v>
      </c>
    </row>
    <row r="11" spans="1:17">
      <c r="A11" s="68" t="s">
        <v>51</v>
      </c>
      <c r="B11" s="69">
        <v>2025</v>
      </c>
      <c r="C11" s="70">
        <v>45689</v>
      </c>
      <c r="D11" s="81" t="s">
        <v>141</v>
      </c>
      <c r="E11" s="39" t="s">
        <v>136</v>
      </c>
      <c r="F11" s="39" t="s">
        <v>137</v>
      </c>
      <c r="G11" s="81" t="s">
        <v>49</v>
      </c>
      <c r="H11" s="40" t="s">
        <v>33</v>
      </c>
      <c r="I11" s="41">
        <v>418009</v>
      </c>
      <c r="J11" s="41">
        <f t="shared" si="0"/>
        <v>6966.8166666666666</v>
      </c>
      <c r="K11" s="40">
        <v>217698.39</v>
      </c>
      <c r="L11" s="40">
        <v>0</v>
      </c>
      <c r="M11" s="40">
        <v>0</v>
      </c>
      <c r="N11" s="40">
        <v>3483.41</v>
      </c>
      <c r="O11" s="40">
        <v>0</v>
      </c>
      <c r="P11" s="40">
        <v>214214.98</v>
      </c>
      <c r="Q11" s="42">
        <f>BD_LUCRO[[#This Row],[Lucro Líq.]]/BD_LUCRO[[#This Row],[Sacas/Ton]]</f>
        <v>30.747899686370392</v>
      </c>
    </row>
    <row r="12" spans="1:17">
      <c r="A12" s="68" t="s">
        <v>51</v>
      </c>
      <c r="B12" s="69">
        <v>2025</v>
      </c>
      <c r="C12" s="70">
        <v>45689</v>
      </c>
      <c r="D12" s="81" t="s">
        <v>141</v>
      </c>
      <c r="E12" s="39" t="s">
        <v>140</v>
      </c>
      <c r="F12" s="39" t="s">
        <v>52</v>
      </c>
      <c r="G12" s="81" t="s">
        <v>49</v>
      </c>
      <c r="H12" s="40" t="s">
        <v>33</v>
      </c>
      <c r="I12" s="41">
        <v>50545</v>
      </c>
      <c r="J12" s="41">
        <f t="shared" si="0"/>
        <v>842.41666666666663</v>
      </c>
      <c r="K12" s="40">
        <v>28856.06</v>
      </c>
      <c r="L12" s="40">
        <v>0</v>
      </c>
      <c r="M12" s="40">
        <v>0</v>
      </c>
      <c r="N12" s="40">
        <v>252.73</v>
      </c>
      <c r="O12" s="40">
        <v>0</v>
      </c>
      <c r="P12" s="40">
        <v>28603.33</v>
      </c>
      <c r="Q12" s="42">
        <f>BD_LUCRO[[#This Row],[Lucro Líq.]]/BD_LUCRO[[#This Row],[Sacas/Ton]]</f>
        <v>33.953898506281533</v>
      </c>
    </row>
    <row r="13" spans="1:17">
      <c r="A13" s="68" t="s">
        <v>51</v>
      </c>
      <c r="B13" s="69">
        <v>2025</v>
      </c>
      <c r="C13" s="70">
        <v>45689</v>
      </c>
      <c r="D13" s="81" t="s">
        <v>127</v>
      </c>
      <c r="E13" s="39" t="s">
        <v>128</v>
      </c>
      <c r="F13" s="39" t="s">
        <v>129</v>
      </c>
      <c r="G13" s="81" t="s">
        <v>49</v>
      </c>
      <c r="H13" s="40" t="s">
        <v>33</v>
      </c>
      <c r="I13" s="41">
        <v>186050</v>
      </c>
      <c r="J13" s="41">
        <f t="shared" si="0"/>
        <v>3100.8333333333335</v>
      </c>
      <c r="K13" s="40">
        <v>15504.17</v>
      </c>
      <c r="L13" s="40">
        <v>0</v>
      </c>
      <c r="M13" s="40">
        <v>0</v>
      </c>
      <c r="N13" s="40">
        <v>930.25</v>
      </c>
      <c r="O13" s="40">
        <v>0</v>
      </c>
      <c r="P13" s="40">
        <v>14573.92</v>
      </c>
      <c r="Q13" s="42">
        <f>BD_LUCRO[[#This Row],[Lucro Líq.]]/BD_LUCRO[[#This Row],[Sacas/Ton]]</f>
        <v>4.700001074979844</v>
      </c>
    </row>
    <row r="14" spans="1:17">
      <c r="A14" s="68" t="s">
        <v>51</v>
      </c>
      <c r="B14" s="69">
        <v>2025</v>
      </c>
      <c r="C14" s="70">
        <v>45689</v>
      </c>
      <c r="D14" s="81" t="s">
        <v>145</v>
      </c>
      <c r="E14" s="39" t="s">
        <v>136</v>
      </c>
      <c r="F14" s="39" t="s">
        <v>137</v>
      </c>
      <c r="G14" s="81" t="s">
        <v>49</v>
      </c>
      <c r="H14" s="40" t="s">
        <v>33</v>
      </c>
      <c r="I14" s="41">
        <v>132743</v>
      </c>
      <c r="J14" s="41">
        <f t="shared" si="0"/>
        <v>2212.3833333333332</v>
      </c>
      <c r="K14" s="40">
        <v>52981.93</v>
      </c>
      <c r="L14" s="40">
        <v>0</v>
      </c>
      <c r="M14" s="40">
        <v>0</v>
      </c>
      <c r="N14" s="40">
        <v>1106.19</v>
      </c>
      <c r="O14" s="40">
        <v>0</v>
      </c>
      <c r="P14" s="40">
        <v>51875.74</v>
      </c>
      <c r="Q14" s="42">
        <f>BD_LUCRO[[#This Row],[Lucro Líq.]]/BD_LUCRO[[#This Row],[Sacas/Ton]]</f>
        <v>23.44789857092276</v>
      </c>
    </row>
    <row r="15" spans="1:17">
      <c r="A15" s="68" t="s">
        <v>51</v>
      </c>
      <c r="B15" s="69">
        <v>2025</v>
      </c>
      <c r="C15" s="70">
        <v>45717</v>
      </c>
      <c r="D15" s="80" t="s">
        <v>146</v>
      </c>
      <c r="E15" s="71" t="s">
        <v>136</v>
      </c>
      <c r="F15" s="71" t="s">
        <v>137</v>
      </c>
      <c r="G15" s="80" t="s">
        <v>48</v>
      </c>
      <c r="H15" s="72" t="s">
        <v>33</v>
      </c>
      <c r="I15" s="73">
        <v>600000</v>
      </c>
      <c r="J15" s="73">
        <f t="shared" si="0"/>
        <v>10000</v>
      </c>
      <c r="K15" s="72">
        <v>321479</v>
      </c>
      <c r="L15" s="72">
        <v>0</v>
      </c>
      <c r="M15" s="72">
        <v>0</v>
      </c>
      <c r="N15" s="72">
        <v>5000</v>
      </c>
      <c r="O15" s="72">
        <v>0</v>
      </c>
      <c r="P15" s="72">
        <v>316479</v>
      </c>
      <c r="Q15" s="74">
        <f>BD_LUCRO[[#This Row],[Lucro Líq.]]/BD_LUCRO[[#This Row],[Sacas/Ton]]</f>
        <v>31.6479</v>
      </c>
    </row>
    <row r="16" spans="1:17">
      <c r="A16" s="68" t="s">
        <v>51</v>
      </c>
      <c r="B16" s="69">
        <v>2025</v>
      </c>
      <c r="C16" s="70">
        <v>45717</v>
      </c>
      <c r="D16" s="80" t="s">
        <v>135</v>
      </c>
      <c r="E16" s="71" t="s">
        <v>136</v>
      </c>
      <c r="F16" s="71" t="s">
        <v>137</v>
      </c>
      <c r="G16" s="80" t="s">
        <v>48</v>
      </c>
      <c r="H16" s="72" t="s">
        <v>33</v>
      </c>
      <c r="I16" s="73">
        <v>165046</v>
      </c>
      <c r="J16" s="73">
        <f t="shared" si="0"/>
        <v>2750.7666666666669</v>
      </c>
      <c r="K16" s="72">
        <v>74707.520000000004</v>
      </c>
      <c r="L16" s="72">
        <v>0</v>
      </c>
      <c r="M16" s="72">
        <v>0</v>
      </c>
      <c r="N16" s="72">
        <v>1375.38</v>
      </c>
      <c r="O16" s="72">
        <v>0</v>
      </c>
      <c r="P16" s="72">
        <v>73332.14</v>
      </c>
      <c r="Q16" s="74">
        <f>BD_LUCRO[[#This Row],[Lucro Líq.]]/BD_LUCRO[[#This Row],[Sacas/Ton]]</f>
        <v>26.658800576808886</v>
      </c>
    </row>
    <row r="17" spans="1:17">
      <c r="A17" s="68" t="s">
        <v>51</v>
      </c>
      <c r="B17" s="69">
        <v>2025</v>
      </c>
      <c r="C17" s="70">
        <v>45717</v>
      </c>
      <c r="D17" s="80" t="s">
        <v>138</v>
      </c>
      <c r="E17" s="71" t="s">
        <v>147</v>
      </c>
      <c r="F17" s="71" t="s">
        <v>50</v>
      </c>
      <c r="G17" s="80" t="s">
        <v>49</v>
      </c>
      <c r="H17" s="72" t="s">
        <v>33</v>
      </c>
      <c r="I17" s="73">
        <v>77850</v>
      </c>
      <c r="J17" s="73">
        <f t="shared" si="0"/>
        <v>1297.5</v>
      </c>
      <c r="K17" s="72">
        <v>47151.93</v>
      </c>
      <c r="L17" s="72">
        <v>0</v>
      </c>
      <c r="M17" s="72">
        <v>0</v>
      </c>
      <c r="N17" s="72">
        <v>1297.5</v>
      </c>
      <c r="O17" s="72">
        <v>0</v>
      </c>
      <c r="P17" s="72">
        <v>45854.43</v>
      </c>
      <c r="Q17" s="74">
        <f>BD_LUCRO[[#This Row],[Lucro Líq.]]/BD_LUCRO[[#This Row],[Sacas/Ton]]</f>
        <v>35.340601156069361</v>
      </c>
    </row>
    <row r="18" spans="1:17">
      <c r="A18" s="68" t="s">
        <v>51</v>
      </c>
      <c r="B18" s="69">
        <v>2025</v>
      </c>
      <c r="C18" s="70">
        <v>45717</v>
      </c>
      <c r="D18" s="80" t="s">
        <v>139</v>
      </c>
      <c r="E18" s="71" t="s">
        <v>140</v>
      </c>
      <c r="F18" s="71" t="s">
        <v>52</v>
      </c>
      <c r="G18" s="80" t="s">
        <v>53</v>
      </c>
      <c r="H18" s="72" t="s">
        <v>33</v>
      </c>
      <c r="I18" s="73">
        <v>101862</v>
      </c>
      <c r="J18" s="73">
        <f t="shared" si="0"/>
        <v>1697.7</v>
      </c>
      <c r="K18" s="72">
        <v>53908.6</v>
      </c>
      <c r="L18" s="72">
        <v>0</v>
      </c>
      <c r="M18" s="72">
        <v>0</v>
      </c>
      <c r="N18" s="72">
        <v>848.85</v>
      </c>
      <c r="O18" s="72">
        <v>0</v>
      </c>
      <c r="P18" s="72">
        <v>53059.75</v>
      </c>
      <c r="Q18" s="74">
        <f>BD_LUCRO[[#This Row],[Lucro Líq.]]/BD_LUCRO[[#This Row],[Sacas/Ton]]</f>
        <v>31.253902338457912</v>
      </c>
    </row>
    <row r="19" spans="1:17">
      <c r="A19" s="68" t="s">
        <v>51</v>
      </c>
      <c r="B19" s="69">
        <v>2025</v>
      </c>
      <c r="C19" s="70">
        <v>45717</v>
      </c>
      <c r="D19" s="80" t="s">
        <v>148</v>
      </c>
      <c r="E19" s="71" t="s">
        <v>140</v>
      </c>
      <c r="F19" s="71" t="s">
        <v>52</v>
      </c>
      <c r="G19" s="80" t="s">
        <v>53</v>
      </c>
      <c r="H19" s="72" t="s">
        <v>33</v>
      </c>
      <c r="I19" s="73">
        <v>300000</v>
      </c>
      <c r="J19" s="73">
        <f t="shared" si="0"/>
        <v>5000</v>
      </c>
      <c r="K19" s="72">
        <v>107509.5</v>
      </c>
      <c r="L19" s="72">
        <v>0</v>
      </c>
      <c r="M19" s="72">
        <v>0</v>
      </c>
      <c r="N19" s="72">
        <v>2500</v>
      </c>
      <c r="O19" s="72">
        <v>0</v>
      </c>
      <c r="P19" s="72">
        <v>105009.5</v>
      </c>
      <c r="Q19" s="74">
        <f>BD_LUCRO[[#This Row],[Lucro Líq.]]/BD_LUCRO[[#This Row],[Sacas/Ton]]</f>
        <v>21.001899999999999</v>
      </c>
    </row>
    <row r="20" spans="1:17">
      <c r="A20" s="68" t="s">
        <v>51</v>
      </c>
      <c r="B20" s="69">
        <v>2025</v>
      </c>
      <c r="C20" s="70">
        <v>45717</v>
      </c>
      <c r="D20" s="80" t="s">
        <v>149</v>
      </c>
      <c r="E20" s="71" t="s">
        <v>136</v>
      </c>
      <c r="F20" s="71" t="s">
        <v>137</v>
      </c>
      <c r="G20" s="80" t="s">
        <v>48</v>
      </c>
      <c r="H20" s="72" t="s">
        <v>33</v>
      </c>
      <c r="I20" s="73">
        <v>14880</v>
      </c>
      <c r="J20" s="73">
        <f t="shared" si="0"/>
        <v>248</v>
      </c>
      <c r="K20" s="72">
        <v>5517.48</v>
      </c>
      <c r="L20" s="72">
        <v>0</v>
      </c>
      <c r="M20" s="72">
        <v>0</v>
      </c>
      <c r="N20" s="72">
        <v>124</v>
      </c>
      <c r="O20" s="72">
        <v>0</v>
      </c>
      <c r="P20" s="72">
        <v>5393.48</v>
      </c>
      <c r="Q20" s="74">
        <f>BD_LUCRO[[#This Row],[Lucro Líq.]]/BD_LUCRO[[#This Row],[Sacas/Ton]]</f>
        <v>21.74790322580645</v>
      </c>
    </row>
    <row r="21" spans="1:17">
      <c r="A21" s="68" t="s">
        <v>51</v>
      </c>
      <c r="B21" s="69">
        <v>2025</v>
      </c>
      <c r="C21" s="70">
        <v>45717</v>
      </c>
      <c r="D21" s="80" t="s">
        <v>145</v>
      </c>
      <c r="E21" s="71" t="s">
        <v>147</v>
      </c>
      <c r="F21" s="71" t="s">
        <v>50</v>
      </c>
      <c r="G21" s="80" t="s">
        <v>49</v>
      </c>
      <c r="H21" s="72" t="s">
        <v>33</v>
      </c>
      <c r="I21" s="73">
        <v>161290</v>
      </c>
      <c r="J21" s="73">
        <f t="shared" si="0"/>
        <v>2688.1666666666665</v>
      </c>
      <c r="K21" s="72">
        <v>84786.39</v>
      </c>
      <c r="L21" s="72">
        <v>0</v>
      </c>
      <c r="M21" s="72">
        <v>0</v>
      </c>
      <c r="N21" s="72">
        <v>27698.25</v>
      </c>
      <c r="O21" s="72">
        <v>0</v>
      </c>
      <c r="P21" s="72">
        <v>57088.14</v>
      </c>
      <c r="Q21" s="74">
        <f>BD_LUCRO[[#This Row],[Lucro Líq.]]/BD_LUCRO[[#This Row],[Sacas/Ton]]</f>
        <v>21.236830553661108</v>
      </c>
    </row>
    <row r="22" spans="1:17">
      <c r="A22" s="68" t="s">
        <v>51</v>
      </c>
      <c r="B22" s="69">
        <v>2025</v>
      </c>
      <c r="C22" s="70">
        <v>45717</v>
      </c>
      <c r="D22" s="80" t="s">
        <v>145</v>
      </c>
      <c r="E22" s="71" t="s">
        <v>136</v>
      </c>
      <c r="F22" s="71" t="s">
        <v>137</v>
      </c>
      <c r="G22" s="80" t="s">
        <v>49</v>
      </c>
      <c r="H22" s="72" t="s">
        <v>33</v>
      </c>
      <c r="I22" s="73">
        <v>305967</v>
      </c>
      <c r="J22" s="73">
        <f t="shared" si="0"/>
        <v>5099.45</v>
      </c>
      <c r="K22" s="72">
        <v>122121.12</v>
      </c>
      <c r="L22" s="72">
        <v>0</v>
      </c>
      <c r="M22" s="72">
        <v>0</v>
      </c>
      <c r="N22" s="72">
        <v>2549.73</v>
      </c>
      <c r="O22" s="72">
        <v>0</v>
      </c>
      <c r="P22" s="72">
        <v>119571.39</v>
      </c>
      <c r="Q22" s="74">
        <f>BD_LUCRO[[#This Row],[Lucro Líq.]]/BD_LUCRO[[#This Row],[Sacas/Ton]]</f>
        <v>23.447899283256039</v>
      </c>
    </row>
    <row r="23" spans="1:17">
      <c r="A23" s="68" t="s">
        <v>51</v>
      </c>
      <c r="B23" s="69">
        <v>2025</v>
      </c>
      <c r="C23" s="70">
        <v>45717</v>
      </c>
      <c r="D23" s="80" t="s">
        <v>150</v>
      </c>
      <c r="E23" s="71" t="s">
        <v>147</v>
      </c>
      <c r="F23" s="71" t="s">
        <v>50</v>
      </c>
      <c r="G23" s="80" t="s">
        <v>151</v>
      </c>
      <c r="H23" s="72" t="s">
        <v>33</v>
      </c>
      <c r="I23" s="73">
        <v>100730</v>
      </c>
      <c r="J23" s="73">
        <f t="shared" si="0"/>
        <v>1678.8333333333333</v>
      </c>
      <c r="K23" s="72">
        <v>50936.81</v>
      </c>
      <c r="L23" s="72">
        <v>0</v>
      </c>
      <c r="M23" s="72">
        <v>0</v>
      </c>
      <c r="N23" s="72">
        <v>11678.84</v>
      </c>
      <c r="O23" s="72">
        <v>0</v>
      </c>
      <c r="P23" s="72">
        <v>39257.97</v>
      </c>
      <c r="Q23" s="74">
        <f>BD_LUCRO[[#This Row],[Lucro Líq.]]/BD_LUCRO[[#This Row],[Sacas/Ton]]</f>
        <v>23.384078228928821</v>
      </c>
    </row>
    <row r="24" spans="1:17">
      <c r="A24" s="68" t="s">
        <v>51</v>
      </c>
      <c r="B24" s="69">
        <v>2025</v>
      </c>
      <c r="C24" s="70">
        <v>45717</v>
      </c>
      <c r="D24" s="80" t="s">
        <v>150</v>
      </c>
      <c r="E24" s="71" t="s">
        <v>140</v>
      </c>
      <c r="F24" s="71" t="s">
        <v>52</v>
      </c>
      <c r="G24" s="80" t="s">
        <v>151</v>
      </c>
      <c r="H24" s="72" t="s">
        <v>33</v>
      </c>
      <c r="I24" s="73">
        <v>250549</v>
      </c>
      <c r="J24" s="73">
        <f t="shared" si="0"/>
        <v>4175.8166666666666</v>
      </c>
      <c r="K24" s="72">
        <v>107543.56</v>
      </c>
      <c r="L24" s="72">
        <v>0</v>
      </c>
      <c r="M24" s="72">
        <v>0</v>
      </c>
      <c r="N24" s="72">
        <v>2087.91</v>
      </c>
      <c r="O24" s="72">
        <v>0</v>
      </c>
      <c r="P24" s="72">
        <v>105455.66</v>
      </c>
      <c r="Q24" s="74">
        <f>BD_LUCRO[[#This Row],[Lucro Líq.]]/BD_LUCRO[[#This Row],[Sacas/Ton]]</f>
        <v>25.253900833769045</v>
      </c>
    </row>
    <row r="25" spans="1:17">
      <c r="A25" s="68" t="s">
        <v>51</v>
      </c>
      <c r="B25" s="69">
        <v>2025</v>
      </c>
      <c r="C25" s="70">
        <v>45717</v>
      </c>
      <c r="D25" s="80" t="s">
        <v>152</v>
      </c>
      <c r="E25" s="71" t="s">
        <v>140</v>
      </c>
      <c r="F25" s="71" t="s">
        <v>52</v>
      </c>
      <c r="G25" s="80" t="s">
        <v>53</v>
      </c>
      <c r="H25" s="72" t="s">
        <v>33</v>
      </c>
      <c r="I25" s="73">
        <v>26316</v>
      </c>
      <c r="J25" s="73">
        <f t="shared" si="0"/>
        <v>438.6</v>
      </c>
      <c r="K25" s="72">
        <v>10857.06</v>
      </c>
      <c r="L25" s="72">
        <v>0</v>
      </c>
      <c r="M25" s="72">
        <v>0</v>
      </c>
      <c r="N25" s="72">
        <v>219.3</v>
      </c>
      <c r="O25" s="72">
        <v>0</v>
      </c>
      <c r="P25" s="72">
        <v>10637.76</v>
      </c>
      <c r="Q25" s="74">
        <f>BD_LUCRO[[#This Row],[Lucro Líq.]]/BD_LUCRO[[#This Row],[Sacas/Ton]]</f>
        <v>24.253898768809847</v>
      </c>
    </row>
    <row r="26" spans="1:17">
      <c r="A26" s="68" t="s">
        <v>51</v>
      </c>
      <c r="B26" s="69">
        <v>2025</v>
      </c>
      <c r="C26" s="70">
        <v>45717</v>
      </c>
      <c r="D26" s="80" t="s">
        <v>153</v>
      </c>
      <c r="E26" s="71" t="s">
        <v>154</v>
      </c>
      <c r="F26" s="71" t="s">
        <v>155</v>
      </c>
      <c r="G26" s="80" t="s">
        <v>156</v>
      </c>
      <c r="H26" s="72" t="s">
        <v>33</v>
      </c>
      <c r="I26" s="73">
        <v>148670</v>
      </c>
      <c r="J26" s="73">
        <f t="shared" si="0"/>
        <v>2477.8333333333335</v>
      </c>
      <c r="K26" s="72">
        <v>4296.32</v>
      </c>
      <c r="L26" s="72">
        <v>0</v>
      </c>
      <c r="M26" s="72">
        <v>0</v>
      </c>
      <c r="N26" s="72">
        <v>2477.83</v>
      </c>
      <c r="O26" s="72">
        <v>0</v>
      </c>
      <c r="P26" s="72">
        <v>1818.48</v>
      </c>
      <c r="Q26" s="74">
        <f>BD_LUCRO[[#This Row],[Lucro Líq.]]/BD_LUCRO[[#This Row],[Sacas/Ton]]</f>
        <v>0.73389923992735584</v>
      </c>
    </row>
    <row r="27" spans="1:17">
      <c r="A27" s="68" t="s">
        <v>51</v>
      </c>
      <c r="B27" s="69">
        <v>2025</v>
      </c>
      <c r="C27" s="70">
        <v>45717</v>
      </c>
      <c r="D27" s="80" t="s">
        <v>157</v>
      </c>
      <c r="E27" s="71" t="s">
        <v>147</v>
      </c>
      <c r="F27" s="71" t="s">
        <v>50</v>
      </c>
      <c r="G27" s="80" t="s">
        <v>49</v>
      </c>
      <c r="H27" s="72" t="s">
        <v>33</v>
      </c>
      <c r="I27" s="73">
        <v>86130</v>
      </c>
      <c r="J27" s="73">
        <f t="shared" si="0"/>
        <v>1435.5</v>
      </c>
      <c r="K27" s="72">
        <v>45707.18</v>
      </c>
      <c r="L27" s="72">
        <v>0</v>
      </c>
      <c r="M27" s="72">
        <v>0</v>
      </c>
      <c r="N27" s="72">
        <v>11435.48</v>
      </c>
      <c r="O27" s="72">
        <v>0</v>
      </c>
      <c r="P27" s="72">
        <v>34271.699999999997</v>
      </c>
      <c r="Q27" s="74">
        <f>BD_LUCRO[[#This Row],[Lucro Líq.]]/BD_LUCRO[[#This Row],[Sacas/Ton]]</f>
        <v>23.874399164054335</v>
      </c>
    </row>
    <row r="28" spans="1:17">
      <c r="A28" s="68" t="s">
        <v>51</v>
      </c>
      <c r="B28" s="69">
        <v>2025</v>
      </c>
      <c r="C28" s="70">
        <v>45717</v>
      </c>
      <c r="D28" s="80" t="s">
        <v>157</v>
      </c>
      <c r="E28" s="71" t="s">
        <v>136</v>
      </c>
      <c r="F28" s="71" t="s">
        <v>137</v>
      </c>
      <c r="G28" s="80" t="s">
        <v>49</v>
      </c>
      <c r="H28" s="72" t="s">
        <v>33</v>
      </c>
      <c r="I28" s="73">
        <v>33120</v>
      </c>
      <c r="J28" s="73">
        <f t="shared" si="0"/>
        <v>552</v>
      </c>
      <c r="K28" s="72">
        <v>13384.84</v>
      </c>
      <c r="L28" s="72">
        <v>0</v>
      </c>
      <c r="M28" s="72">
        <v>0</v>
      </c>
      <c r="N28" s="72">
        <v>276</v>
      </c>
      <c r="O28" s="72">
        <v>0</v>
      </c>
      <c r="P28" s="72">
        <v>13108.84</v>
      </c>
      <c r="Q28" s="74">
        <f>BD_LUCRO[[#This Row],[Lucro Líq.]]/BD_LUCRO[[#This Row],[Sacas/Ton]]</f>
        <v>23.747898550724639</v>
      </c>
    </row>
    <row r="29" spans="1:17">
      <c r="A29" s="68" t="s">
        <v>51</v>
      </c>
      <c r="B29" s="69">
        <v>2025</v>
      </c>
      <c r="C29" s="70">
        <v>45717</v>
      </c>
      <c r="D29" s="80" t="s">
        <v>158</v>
      </c>
      <c r="E29" s="71" t="s">
        <v>159</v>
      </c>
      <c r="F29" s="71" t="s">
        <v>52</v>
      </c>
      <c r="G29" s="80" t="s">
        <v>49</v>
      </c>
      <c r="H29" s="72" t="s">
        <v>33</v>
      </c>
      <c r="I29" s="73">
        <v>272547</v>
      </c>
      <c r="J29" s="73">
        <f t="shared" si="0"/>
        <v>4542.45</v>
      </c>
      <c r="K29" s="72">
        <v>-6813.68</v>
      </c>
      <c r="L29" s="72">
        <v>0</v>
      </c>
      <c r="M29" s="72">
        <v>0</v>
      </c>
      <c r="N29" s="72">
        <v>0</v>
      </c>
      <c r="O29" s="72">
        <v>0</v>
      </c>
      <c r="P29" s="72">
        <v>-6813.68</v>
      </c>
      <c r="Q29" s="74">
        <f>BD_LUCRO[[#This Row],[Lucro Líq.]]/BD_LUCRO[[#This Row],[Sacas/Ton]]</f>
        <v>-1.5000011007275811</v>
      </c>
    </row>
    <row r="30" spans="1:17">
      <c r="A30" s="68" t="s">
        <v>51</v>
      </c>
      <c r="B30" s="69">
        <v>2025</v>
      </c>
      <c r="C30" s="70">
        <v>45748</v>
      </c>
      <c r="D30" s="80" t="s">
        <v>150</v>
      </c>
      <c r="E30" s="71" t="s">
        <v>160</v>
      </c>
      <c r="F30" s="71" t="s">
        <v>50</v>
      </c>
      <c r="G30" s="80" t="s">
        <v>151</v>
      </c>
      <c r="H30" s="72" t="s">
        <v>33</v>
      </c>
      <c r="I30" s="73">
        <v>13177</v>
      </c>
      <c r="J30" s="73">
        <f t="shared" si="0"/>
        <v>219.61666666666667</v>
      </c>
      <c r="K30" s="72">
        <v>-219.62</v>
      </c>
      <c r="L30" s="72">
        <v>0</v>
      </c>
      <c r="M30" s="72">
        <v>0</v>
      </c>
      <c r="N30" s="72">
        <v>0</v>
      </c>
      <c r="O30" s="72">
        <v>0</v>
      </c>
      <c r="P30" s="72">
        <v>-219.62</v>
      </c>
      <c r="Q30" s="74">
        <f>BD_LUCRO[[#This Row],[Lucro Líq.]]/BD_LUCRO[[#This Row],[Sacas/Ton]]</f>
        <v>-1.0000151779615998</v>
      </c>
    </row>
    <row r="31" spans="1:17">
      <c r="A31" s="68" t="s">
        <v>51</v>
      </c>
      <c r="B31" s="69">
        <v>2025</v>
      </c>
      <c r="C31" s="70">
        <v>45748</v>
      </c>
      <c r="D31" s="80" t="s">
        <v>150</v>
      </c>
      <c r="E31" s="71" t="s">
        <v>140</v>
      </c>
      <c r="F31" s="71" t="s">
        <v>52</v>
      </c>
      <c r="G31" s="80" t="s">
        <v>151</v>
      </c>
      <c r="H31" s="72" t="s">
        <v>33</v>
      </c>
      <c r="I31" s="73">
        <v>232720</v>
      </c>
      <c r="J31" s="73">
        <f t="shared" si="0"/>
        <v>3878.6666666666665</v>
      </c>
      <c r="K31" s="72">
        <v>99890.79</v>
      </c>
      <c r="L31" s="72">
        <v>0</v>
      </c>
      <c r="M31" s="72">
        <v>0</v>
      </c>
      <c r="N31" s="72">
        <v>1939.33</v>
      </c>
      <c r="O31" s="72">
        <v>0</v>
      </c>
      <c r="P31" s="72">
        <v>97951.46</v>
      </c>
      <c r="Q31" s="74">
        <f>BD_LUCRO[[#This Row],[Lucro Líq.]]/BD_LUCRO[[#This Row],[Sacas/Ton]]</f>
        <v>25.25389996562393</v>
      </c>
    </row>
    <row r="32" spans="1:17">
      <c r="A32" s="68" t="s">
        <v>51</v>
      </c>
      <c r="B32" s="69">
        <v>2025</v>
      </c>
      <c r="C32" s="70">
        <v>45748</v>
      </c>
      <c r="D32" s="80" t="s">
        <v>153</v>
      </c>
      <c r="E32" s="71" t="s">
        <v>154</v>
      </c>
      <c r="F32" s="71" t="s">
        <v>155</v>
      </c>
      <c r="G32" s="80" t="s">
        <v>156</v>
      </c>
      <c r="H32" s="72" t="s">
        <v>33</v>
      </c>
      <c r="I32" s="73">
        <v>147100</v>
      </c>
      <c r="J32" s="73">
        <f t="shared" si="0"/>
        <v>2451.6666666666665</v>
      </c>
      <c r="K32" s="72">
        <v>4250.9399999999996</v>
      </c>
      <c r="L32" s="72">
        <v>0</v>
      </c>
      <c r="M32" s="72">
        <v>0</v>
      </c>
      <c r="N32" s="72">
        <v>2451.67</v>
      </c>
      <c r="O32" s="72">
        <v>0</v>
      </c>
      <c r="P32" s="72">
        <v>1799.28</v>
      </c>
      <c r="Q32" s="74">
        <f>BD_LUCRO[[#This Row],[Lucro Líq.]]/BD_LUCRO[[#This Row],[Sacas/Ton]]</f>
        <v>0.73390074779061865</v>
      </c>
    </row>
    <row r="33" spans="1:17">
      <c r="A33" s="68" t="s">
        <v>51</v>
      </c>
      <c r="B33" s="69">
        <v>2025</v>
      </c>
      <c r="C33" s="70">
        <v>45748</v>
      </c>
      <c r="D33" s="80" t="s">
        <v>161</v>
      </c>
      <c r="E33" s="71" t="s">
        <v>154</v>
      </c>
      <c r="F33" s="71" t="s">
        <v>155</v>
      </c>
      <c r="G33" s="80" t="s">
        <v>156</v>
      </c>
      <c r="H33" s="72" t="s">
        <v>33</v>
      </c>
      <c r="I33" s="73">
        <v>424230</v>
      </c>
      <c r="J33" s="73">
        <f t="shared" si="0"/>
        <v>7070.5</v>
      </c>
      <c r="K33" s="72">
        <v>97105.54</v>
      </c>
      <c r="L33" s="72">
        <v>0</v>
      </c>
      <c r="M33" s="72">
        <v>0</v>
      </c>
      <c r="N33" s="72">
        <v>59995.69</v>
      </c>
      <c r="O33" s="72">
        <v>0</v>
      </c>
      <c r="P33" s="72">
        <v>37109.85</v>
      </c>
      <c r="Q33" s="74">
        <f>BD_LUCRO[[#This Row],[Lucro Líq.]]/BD_LUCRO[[#This Row],[Sacas/Ton]]</f>
        <v>5.2485467788699527</v>
      </c>
    </row>
    <row r="34" spans="1:17">
      <c r="A34" s="68" t="s">
        <v>51</v>
      </c>
      <c r="B34" s="69">
        <v>2025</v>
      </c>
      <c r="C34" s="70">
        <v>45748</v>
      </c>
      <c r="D34" s="80" t="s">
        <v>162</v>
      </c>
      <c r="E34" s="71" t="s">
        <v>163</v>
      </c>
      <c r="F34" s="71" t="s">
        <v>125</v>
      </c>
      <c r="G34" s="80" t="s">
        <v>126</v>
      </c>
      <c r="H34" s="72" t="s">
        <v>33</v>
      </c>
      <c r="I34" s="73">
        <v>1200000</v>
      </c>
      <c r="J34" s="73">
        <f t="shared" si="0"/>
        <v>20000</v>
      </c>
      <c r="K34" s="72">
        <v>323425.42</v>
      </c>
      <c r="L34" s="72">
        <v>249279.58</v>
      </c>
      <c r="M34" s="72">
        <v>0</v>
      </c>
      <c r="N34" s="72">
        <v>26126</v>
      </c>
      <c r="O34" s="72">
        <v>0</v>
      </c>
      <c r="P34" s="72">
        <v>48019.83</v>
      </c>
      <c r="Q34" s="74">
        <f>BD_LUCRO[[#This Row],[Lucro Líq.]]/BD_LUCRO[[#This Row],[Sacas/Ton]]</f>
        <v>2.4009914999999999</v>
      </c>
    </row>
    <row r="35" spans="1:17">
      <c r="A35" s="68" t="s">
        <v>51</v>
      </c>
      <c r="B35" s="69">
        <v>2025</v>
      </c>
      <c r="C35" s="70">
        <v>45748</v>
      </c>
      <c r="D35" s="80" t="s">
        <v>162</v>
      </c>
      <c r="E35" s="71" t="s">
        <v>164</v>
      </c>
      <c r="F35" s="71" t="s">
        <v>165</v>
      </c>
      <c r="G35" s="80" t="s">
        <v>126</v>
      </c>
      <c r="H35" s="72" t="s">
        <v>33</v>
      </c>
      <c r="I35" s="73">
        <v>668190</v>
      </c>
      <c r="J35" s="73">
        <f t="shared" si="0"/>
        <v>11136.5</v>
      </c>
      <c r="K35" s="72">
        <v>210327.67</v>
      </c>
      <c r="L35" s="72">
        <v>173729.4</v>
      </c>
      <c r="M35" s="72">
        <v>0</v>
      </c>
      <c r="N35" s="72">
        <v>8979.36</v>
      </c>
      <c r="O35" s="72">
        <v>0</v>
      </c>
      <c r="P35" s="72">
        <v>27618.91</v>
      </c>
      <c r="Q35" s="74">
        <f>BD_LUCRO[[#This Row],[Lucro Líq.]]/BD_LUCRO[[#This Row],[Sacas/Ton]]</f>
        <v>2.4800350199793471</v>
      </c>
    </row>
    <row r="36" spans="1:17">
      <c r="A36" s="68" t="s">
        <v>51</v>
      </c>
      <c r="B36" s="69">
        <v>2025</v>
      </c>
      <c r="C36" s="70">
        <v>45778</v>
      </c>
      <c r="D36" s="80" t="s">
        <v>167</v>
      </c>
      <c r="E36" s="71" t="s">
        <v>124</v>
      </c>
      <c r="F36" s="71" t="s">
        <v>125</v>
      </c>
      <c r="G36" s="80" t="s">
        <v>168</v>
      </c>
      <c r="H36" s="72" t="s">
        <v>33</v>
      </c>
      <c r="I36" s="73">
        <v>21230</v>
      </c>
      <c r="J36" s="73">
        <f t="shared" si="0"/>
        <v>353.83333333333331</v>
      </c>
      <c r="K36" s="72">
        <v>5130.58</v>
      </c>
      <c r="L36" s="72">
        <v>6262.85</v>
      </c>
      <c r="M36" s="72">
        <v>0</v>
      </c>
      <c r="N36" s="72">
        <v>215.84</v>
      </c>
      <c r="O36" s="72">
        <v>0</v>
      </c>
      <c r="P36" s="72">
        <v>-1348.1</v>
      </c>
      <c r="Q36" s="74">
        <f>BD_LUCRO[[#This Row],[Lucro Líq.]]/BD_LUCRO[[#This Row],[Sacas/Ton]]</f>
        <v>-3.8099858690532264</v>
      </c>
    </row>
    <row r="37" spans="1:17">
      <c r="A37" s="68" t="s">
        <v>51</v>
      </c>
      <c r="B37" s="69">
        <v>2025</v>
      </c>
      <c r="C37" s="70">
        <v>45778</v>
      </c>
      <c r="D37" s="80" t="s">
        <v>167</v>
      </c>
      <c r="E37" s="71" t="s">
        <v>164</v>
      </c>
      <c r="F37" s="71" t="s">
        <v>165</v>
      </c>
      <c r="G37" s="80" t="s">
        <v>168</v>
      </c>
      <c r="H37" s="72" t="s">
        <v>33</v>
      </c>
      <c r="I37" s="73">
        <v>531810</v>
      </c>
      <c r="J37" s="73">
        <f t="shared" si="0"/>
        <v>8863.5</v>
      </c>
      <c r="K37" s="72">
        <v>165099</v>
      </c>
      <c r="L37" s="72">
        <v>144629.10999999999</v>
      </c>
      <c r="M37" s="72">
        <v>0</v>
      </c>
      <c r="N37" s="72">
        <v>7179.44</v>
      </c>
      <c r="O37" s="72">
        <v>0</v>
      </c>
      <c r="P37" s="72">
        <v>13290.45</v>
      </c>
      <c r="Q37" s="74">
        <f>BD_LUCRO[[#This Row],[Lucro Líq.]]/BD_LUCRO[[#This Row],[Sacas/Ton]]</f>
        <v>1.4994584532069726</v>
      </c>
    </row>
    <row r="38" spans="1:17">
      <c r="A38" s="68" t="s">
        <v>51</v>
      </c>
      <c r="B38" s="69">
        <v>2025</v>
      </c>
      <c r="C38" s="70">
        <v>45778</v>
      </c>
      <c r="D38" s="80" t="s">
        <v>169</v>
      </c>
      <c r="E38" s="71" t="s">
        <v>140</v>
      </c>
      <c r="F38" s="71" t="s">
        <v>52</v>
      </c>
      <c r="G38" s="80" t="s">
        <v>52</v>
      </c>
      <c r="H38" s="72" t="s">
        <v>33</v>
      </c>
      <c r="I38" s="73">
        <v>939870</v>
      </c>
      <c r="J38" s="73">
        <f t="shared" si="0"/>
        <v>15664.5</v>
      </c>
      <c r="K38" s="72">
        <v>511586.91</v>
      </c>
      <c r="L38" s="72">
        <v>0</v>
      </c>
      <c r="M38" s="72">
        <v>0</v>
      </c>
      <c r="N38" s="72">
        <v>7832.25</v>
      </c>
      <c r="O38" s="72">
        <v>0</v>
      </c>
      <c r="P38" s="72">
        <v>503754.66</v>
      </c>
      <c r="Q38" s="74">
        <f>BD_LUCRO[[#This Row],[Lucro Líq.]]/BD_LUCRO[[#This Row],[Sacas/Ton]]</f>
        <v>32.15900028727377</v>
      </c>
    </row>
    <row r="39" spans="1:17">
      <c r="A39" s="68" t="s">
        <v>51</v>
      </c>
      <c r="B39" s="69">
        <v>2025</v>
      </c>
      <c r="C39" s="70">
        <v>45778</v>
      </c>
      <c r="D39" s="80" t="s">
        <v>169</v>
      </c>
      <c r="E39" s="71" t="s">
        <v>170</v>
      </c>
      <c r="F39" s="71" t="s">
        <v>52</v>
      </c>
      <c r="G39" s="80" t="s">
        <v>52</v>
      </c>
      <c r="H39" s="72" t="s">
        <v>33</v>
      </c>
      <c r="I39" s="73">
        <v>66650</v>
      </c>
      <c r="J39" s="73">
        <f t="shared" si="0"/>
        <v>1110.8333333333333</v>
      </c>
      <c r="K39" s="72">
        <v>19591.21</v>
      </c>
      <c r="L39" s="72">
        <v>0</v>
      </c>
      <c r="M39" s="72">
        <v>0</v>
      </c>
      <c r="N39" s="72">
        <v>0</v>
      </c>
      <c r="O39" s="72">
        <v>0</v>
      </c>
      <c r="P39" s="72">
        <v>19591.21</v>
      </c>
      <c r="Q39" s="74">
        <f>BD_LUCRO[[#This Row],[Lucro Líq.]]/BD_LUCRO[[#This Row],[Sacas/Ton]]</f>
        <v>17.636498124531133</v>
      </c>
    </row>
    <row r="40" spans="1:17">
      <c r="A40" s="68" t="s">
        <v>51</v>
      </c>
      <c r="B40" s="69">
        <v>2025</v>
      </c>
      <c r="C40" s="70">
        <v>45778</v>
      </c>
      <c r="D40" s="80" t="s">
        <v>169</v>
      </c>
      <c r="E40" s="71" t="s">
        <v>171</v>
      </c>
      <c r="F40" s="71" t="s">
        <v>52</v>
      </c>
      <c r="G40" s="80" t="s">
        <v>52</v>
      </c>
      <c r="H40" s="72" t="s">
        <v>33</v>
      </c>
      <c r="I40" s="73">
        <v>193480</v>
      </c>
      <c r="J40" s="73">
        <f t="shared" si="0"/>
        <v>3224.6666666666665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0</v>
      </c>
      <c r="Q40" s="74">
        <f>BD_LUCRO[[#This Row],[Lucro Líq.]]/BD_LUCRO[[#This Row],[Sacas/Ton]]</f>
        <v>0</v>
      </c>
    </row>
    <row r="41" spans="1:17">
      <c r="A41" s="68" t="s">
        <v>51</v>
      </c>
      <c r="B41" s="69">
        <v>2025</v>
      </c>
      <c r="C41" s="70">
        <v>45809</v>
      </c>
      <c r="D41" s="80" t="s">
        <v>92</v>
      </c>
      <c r="E41" s="71" t="s">
        <v>172</v>
      </c>
      <c r="F41" s="71" t="s">
        <v>137</v>
      </c>
      <c r="G41" s="80" t="s">
        <v>92</v>
      </c>
      <c r="H41" s="72" t="s">
        <v>173</v>
      </c>
      <c r="I41" s="73">
        <v>415540</v>
      </c>
      <c r="J41" s="73">
        <f t="shared" si="0"/>
        <v>6925.666666666667</v>
      </c>
      <c r="K41" s="72">
        <v>0</v>
      </c>
      <c r="L41" s="72">
        <v>102024.6</v>
      </c>
      <c r="M41" s="72">
        <v>0</v>
      </c>
      <c r="N41" s="72">
        <v>0</v>
      </c>
      <c r="O41" s="72">
        <v>0</v>
      </c>
      <c r="P41" s="72">
        <v>0</v>
      </c>
      <c r="Q41" s="74">
        <f>BD_LUCRO[[#This Row],[Lucro Líq.]]/BD_LUCRO[[#This Row],[Sacas/Ton]]</f>
        <v>0</v>
      </c>
    </row>
    <row r="42" spans="1:17">
      <c r="A42" s="68" t="s">
        <v>51</v>
      </c>
      <c r="B42" s="69">
        <v>2025</v>
      </c>
      <c r="C42" s="70">
        <v>45809</v>
      </c>
      <c r="D42" s="80" t="s">
        <v>92</v>
      </c>
      <c r="E42" s="71" t="s">
        <v>174</v>
      </c>
      <c r="F42" s="71" t="s">
        <v>175</v>
      </c>
      <c r="G42" s="80" t="s">
        <v>92</v>
      </c>
      <c r="H42" s="72" t="s">
        <v>176</v>
      </c>
      <c r="I42" s="73">
        <v>25000</v>
      </c>
      <c r="J42" s="73">
        <f t="shared" si="0"/>
        <v>416.66666666666669</v>
      </c>
      <c r="K42" s="72">
        <v>0</v>
      </c>
      <c r="L42" s="72">
        <v>5000</v>
      </c>
      <c r="M42" s="72">
        <v>0</v>
      </c>
      <c r="N42" s="72">
        <v>1250</v>
      </c>
      <c r="O42" s="72">
        <v>0</v>
      </c>
      <c r="P42" s="72">
        <v>0</v>
      </c>
      <c r="Q42" s="74">
        <f>BD_LUCRO[[#This Row],[Lucro Líq.]]/BD_LUCRO[[#This Row],[Sacas/Ton]]</f>
        <v>0</v>
      </c>
    </row>
    <row r="43" spans="1:17">
      <c r="A43" s="68" t="s">
        <v>51</v>
      </c>
      <c r="B43" s="69">
        <v>2025</v>
      </c>
      <c r="C43" s="70">
        <v>45809</v>
      </c>
      <c r="D43" s="80" t="s">
        <v>177</v>
      </c>
      <c r="E43" s="71" t="s">
        <v>178</v>
      </c>
      <c r="F43" s="71" t="s">
        <v>52</v>
      </c>
      <c r="G43" s="80" t="s">
        <v>156</v>
      </c>
      <c r="H43" s="72" t="s">
        <v>179</v>
      </c>
      <c r="I43" s="73">
        <v>548850</v>
      </c>
      <c r="J43" s="73">
        <f t="shared" si="0"/>
        <v>9147.5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4">
        <f>BD_LUCRO[[#This Row],[Lucro Líq.]]/BD_LUCRO[[#This Row],[Sacas/Ton]]</f>
        <v>0</v>
      </c>
    </row>
    <row r="44" spans="1:17">
      <c r="A44" s="68" t="s">
        <v>51</v>
      </c>
      <c r="B44" s="69">
        <v>2025</v>
      </c>
      <c r="C44" s="70">
        <v>45870</v>
      </c>
      <c r="D44" s="80" t="s">
        <v>183</v>
      </c>
      <c r="E44" s="71" t="s">
        <v>92</v>
      </c>
      <c r="F44" s="71" t="s">
        <v>92</v>
      </c>
      <c r="G44" s="80" t="s">
        <v>156</v>
      </c>
      <c r="H44" s="72" t="s">
        <v>173</v>
      </c>
      <c r="I44" s="73">
        <v>289040</v>
      </c>
      <c r="J44" s="73">
        <f t="shared" si="0"/>
        <v>4817.333333333333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102155.89</v>
      </c>
      <c r="Q44" s="74">
        <f>BD_LUCRO[[#This Row],[Lucro Líq.]]/BD_LUCRO[[#This Row],[Sacas/Ton]]</f>
        <v>21.205900221422642</v>
      </c>
    </row>
    <row r="45" spans="1:17">
      <c r="A45" s="68" t="s">
        <v>51</v>
      </c>
      <c r="B45" s="69">
        <v>2025</v>
      </c>
      <c r="C45" s="70">
        <v>45870</v>
      </c>
      <c r="D45" s="80" t="s">
        <v>184</v>
      </c>
      <c r="E45" s="71" t="s">
        <v>92</v>
      </c>
      <c r="F45" s="71" t="s">
        <v>92</v>
      </c>
      <c r="G45" s="80" t="s">
        <v>185</v>
      </c>
      <c r="H45" s="72" t="s">
        <v>173</v>
      </c>
      <c r="I45" s="73">
        <v>109362</v>
      </c>
      <c r="J45" s="73">
        <f t="shared" si="0"/>
        <v>1822.7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-111380.28</v>
      </c>
      <c r="Q45" s="74">
        <f>BD_LUCRO[[#This Row],[Lucro Líq.]]/BD_LUCRO[[#This Row],[Sacas/Ton]]</f>
        <v>-61.107302353651171</v>
      </c>
    </row>
    <row r="46" spans="1:17">
      <c r="A46" s="68" t="s">
        <v>51</v>
      </c>
      <c r="B46" s="69">
        <v>2025</v>
      </c>
      <c r="C46" s="70">
        <v>45870</v>
      </c>
      <c r="D46" s="80" t="s">
        <v>186</v>
      </c>
      <c r="E46" s="71" t="s">
        <v>187</v>
      </c>
      <c r="F46" s="71" t="s">
        <v>188</v>
      </c>
      <c r="G46" s="80" t="s">
        <v>189</v>
      </c>
      <c r="H46" s="72" t="s">
        <v>190</v>
      </c>
      <c r="I46" s="73">
        <v>88820</v>
      </c>
      <c r="J46" s="73">
        <f t="shared" si="0"/>
        <v>1480.3333333333333</v>
      </c>
      <c r="K46" s="72">
        <v>17764</v>
      </c>
      <c r="L46" s="72">
        <v>0</v>
      </c>
      <c r="M46" s="72">
        <v>0</v>
      </c>
      <c r="N46" s="72">
        <v>4051.2</v>
      </c>
      <c r="O46" s="72">
        <v>0</v>
      </c>
      <c r="P46" s="72">
        <v>13712.8</v>
      </c>
      <c r="Q46" s="74">
        <f>BD_LUCRO[[#This Row],[Lucro Líq.]]/BD_LUCRO[[#This Row],[Sacas/Ton]]</f>
        <v>9.2633190722810177</v>
      </c>
    </row>
    <row r="47" spans="1:17">
      <c r="A47" s="68" t="s">
        <v>51</v>
      </c>
      <c r="B47" s="69">
        <v>2025</v>
      </c>
      <c r="C47" s="70">
        <v>45901</v>
      </c>
      <c r="D47" s="80" t="s">
        <v>195</v>
      </c>
      <c r="E47" s="71" t="s">
        <v>196</v>
      </c>
      <c r="F47" s="71" t="s">
        <v>197</v>
      </c>
      <c r="G47" s="80" t="s">
        <v>156</v>
      </c>
      <c r="H47" s="72" t="s">
        <v>33</v>
      </c>
      <c r="I47" s="73">
        <v>479950</v>
      </c>
      <c r="J47" s="73">
        <f t="shared" si="0"/>
        <v>7999.166666666667</v>
      </c>
      <c r="K47" s="72">
        <v>-39995.83</v>
      </c>
      <c r="L47" s="72">
        <v>0</v>
      </c>
      <c r="M47" s="72">
        <v>0</v>
      </c>
      <c r="N47" s="72">
        <v>0</v>
      </c>
      <c r="O47" s="72">
        <v>0</v>
      </c>
      <c r="P47" s="72">
        <v>-39995.83</v>
      </c>
      <c r="Q47" s="74">
        <f>BD_LUCRO[[#This Row],[Lucro Líq.]]/BD_LUCRO[[#This Row],[Sacas/Ton]]</f>
        <v>-4.9999995832899264</v>
      </c>
    </row>
    <row r="48" spans="1:17">
      <c r="A48" s="68" t="s">
        <v>51</v>
      </c>
      <c r="B48" s="69">
        <v>2025</v>
      </c>
      <c r="C48" s="70">
        <v>45931</v>
      </c>
      <c r="D48" s="80" t="s">
        <v>200</v>
      </c>
      <c r="E48" s="71" t="s">
        <v>201</v>
      </c>
      <c r="F48" s="71" t="s">
        <v>197</v>
      </c>
      <c r="G48" s="80" t="s">
        <v>202</v>
      </c>
      <c r="H48" s="72" t="s">
        <v>33</v>
      </c>
      <c r="I48" s="73">
        <v>240940</v>
      </c>
      <c r="J48" s="73">
        <f t="shared" si="0"/>
        <v>4015.6666666666665</v>
      </c>
      <c r="K48" s="72">
        <v>20078.330000000002</v>
      </c>
      <c r="L48" s="72">
        <v>0</v>
      </c>
      <c r="M48" s="72">
        <v>0</v>
      </c>
      <c r="N48" s="72">
        <v>0</v>
      </c>
      <c r="O48" s="72">
        <v>0</v>
      </c>
      <c r="P48" s="72">
        <v>20078.330000000002</v>
      </c>
      <c r="Q48" s="74">
        <f>BD_LUCRO[[#This Row],[Lucro Líq.]]/BD_LUCRO[[#This Row],[Sacas/Ton]]</f>
        <v>4.9999991699178228</v>
      </c>
    </row>
    <row r="49" spans="1:17">
      <c r="A49" s="68" t="s">
        <v>51</v>
      </c>
      <c r="B49" s="69">
        <v>2025</v>
      </c>
      <c r="C49" s="70">
        <v>45931</v>
      </c>
      <c r="D49" s="80" t="s">
        <v>203</v>
      </c>
      <c r="E49" s="71" t="s">
        <v>201</v>
      </c>
      <c r="F49" s="71" t="s">
        <v>197</v>
      </c>
      <c r="G49" s="80" t="s">
        <v>202</v>
      </c>
      <c r="H49" s="72" t="s">
        <v>33</v>
      </c>
      <c r="I49" s="73">
        <v>252000</v>
      </c>
      <c r="J49" s="73">
        <f t="shared" si="0"/>
        <v>4200</v>
      </c>
      <c r="K49" s="72">
        <v>21000</v>
      </c>
      <c r="L49" s="72">
        <v>0</v>
      </c>
      <c r="M49" s="72">
        <v>0</v>
      </c>
      <c r="N49" s="72">
        <v>0</v>
      </c>
      <c r="O49" s="72">
        <v>0</v>
      </c>
      <c r="P49" s="72">
        <v>21000</v>
      </c>
      <c r="Q49" s="74">
        <f>BD_LUCRO[[#This Row],[Lucro Líq.]]/BD_LUCRO[[#This Row],[Sacas/Ton]]</f>
        <v>5</v>
      </c>
    </row>
    <row r="50" spans="1:17">
      <c r="A50" s="68" t="s">
        <v>51</v>
      </c>
      <c r="B50" s="69">
        <v>2025</v>
      </c>
      <c r="C50" s="70">
        <v>45931</v>
      </c>
      <c r="D50" s="80" t="s">
        <v>204</v>
      </c>
      <c r="E50" s="71" t="s">
        <v>205</v>
      </c>
      <c r="F50" s="71" t="s">
        <v>206</v>
      </c>
      <c r="G50" s="80" t="s">
        <v>156</v>
      </c>
      <c r="H50" s="72" t="s">
        <v>207</v>
      </c>
      <c r="I50" s="73">
        <v>180560</v>
      </c>
      <c r="J50" s="73">
        <f t="shared" si="0"/>
        <v>3009.3333333333335</v>
      </c>
      <c r="K50" s="72">
        <v>12639.2</v>
      </c>
      <c r="L50" s="72">
        <v>0</v>
      </c>
      <c r="M50" s="72">
        <v>0</v>
      </c>
      <c r="N50" s="72">
        <v>0</v>
      </c>
      <c r="O50" s="72">
        <v>0</v>
      </c>
      <c r="P50" s="72">
        <v>12639.2</v>
      </c>
      <c r="Q50" s="74">
        <f>BD_LUCRO[[#This Row],[Lucro Líq.]]/BD_LUCRO[[#This Row],[Sacas/Ton]]</f>
        <v>4.2</v>
      </c>
    </row>
    <row r="51" spans="1:17">
      <c r="A51" s="68" t="s">
        <v>51</v>
      </c>
      <c r="B51" s="69">
        <v>2025</v>
      </c>
      <c r="C51" s="70">
        <v>45962</v>
      </c>
      <c r="D51" s="80" t="s">
        <v>204</v>
      </c>
      <c r="E51" s="71" t="s">
        <v>205</v>
      </c>
      <c r="F51" s="71" t="s">
        <v>206</v>
      </c>
      <c r="G51" s="80" t="s">
        <v>156</v>
      </c>
      <c r="H51" s="72" t="s">
        <v>207</v>
      </c>
      <c r="I51" s="73">
        <v>319440</v>
      </c>
      <c r="J51" s="73">
        <f t="shared" si="0"/>
        <v>5324</v>
      </c>
      <c r="K51" s="72">
        <v>22360.799999999999</v>
      </c>
      <c r="L51" s="72">
        <v>0</v>
      </c>
      <c r="M51" s="72">
        <v>0</v>
      </c>
      <c r="N51" s="72">
        <v>0</v>
      </c>
      <c r="O51" s="72">
        <v>0</v>
      </c>
      <c r="P51" s="72">
        <v>22360.799999999999</v>
      </c>
      <c r="Q51" s="74">
        <f>BD_LUCRO[[#This Row],[Lucro Líq.]]/BD_LUCRO[[#This Row],[Sacas/Ton]]</f>
        <v>4.2</v>
      </c>
    </row>
    <row r="52" spans="1:17">
      <c r="A52" s="68" t="s">
        <v>51</v>
      </c>
      <c r="B52" s="69">
        <v>2025</v>
      </c>
      <c r="C52" s="70">
        <v>45962</v>
      </c>
      <c r="D52" s="80" t="s">
        <v>208</v>
      </c>
      <c r="E52" s="71" t="s">
        <v>209</v>
      </c>
      <c r="F52" s="71" t="s">
        <v>52</v>
      </c>
      <c r="G52" s="80" t="s">
        <v>52</v>
      </c>
      <c r="H52" s="72" t="s">
        <v>210</v>
      </c>
      <c r="I52" s="73">
        <v>900000</v>
      </c>
      <c r="J52" s="73">
        <f t="shared" si="0"/>
        <v>15000</v>
      </c>
      <c r="K52" s="72">
        <v>0</v>
      </c>
      <c r="L52" s="72">
        <v>0</v>
      </c>
      <c r="M52" s="72">
        <v>0</v>
      </c>
      <c r="N52" s="72">
        <v>0</v>
      </c>
      <c r="O52" s="72">
        <v>0</v>
      </c>
      <c r="P52" s="72">
        <v>0</v>
      </c>
      <c r="Q52" s="74">
        <f>BD_LUCRO[[#This Row],[Lucro Líq.]]/BD_LUCRO[[#This Row],[Sacas/Ton]]</f>
        <v>0</v>
      </c>
    </row>
    <row r="53" spans="1:17">
      <c r="A53" s="68" t="s">
        <v>216</v>
      </c>
      <c r="B53" s="69">
        <v>2025</v>
      </c>
      <c r="C53" s="70">
        <v>45658</v>
      </c>
      <c r="D53" s="80" t="s">
        <v>211</v>
      </c>
      <c r="E53" s="71" t="s">
        <v>212</v>
      </c>
      <c r="F53" s="71" t="s">
        <v>213</v>
      </c>
      <c r="G53" s="80" t="s">
        <v>214</v>
      </c>
      <c r="H53" s="72" t="s">
        <v>215</v>
      </c>
      <c r="I53" s="73">
        <v>133260</v>
      </c>
      <c r="J53" s="73">
        <f t="shared" si="0"/>
        <v>2221</v>
      </c>
      <c r="K53" s="72">
        <v>63863.51</v>
      </c>
      <c r="L53" s="72">
        <v>37076.839999999997</v>
      </c>
      <c r="M53" s="72">
        <v>3518.06</v>
      </c>
      <c r="N53" s="72">
        <v>666.3</v>
      </c>
      <c r="O53" s="72">
        <v>0</v>
      </c>
      <c r="P53" s="72">
        <v>22602.31</v>
      </c>
      <c r="Q53" s="74">
        <f>BD_LUCRO[[#This Row],[Lucro Líq.]]/BD_LUCRO[[#This Row],[Sacas/Ton]]</f>
        <v>10.176636650157587</v>
      </c>
    </row>
    <row r="54" spans="1:17">
      <c r="A54" s="68" t="s">
        <v>216</v>
      </c>
      <c r="B54" s="69">
        <v>2025</v>
      </c>
      <c r="C54" s="83">
        <v>45689</v>
      </c>
      <c r="D54" s="80" t="s">
        <v>92</v>
      </c>
      <c r="E54" s="71" t="s">
        <v>227</v>
      </c>
      <c r="F54" s="71" t="s">
        <v>228</v>
      </c>
      <c r="G54" s="80" t="s">
        <v>92</v>
      </c>
      <c r="H54" s="72" t="s">
        <v>179</v>
      </c>
      <c r="I54" s="73">
        <v>5540</v>
      </c>
      <c r="J54" s="73">
        <f t="shared" si="0"/>
        <v>92.333333333333329</v>
      </c>
      <c r="K54" s="72">
        <v>0</v>
      </c>
      <c r="L54" s="72">
        <v>0</v>
      </c>
      <c r="M54" s="72">
        <v>0</v>
      </c>
      <c r="N54" s="72">
        <v>0</v>
      </c>
      <c r="O54" s="72">
        <v>0</v>
      </c>
      <c r="P54" s="72">
        <v>0</v>
      </c>
      <c r="Q54" s="74">
        <f>BD_LUCRO[[#This Row],[Lucro Líq.]]/BD_LUCRO[[#This Row],[Sacas/Ton]]</f>
        <v>0</v>
      </c>
    </row>
    <row r="55" spans="1:17">
      <c r="A55" s="68" t="s">
        <v>216</v>
      </c>
      <c r="B55" s="69">
        <v>2025</v>
      </c>
      <c r="C55" s="83">
        <v>45689</v>
      </c>
      <c r="D55" s="80" t="s">
        <v>229</v>
      </c>
      <c r="E55" s="80" t="s">
        <v>92</v>
      </c>
      <c r="F55" s="80" t="s">
        <v>92</v>
      </c>
      <c r="G55" s="80" t="s">
        <v>228</v>
      </c>
      <c r="H55" s="72" t="s">
        <v>230</v>
      </c>
      <c r="I55" s="84">
        <v>2380</v>
      </c>
      <c r="J55" s="84">
        <f t="shared" si="0"/>
        <v>39.666666666666664</v>
      </c>
      <c r="K55" s="72">
        <v>0</v>
      </c>
      <c r="L55" s="72">
        <v>0</v>
      </c>
      <c r="M55" s="72">
        <v>404.6</v>
      </c>
      <c r="N55" s="72">
        <v>0</v>
      </c>
      <c r="O55" s="72">
        <v>0</v>
      </c>
      <c r="P55" s="72">
        <v>-15564.04</v>
      </c>
      <c r="Q55" s="74">
        <f>BD_LUCRO[[#This Row],[Lucro Líq.]]/BD_LUCRO[[#This Row],[Sacas/Ton]]</f>
        <v>-392.37075630252104</v>
      </c>
    </row>
    <row r="56" spans="1:17">
      <c r="A56" s="68" t="s">
        <v>216</v>
      </c>
      <c r="B56" s="69">
        <v>2025</v>
      </c>
      <c r="C56" s="70">
        <v>45717</v>
      </c>
      <c r="D56" s="80" t="s">
        <v>234</v>
      </c>
      <c r="E56" s="71" t="s">
        <v>235</v>
      </c>
      <c r="F56" s="71" t="s">
        <v>236</v>
      </c>
      <c r="G56" s="80" t="s">
        <v>48</v>
      </c>
      <c r="H56" s="72" t="s">
        <v>33</v>
      </c>
      <c r="I56" s="73">
        <v>360000</v>
      </c>
      <c r="J56" s="73">
        <f t="shared" si="0"/>
        <v>6000</v>
      </c>
      <c r="K56" s="72">
        <v>14400</v>
      </c>
      <c r="L56" s="72">
        <v>0</v>
      </c>
      <c r="M56" s="72">
        <v>0</v>
      </c>
      <c r="N56" s="72">
        <v>2400</v>
      </c>
      <c r="O56" s="72">
        <v>0</v>
      </c>
      <c r="P56" s="72">
        <v>12000</v>
      </c>
      <c r="Q56" s="74">
        <f>BD_LUCRO[[#This Row],[Lucro Líq.]]/BD_LUCRO[[#This Row],[Sacas/Ton]]</f>
        <v>2</v>
      </c>
    </row>
    <row r="57" spans="1:17">
      <c r="A57" s="68" t="s">
        <v>216</v>
      </c>
      <c r="B57" s="69">
        <v>2025</v>
      </c>
      <c r="C57" s="70">
        <v>45717</v>
      </c>
      <c r="D57" s="80" t="s">
        <v>237</v>
      </c>
      <c r="E57" s="71" t="s">
        <v>238</v>
      </c>
      <c r="F57" s="71" t="s">
        <v>239</v>
      </c>
      <c r="G57" s="80" t="s">
        <v>48</v>
      </c>
      <c r="H57" s="72" t="s">
        <v>33</v>
      </c>
      <c r="I57" s="73">
        <v>148670</v>
      </c>
      <c r="J57" s="73">
        <f t="shared" si="0"/>
        <v>2477.8333333333335</v>
      </c>
      <c r="K57" s="72">
        <v>54512.33</v>
      </c>
      <c r="L57" s="72">
        <v>0</v>
      </c>
      <c r="M57" s="72">
        <v>0</v>
      </c>
      <c r="N57" s="72">
        <v>0</v>
      </c>
      <c r="O57" s="72">
        <v>0</v>
      </c>
      <c r="P57" s="72">
        <v>54512.33</v>
      </c>
      <c r="Q57" s="74">
        <f>BD_LUCRO[[#This Row],[Lucro Líq.]]/BD_LUCRO[[#This Row],[Sacas/Ton]]</f>
        <v>21.999998654738683</v>
      </c>
    </row>
    <row r="58" spans="1:17">
      <c r="A58" s="68" t="s">
        <v>216</v>
      </c>
      <c r="B58" s="69">
        <v>2025</v>
      </c>
      <c r="C58" s="70">
        <v>45717</v>
      </c>
      <c r="D58" s="80" t="s">
        <v>240</v>
      </c>
      <c r="E58" s="71" t="s">
        <v>241</v>
      </c>
      <c r="F58" s="71" t="s">
        <v>242</v>
      </c>
      <c r="G58" s="80" t="s">
        <v>243</v>
      </c>
      <c r="H58" s="72" t="s">
        <v>33</v>
      </c>
      <c r="I58" s="73">
        <v>828180</v>
      </c>
      <c r="J58" s="73">
        <f t="shared" si="0"/>
        <v>13803</v>
      </c>
      <c r="K58" s="72">
        <v>577262</v>
      </c>
      <c r="L58" s="72">
        <v>432839.6</v>
      </c>
      <c r="M58" s="72">
        <v>0</v>
      </c>
      <c r="N58" s="72">
        <v>27606</v>
      </c>
      <c r="O58" s="72">
        <v>0</v>
      </c>
      <c r="P58" s="72">
        <v>114459.95</v>
      </c>
      <c r="Q58" s="74">
        <f>BD_LUCRO[[#This Row],[Lucro Líq.]]/BD_LUCRO[[#This Row],[Sacas/Ton]]</f>
        <v>8.2923965804535236</v>
      </c>
    </row>
    <row r="59" spans="1:17">
      <c r="A59" s="68" t="s">
        <v>216</v>
      </c>
      <c r="B59" s="69">
        <v>2025</v>
      </c>
      <c r="C59" s="70">
        <v>45748</v>
      </c>
      <c r="D59" s="80" t="s">
        <v>237</v>
      </c>
      <c r="E59" s="71" t="s">
        <v>238</v>
      </c>
      <c r="F59" s="71" t="s">
        <v>239</v>
      </c>
      <c r="G59" s="80" t="s">
        <v>48</v>
      </c>
      <c r="H59" s="72" t="s">
        <v>33</v>
      </c>
      <c r="I59" s="73">
        <v>147100</v>
      </c>
      <c r="J59" s="73">
        <f t="shared" si="0"/>
        <v>2451.6666666666665</v>
      </c>
      <c r="K59" s="72">
        <v>53936.67</v>
      </c>
      <c r="L59" s="72">
        <v>0</v>
      </c>
      <c r="M59" s="72">
        <v>0</v>
      </c>
      <c r="N59" s="72">
        <v>0</v>
      </c>
      <c r="O59" s="72">
        <v>0</v>
      </c>
      <c r="P59" s="72">
        <v>53936.67</v>
      </c>
      <c r="Q59" s="74">
        <f>BD_LUCRO[[#This Row],[Lucro Líq.]]/BD_LUCRO[[#This Row],[Sacas/Ton]]</f>
        <v>22.000001359619308</v>
      </c>
    </row>
    <row r="60" spans="1:17">
      <c r="A60" s="68" t="s">
        <v>216</v>
      </c>
      <c r="B60" s="69">
        <v>2025</v>
      </c>
      <c r="C60" s="70">
        <v>45748</v>
      </c>
      <c r="D60" s="80" t="s">
        <v>237</v>
      </c>
      <c r="E60" s="71" t="s">
        <v>244</v>
      </c>
      <c r="F60" s="71" t="s">
        <v>239</v>
      </c>
      <c r="G60" s="80" t="s">
        <v>48</v>
      </c>
      <c r="H60" s="72" t="s">
        <v>33</v>
      </c>
      <c r="I60" s="73">
        <v>424230</v>
      </c>
      <c r="J60" s="73">
        <f t="shared" si="0"/>
        <v>7070.5</v>
      </c>
      <c r="K60" s="72">
        <v>70705</v>
      </c>
      <c r="L60" s="72">
        <v>0</v>
      </c>
      <c r="M60" s="72">
        <v>0</v>
      </c>
      <c r="N60" s="72">
        <v>0</v>
      </c>
      <c r="O60" s="72">
        <v>0</v>
      </c>
      <c r="P60" s="72">
        <v>70705</v>
      </c>
      <c r="Q60" s="74">
        <f>BD_LUCRO[[#This Row],[Lucro Líq.]]/BD_LUCRO[[#This Row],[Sacas/Ton]]</f>
        <v>10</v>
      </c>
    </row>
    <row r="61" spans="1:17">
      <c r="A61" s="68" t="s">
        <v>216</v>
      </c>
      <c r="B61" s="69">
        <v>2025</v>
      </c>
      <c r="C61" s="70">
        <v>45748</v>
      </c>
      <c r="D61" s="80" t="s">
        <v>240</v>
      </c>
      <c r="E61" s="71" t="s">
        <v>241</v>
      </c>
      <c r="F61" s="71" t="s">
        <v>242</v>
      </c>
      <c r="G61" s="80" t="s">
        <v>243</v>
      </c>
      <c r="H61" s="72" t="s">
        <v>33</v>
      </c>
      <c r="I61" s="73">
        <v>372760</v>
      </c>
      <c r="J61" s="73">
        <f t="shared" si="0"/>
        <v>6212.666666666667</v>
      </c>
      <c r="K61" s="72">
        <v>261328</v>
      </c>
      <c r="L61" s="72">
        <v>196847.2</v>
      </c>
      <c r="M61" s="72">
        <v>0</v>
      </c>
      <c r="N61" s="72">
        <v>12425.33</v>
      </c>
      <c r="O61" s="72">
        <v>0</v>
      </c>
      <c r="P61" s="72">
        <v>51350.58</v>
      </c>
      <c r="Q61" s="74">
        <f>BD_LUCRO[[#This Row],[Lucro Líq.]]/BD_LUCRO[[#This Row],[Sacas/Ton]]</f>
        <v>8.2654651786672382</v>
      </c>
    </row>
    <row r="62" spans="1:17">
      <c r="A62" s="68" t="s">
        <v>216</v>
      </c>
      <c r="B62" s="69">
        <v>2025</v>
      </c>
      <c r="C62" s="70">
        <v>45748</v>
      </c>
      <c r="D62" s="80" t="s">
        <v>245</v>
      </c>
      <c r="E62" s="71" t="s">
        <v>246</v>
      </c>
      <c r="F62" s="71" t="s">
        <v>242</v>
      </c>
      <c r="G62" s="80" t="s">
        <v>243</v>
      </c>
      <c r="H62" s="72" t="s">
        <v>33</v>
      </c>
      <c r="I62" s="73">
        <v>720000</v>
      </c>
      <c r="J62" s="73">
        <f t="shared" si="0"/>
        <v>12000</v>
      </c>
      <c r="K62" s="72">
        <v>84000</v>
      </c>
      <c r="L62" s="72">
        <v>0</v>
      </c>
      <c r="M62" s="72">
        <v>0</v>
      </c>
      <c r="N62" s="72">
        <v>17355.669999999998</v>
      </c>
      <c r="O62" s="72">
        <v>0</v>
      </c>
      <c r="P62" s="72">
        <v>66644.33</v>
      </c>
      <c r="Q62" s="74">
        <f>BD_LUCRO[[#This Row],[Lucro Líq.]]/BD_LUCRO[[#This Row],[Sacas/Ton]]</f>
        <v>5.5536941666666664</v>
      </c>
    </row>
    <row r="63" spans="1:17">
      <c r="A63" s="68" t="s">
        <v>216</v>
      </c>
      <c r="B63" s="69">
        <v>2025</v>
      </c>
      <c r="C63" s="70">
        <v>45748</v>
      </c>
      <c r="D63" s="80" t="s">
        <v>247</v>
      </c>
      <c r="E63" s="71" t="s">
        <v>248</v>
      </c>
      <c r="F63" s="71" t="s">
        <v>249</v>
      </c>
      <c r="G63" s="80" t="s">
        <v>243</v>
      </c>
      <c r="H63" s="72" t="s">
        <v>33</v>
      </c>
      <c r="I63" s="73">
        <v>329820</v>
      </c>
      <c r="J63" s="73">
        <f t="shared" si="0"/>
        <v>5497</v>
      </c>
      <c r="K63" s="72">
        <v>52221.5</v>
      </c>
      <c r="L63" s="72">
        <v>0</v>
      </c>
      <c r="M63" s="72">
        <v>0</v>
      </c>
      <c r="N63" s="72">
        <v>10994</v>
      </c>
      <c r="O63" s="72">
        <v>0</v>
      </c>
      <c r="P63" s="72">
        <v>41227.5</v>
      </c>
      <c r="Q63" s="74">
        <f>BD_LUCRO[[#This Row],[Lucro Líq.]]/BD_LUCRO[[#This Row],[Sacas/Ton]]</f>
        <v>7.5</v>
      </c>
    </row>
    <row r="64" spans="1:17">
      <c r="A64" s="68" t="s">
        <v>216</v>
      </c>
      <c r="B64" s="69">
        <v>2025</v>
      </c>
      <c r="C64" s="70">
        <v>45748</v>
      </c>
      <c r="D64" s="80" t="s">
        <v>250</v>
      </c>
      <c r="E64" s="71" t="s">
        <v>241</v>
      </c>
      <c r="F64" s="71" t="s">
        <v>242</v>
      </c>
      <c r="G64" s="80" t="s">
        <v>243</v>
      </c>
      <c r="H64" s="72" t="s">
        <v>33</v>
      </c>
      <c r="I64" s="73">
        <v>7640</v>
      </c>
      <c r="J64" s="73">
        <f t="shared" si="0"/>
        <v>127.33333333333333</v>
      </c>
      <c r="K64" s="72">
        <v>5475.33</v>
      </c>
      <c r="L64" s="72">
        <v>4049.2</v>
      </c>
      <c r="M64" s="72">
        <v>0</v>
      </c>
      <c r="N64" s="72">
        <v>127.33</v>
      </c>
      <c r="O64" s="72">
        <v>0</v>
      </c>
      <c r="P64" s="72">
        <v>1298.8</v>
      </c>
      <c r="Q64" s="74">
        <f>BD_LUCRO[[#This Row],[Lucro Líq.]]/BD_LUCRO[[#This Row],[Sacas/Ton]]</f>
        <v>10.199999999999999</v>
      </c>
    </row>
    <row r="65" spans="1:17">
      <c r="A65" s="68" t="s">
        <v>216</v>
      </c>
      <c r="B65" s="69">
        <v>2025</v>
      </c>
      <c r="C65" s="70">
        <v>45778</v>
      </c>
      <c r="D65" s="80" t="s">
        <v>92</v>
      </c>
      <c r="E65" s="71" t="s">
        <v>252</v>
      </c>
      <c r="F65" s="71" t="s">
        <v>253</v>
      </c>
      <c r="G65" s="80" t="s">
        <v>92</v>
      </c>
      <c r="H65" s="72" t="s">
        <v>176</v>
      </c>
      <c r="I65" s="73">
        <v>100370</v>
      </c>
      <c r="J65" s="73">
        <f t="shared" si="0"/>
        <v>1672.8333333333333</v>
      </c>
      <c r="K65" s="72">
        <v>0</v>
      </c>
      <c r="L65" s="72">
        <v>21063</v>
      </c>
      <c r="M65" s="72">
        <v>0</v>
      </c>
      <c r="N65" s="72">
        <v>1672.83</v>
      </c>
      <c r="O65" s="72">
        <v>0</v>
      </c>
      <c r="P65" s="72">
        <v>0</v>
      </c>
      <c r="Q65" s="74">
        <f>BD_LUCRO[[#This Row],[Lucro Líq.]]/BD_LUCRO[[#This Row],[Sacas/Ton]]</f>
        <v>0</v>
      </c>
    </row>
    <row r="66" spans="1:17">
      <c r="A66" s="68" t="s">
        <v>216</v>
      </c>
      <c r="B66" s="69">
        <v>2025</v>
      </c>
      <c r="C66" s="70">
        <v>45778</v>
      </c>
      <c r="D66" s="80" t="s">
        <v>92</v>
      </c>
      <c r="E66" s="71" t="s">
        <v>254</v>
      </c>
      <c r="F66" s="71" t="s">
        <v>255</v>
      </c>
      <c r="G66" s="80" t="s">
        <v>92</v>
      </c>
      <c r="H66" s="72" t="s">
        <v>230</v>
      </c>
      <c r="I66" s="73">
        <v>25240</v>
      </c>
      <c r="J66" s="73">
        <f t="shared" ref="J66:J129" si="1">I66/60</f>
        <v>420.66666666666669</v>
      </c>
      <c r="K66" s="72">
        <v>0</v>
      </c>
      <c r="L66" s="72">
        <v>9499.83</v>
      </c>
      <c r="M66" s="72">
        <v>0</v>
      </c>
      <c r="N66" s="72">
        <v>0</v>
      </c>
      <c r="O66" s="72">
        <v>0</v>
      </c>
      <c r="P66" s="72">
        <v>0</v>
      </c>
      <c r="Q66" s="74">
        <f>BD_LUCRO[[#This Row],[Lucro Líq.]]/BD_LUCRO[[#This Row],[Sacas/Ton]]</f>
        <v>0</v>
      </c>
    </row>
    <row r="67" spans="1:17">
      <c r="A67" s="68" t="s">
        <v>216</v>
      </c>
      <c r="B67" s="69">
        <v>2025</v>
      </c>
      <c r="C67" s="70">
        <v>45778</v>
      </c>
      <c r="D67" s="80" t="s">
        <v>247</v>
      </c>
      <c r="E67" s="71" t="s">
        <v>248</v>
      </c>
      <c r="F67" s="71" t="s">
        <v>249</v>
      </c>
      <c r="G67" s="80" t="s">
        <v>243</v>
      </c>
      <c r="H67" s="72" t="s">
        <v>33</v>
      </c>
      <c r="I67" s="73">
        <v>290820</v>
      </c>
      <c r="J67" s="73">
        <f t="shared" si="1"/>
        <v>4847</v>
      </c>
      <c r="K67" s="72">
        <v>2752</v>
      </c>
      <c r="L67" s="72">
        <v>0</v>
      </c>
      <c r="M67" s="72">
        <v>0</v>
      </c>
      <c r="N67" s="72">
        <v>688</v>
      </c>
      <c r="O67" s="72">
        <v>0</v>
      </c>
      <c r="P67" s="72">
        <v>2064</v>
      </c>
      <c r="Q67" s="74">
        <f>BD_LUCRO[[#This Row],[Lucro Líq.]]/BD_LUCRO[[#This Row],[Sacas/Ton]]</f>
        <v>0.42583041056323501</v>
      </c>
    </row>
    <row r="68" spans="1:17">
      <c r="A68" s="68" t="s">
        <v>216</v>
      </c>
      <c r="B68" s="69">
        <v>2025</v>
      </c>
      <c r="C68" s="70">
        <v>45778</v>
      </c>
      <c r="D68" s="80" t="s">
        <v>256</v>
      </c>
      <c r="E68" s="71" t="s">
        <v>92</v>
      </c>
      <c r="F68" s="71" t="s">
        <v>92</v>
      </c>
      <c r="G68" s="80" t="s">
        <v>255</v>
      </c>
      <c r="H68" s="72" t="s">
        <v>230</v>
      </c>
      <c r="I68" s="73">
        <v>3748</v>
      </c>
      <c r="J68" s="73">
        <f t="shared" si="1"/>
        <v>62.466666666666669</v>
      </c>
      <c r="K68" s="72">
        <v>0</v>
      </c>
      <c r="L68" s="72">
        <v>0</v>
      </c>
      <c r="M68" s="72">
        <v>637.16</v>
      </c>
      <c r="N68" s="72">
        <v>0</v>
      </c>
      <c r="O68" s="72">
        <v>0</v>
      </c>
      <c r="P68" s="72">
        <v>-24510.1</v>
      </c>
      <c r="Q68" s="74">
        <f>BD_LUCRO[[#This Row],[Lucro Líq.]]/BD_LUCRO[[#This Row],[Sacas/Ton]]</f>
        <v>-392.37086446104587</v>
      </c>
    </row>
    <row r="69" spans="1:17">
      <c r="A69" s="68" t="s">
        <v>216</v>
      </c>
      <c r="B69" s="69">
        <v>2025</v>
      </c>
      <c r="C69" s="70">
        <v>45778</v>
      </c>
      <c r="D69" s="80" t="s">
        <v>257</v>
      </c>
      <c r="E69" s="71" t="s">
        <v>258</v>
      </c>
      <c r="F69" s="71" t="s">
        <v>242</v>
      </c>
      <c r="G69" s="80" t="s">
        <v>243</v>
      </c>
      <c r="H69" s="72" t="s">
        <v>33</v>
      </c>
      <c r="I69" s="73">
        <v>565680</v>
      </c>
      <c r="J69" s="73">
        <f t="shared" si="1"/>
        <v>9428</v>
      </c>
      <c r="K69" s="72">
        <v>9428</v>
      </c>
      <c r="L69" s="72">
        <v>0</v>
      </c>
      <c r="M69" s="72">
        <v>0</v>
      </c>
      <c r="N69" s="72">
        <v>2174.6999999999998</v>
      </c>
      <c r="O69" s="72">
        <v>0</v>
      </c>
      <c r="P69" s="72">
        <v>7253.3</v>
      </c>
      <c r="Q69" s="74">
        <f>BD_LUCRO[[#This Row],[Lucro Líq.]]/BD_LUCRO[[#This Row],[Sacas/Ton]]</f>
        <v>0.76933602036487059</v>
      </c>
    </row>
    <row r="70" spans="1:17">
      <c r="A70" s="68" t="s">
        <v>216</v>
      </c>
      <c r="B70" s="69">
        <v>2025</v>
      </c>
      <c r="C70" s="70">
        <v>45809</v>
      </c>
      <c r="D70" s="80" t="s">
        <v>92</v>
      </c>
      <c r="E70" s="71" t="s">
        <v>261</v>
      </c>
      <c r="F70" s="71" t="s">
        <v>255</v>
      </c>
      <c r="G70" s="80" t="s">
        <v>92</v>
      </c>
      <c r="H70" s="72" t="s">
        <v>179</v>
      </c>
      <c r="I70" s="73">
        <v>26800</v>
      </c>
      <c r="J70" s="73">
        <f t="shared" si="1"/>
        <v>446.66666666666669</v>
      </c>
      <c r="K70" s="72">
        <v>0</v>
      </c>
      <c r="L70" s="72">
        <v>6646.78</v>
      </c>
      <c r="M70" s="72">
        <v>1779.53</v>
      </c>
      <c r="N70" s="72">
        <v>0</v>
      </c>
      <c r="O70" s="72">
        <v>0</v>
      </c>
      <c r="P70" s="72">
        <v>0</v>
      </c>
      <c r="Q70" s="74">
        <f>BD_LUCRO[[#This Row],[Lucro Líq.]]/BD_LUCRO[[#This Row],[Sacas/Ton]]</f>
        <v>0</v>
      </c>
    </row>
    <row r="71" spans="1:17">
      <c r="A71" s="68" t="s">
        <v>216</v>
      </c>
      <c r="B71" s="69">
        <v>2025</v>
      </c>
      <c r="C71" s="70">
        <v>45809</v>
      </c>
      <c r="D71" s="80" t="s">
        <v>92</v>
      </c>
      <c r="E71" s="71" t="s">
        <v>262</v>
      </c>
      <c r="F71" s="71" t="s">
        <v>239</v>
      </c>
      <c r="G71" s="80" t="s">
        <v>92</v>
      </c>
      <c r="H71" s="72" t="s">
        <v>179</v>
      </c>
      <c r="I71" s="73">
        <v>548850</v>
      </c>
      <c r="J71" s="73">
        <f t="shared" si="1"/>
        <v>9147.5</v>
      </c>
      <c r="K71" s="72">
        <v>0</v>
      </c>
      <c r="L71" s="72">
        <v>131469.03</v>
      </c>
      <c r="M71" s="72">
        <v>35702.46</v>
      </c>
      <c r="N71" s="72">
        <v>0</v>
      </c>
      <c r="O71" s="72">
        <v>0</v>
      </c>
      <c r="P71" s="72">
        <v>0</v>
      </c>
      <c r="Q71" s="74">
        <f>BD_LUCRO[[#This Row],[Lucro Líq.]]/BD_LUCRO[[#This Row],[Sacas/Ton]]</f>
        <v>0</v>
      </c>
    </row>
    <row r="72" spans="1:17">
      <c r="A72" s="68" t="s">
        <v>216</v>
      </c>
      <c r="B72" s="69">
        <v>2025</v>
      </c>
      <c r="C72" s="70">
        <v>45809</v>
      </c>
      <c r="D72" s="80" t="s">
        <v>263</v>
      </c>
      <c r="E72" s="71" t="s">
        <v>92</v>
      </c>
      <c r="F72" s="71" t="s">
        <v>92</v>
      </c>
      <c r="G72" s="80" t="s">
        <v>264</v>
      </c>
      <c r="H72" s="72" t="s">
        <v>176</v>
      </c>
      <c r="I72" s="73">
        <v>154960</v>
      </c>
      <c r="J72" s="73">
        <f t="shared" si="1"/>
        <v>2582.6666666666665</v>
      </c>
      <c r="K72" s="72">
        <v>0</v>
      </c>
      <c r="L72" s="72">
        <v>61727.6</v>
      </c>
      <c r="M72" s="72">
        <v>0</v>
      </c>
      <c r="N72" s="72">
        <v>145517.79999999999</v>
      </c>
      <c r="O72" s="72">
        <v>0</v>
      </c>
      <c r="P72" s="72">
        <v>46672.66</v>
      </c>
      <c r="Q72" s="74">
        <f>BD_LUCRO[[#This Row],[Lucro Líq.]]/BD_LUCRO[[#This Row],[Sacas/Ton]]</f>
        <v>18.071499741868873</v>
      </c>
    </row>
    <row r="73" spans="1:17">
      <c r="A73" s="68" t="s">
        <v>216</v>
      </c>
      <c r="B73" s="69">
        <v>2025</v>
      </c>
      <c r="C73" s="70">
        <v>45809</v>
      </c>
      <c r="D73" s="80" t="s">
        <v>265</v>
      </c>
      <c r="E73" s="71" t="s">
        <v>266</v>
      </c>
      <c r="F73" s="71" t="s">
        <v>267</v>
      </c>
      <c r="G73" s="80" t="s">
        <v>268</v>
      </c>
      <c r="H73" s="72" t="s">
        <v>176</v>
      </c>
      <c r="I73" s="73">
        <v>50080</v>
      </c>
      <c r="J73" s="73">
        <f t="shared" si="1"/>
        <v>834.66666666666663</v>
      </c>
      <c r="K73" s="72">
        <v>92136.99</v>
      </c>
      <c r="L73" s="72">
        <v>25374.3</v>
      </c>
      <c r="M73" s="72">
        <v>0</v>
      </c>
      <c r="N73" s="72">
        <v>50897.97</v>
      </c>
      <c r="O73" s="72">
        <v>0</v>
      </c>
      <c r="P73" s="72">
        <v>13481.12</v>
      </c>
      <c r="Q73" s="74">
        <f>BD_LUCRO[[#This Row],[Lucro Líq.]]/BD_LUCRO[[#This Row],[Sacas/Ton]]</f>
        <v>16.151501597444092</v>
      </c>
    </row>
    <row r="74" spans="1:17">
      <c r="A74" s="68" t="s">
        <v>216</v>
      </c>
      <c r="B74" s="69">
        <v>2025</v>
      </c>
      <c r="C74" s="70">
        <v>45839</v>
      </c>
      <c r="D74" s="80" t="s">
        <v>270</v>
      </c>
      <c r="E74" s="71" t="s">
        <v>92</v>
      </c>
      <c r="F74" s="71" t="s">
        <v>92</v>
      </c>
      <c r="G74" s="80" t="s">
        <v>271</v>
      </c>
      <c r="H74" s="72" t="s">
        <v>179</v>
      </c>
      <c r="I74" s="73">
        <v>388860</v>
      </c>
      <c r="J74" s="73">
        <f t="shared" si="1"/>
        <v>6481</v>
      </c>
      <c r="K74" s="72">
        <v>0</v>
      </c>
      <c r="L74" s="72">
        <v>166490.84</v>
      </c>
      <c r="M74" s="72">
        <v>0</v>
      </c>
      <c r="N74" s="72">
        <v>393437.97</v>
      </c>
      <c r="O74" s="72">
        <v>0</v>
      </c>
      <c r="P74" s="72">
        <v>170879.84</v>
      </c>
      <c r="Q74" s="74">
        <f>BD_LUCRO[[#This Row],[Lucro Líq.]]/BD_LUCRO[[#This Row],[Sacas/Ton]]</f>
        <v>26.366276809134391</v>
      </c>
    </row>
    <row r="75" spans="1:17">
      <c r="A75" s="68" t="s">
        <v>216</v>
      </c>
      <c r="B75" s="69">
        <v>2025</v>
      </c>
      <c r="C75" s="70">
        <v>45870</v>
      </c>
      <c r="D75" s="80" t="s">
        <v>273</v>
      </c>
      <c r="E75" s="71" t="s">
        <v>274</v>
      </c>
      <c r="F75" s="71" t="s">
        <v>275</v>
      </c>
      <c r="G75" s="80" t="s">
        <v>276</v>
      </c>
      <c r="H75" s="72" t="s">
        <v>207</v>
      </c>
      <c r="I75" s="73">
        <v>76120</v>
      </c>
      <c r="J75" s="73">
        <f t="shared" si="1"/>
        <v>1268.6666666666667</v>
      </c>
      <c r="K75" s="72">
        <v>51761.599999999999</v>
      </c>
      <c r="L75" s="72">
        <v>32551.599999999999</v>
      </c>
      <c r="M75" s="72">
        <v>849.13</v>
      </c>
      <c r="N75" s="72">
        <v>0</v>
      </c>
      <c r="O75" s="72">
        <v>0</v>
      </c>
      <c r="P75" s="72">
        <v>15405.98</v>
      </c>
      <c r="Q75" s="74">
        <f>BD_LUCRO[[#This Row],[Lucro Líq.]]/BD_LUCRO[[#This Row],[Sacas/Ton]]</f>
        <v>12.143441933788754</v>
      </c>
    </row>
    <row r="76" spans="1:17">
      <c r="A76" s="68" t="s">
        <v>216</v>
      </c>
      <c r="B76" s="69">
        <v>2025</v>
      </c>
      <c r="C76" s="70">
        <v>45870</v>
      </c>
      <c r="D76" s="80" t="s">
        <v>273</v>
      </c>
      <c r="E76" s="71" t="s">
        <v>277</v>
      </c>
      <c r="F76" s="71" t="s">
        <v>278</v>
      </c>
      <c r="G76" s="80" t="s">
        <v>276</v>
      </c>
      <c r="H76" s="72" t="s">
        <v>207</v>
      </c>
      <c r="I76" s="73">
        <v>260840</v>
      </c>
      <c r="J76" s="73">
        <f t="shared" si="1"/>
        <v>4347.333333333333</v>
      </c>
      <c r="K76" s="72">
        <v>177371.2</v>
      </c>
      <c r="L76" s="72">
        <v>104208.2</v>
      </c>
      <c r="M76" s="72">
        <v>6003.49</v>
      </c>
      <c r="N76" s="72">
        <v>0</v>
      </c>
      <c r="O76" s="72">
        <v>0</v>
      </c>
      <c r="P76" s="72">
        <v>65632.2</v>
      </c>
      <c r="Q76" s="74">
        <f>BD_LUCRO[[#This Row],[Lucro Líq.]]/BD_LUCRO[[#This Row],[Sacas/Ton]]</f>
        <v>15.097117006594081</v>
      </c>
    </row>
    <row r="77" spans="1:17">
      <c r="A77" s="68" t="s">
        <v>216</v>
      </c>
      <c r="B77" s="69">
        <v>2025</v>
      </c>
      <c r="C77" s="70">
        <v>45870</v>
      </c>
      <c r="D77" s="80" t="s">
        <v>279</v>
      </c>
      <c r="E77" s="71" t="s">
        <v>280</v>
      </c>
      <c r="F77" s="71" t="s">
        <v>239</v>
      </c>
      <c r="G77" s="80" t="s">
        <v>271</v>
      </c>
      <c r="H77" s="72" t="s">
        <v>173</v>
      </c>
      <c r="I77" s="73">
        <v>257800</v>
      </c>
      <c r="J77" s="73">
        <f t="shared" si="1"/>
        <v>4296.666666666667</v>
      </c>
      <c r="K77" s="72">
        <v>542200.94999999995</v>
      </c>
      <c r="L77" s="72">
        <v>105066.5</v>
      </c>
      <c r="M77" s="72">
        <v>0</v>
      </c>
      <c r="N77" s="72">
        <v>245597.47</v>
      </c>
      <c r="O77" s="72">
        <v>0</v>
      </c>
      <c r="P77" s="72">
        <v>191266.98</v>
      </c>
      <c r="Q77" s="74">
        <f>BD_LUCRO[[#This Row],[Lucro Líq.]]/BD_LUCRO[[#This Row],[Sacas/Ton]]</f>
        <v>44.515200930954229</v>
      </c>
    </row>
    <row r="78" spans="1:17">
      <c r="A78" s="68" t="s">
        <v>216</v>
      </c>
      <c r="B78" s="69">
        <v>2025</v>
      </c>
      <c r="C78" s="70">
        <v>45870</v>
      </c>
      <c r="D78" s="80" t="s">
        <v>281</v>
      </c>
      <c r="E78" s="71" t="s">
        <v>92</v>
      </c>
      <c r="F78" s="71" t="s">
        <v>92</v>
      </c>
      <c r="G78" s="80" t="s">
        <v>282</v>
      </c>
      <c r="H78" s="72" t="s">
        <v>173</v>
      </c>
      <c r="I78" s="73">
        <v>103680</v>
      </c>
      <c r="J78" s="73">
        <f t="shared" si="1"/>
        <v>1728</v>
      </c>
      <c r="K78" s="72">
        <v>0</v>
      </c>
      <c r="L78" s="72">
        <v>43198.6</v>
      </c>
      <c r="M78" s="72">
        <v>0</v>
      </c>
      <c r="N78" s="72">
        <v>98772.479999999996</v>
      </c>
      <c r="O78" s="72">
        <v>0</v>
      </c>
      <c r="P78" s="72">
        <v>99616.97</v>
      </c>
      <c r="Q78" s="74">
        <f>BD_LUCRO[[#This Row],[Lucro Líq.]]/BD_LUCRO[[#This Row],[Sacas/Ton]]</f>
        <v>57.648709490740742</v>
      </c>
    </row>
    <row r="79" spans="1:17">
      <c r="A79" s="68" t="s">
        <v>216</v>
      </c>
      <c r="B79" s="69">
        <v>2025</v>
      </c>
      <c r="C79" s="70">
        <v>45870</v>
      </c>
      <c r="D79" s="80" t="s">
        <v>283</v>
      </c>
      <c r="E79" s="71" t="s">
        <v>92</v>
      </c>
      <c r="F79" s="71" t="s">
        <v>92</v>
      </c>
      <c r="G79" s="80" t="s">
        <v>271</v>
      </c>
      <c r="H79" s="72" t="s">
        <v>173</v>
      </c>
      <c r="I79" s="73">
        <v>20400</v>
      </c>
      <c r="J79" s="73">
        <f t="shared" si="1"/>
        <v>340</v>
      </c>
      <c r="K79" s="72">
        <v>0</v>
      </c>
      <c r="L79" s="72">
        <v>8732</v>
      </c>
      <c r="M79" s="72">
        <v>0</v>
      </c>
      <c r="N79" s="72">
        <v>19434.400000000001</v>
      </c>
      <c r="O79" s="72">
        <v>0</v>
      </c>
      <c r="P79" s="72">
        <v>12912.4</v>
      </c>
      <c r="Q79" s="74">
        <f>BD_LUCRO[[#This Row],[Lucro Líq.]]/BD_LUCRO[[#This Row],[Sacas/Ton]]</f>
        <v>37.977647058823528</v>
      </c>
    </row>
    <row r="80" spans="1:17">
      <c r="A80" s="68" t="s">
        <v>216</v>
      </c>
      <c r="B80" s="69">
        <v>2025</v>
      </c>
      <c r="C80" s="70">
        <v>45870</v>
      </c>
      <c r="D80" s="80" t="s">
        <v>283</v>
      </c>
      <c r="E80" s="71" t="s">
        <v>280</v>
      </c>
      <c r="F80" s="71" t="s">
        <v>239</v>
      </c>
      <c r="G80" s="80" t="s">
        <v>271</v>
      </c>
      <c r="H80" s="72" t="s">
        <v>173</v>
      </c>
      <c r="I80" s="73">
        <v>31240</v>
      </c>
      <c r="J80" s="73">
        <f t="shared" si="1"/>
        <v>520.66666666666663</v>
      </c>
      <c r="K80" s="72">
        <v>58406.15</v>
      </c>
      <c r="L80" s="72">
        <v>12808.4</v>
      </c>
      <c r="M80" s="72">
        <v>0</v>
      </c>
      <c r="N80" s="72">
        <v>29761.31</v>
      </c>
      <c r="O80" s="72">
        <v>0</v>
      </c>
      <c r="P80" s="72">
        <v>15836.44</v>
      </c>
      <c r="Q80" s="74">
        <f>BD_LUCRO[[#This Row],[Lucro Líq.]]/BD_LUCRO[[#This Row],[Sacas/Ton]]</f>
        <v>30.415697823303461</v>
      </c>
    </row>
    <row r="81" spans="1:17">
      <c r="A81" s="68" t="s">
        <v>216</v>
      </c>
      <c r="B81" s="69">
        <v>2025</v>
      </c>
      <c r="C81" s="70">
        <v>45901</v>
      </c>
      <c r="D81" s="80" t="s">
        <v>92</v>
      </c>
      <c r="E81" s="71" t="s">
        <v>287</v>
      </c>
      <c r="F81" s="71" t="s">
        <v>288</v>
      </c>
      <c r="G81" s="80" t="s">
        <v>92</v>
      </c>
      <c r="H81" s="72" t="s">
        <v>179</v>
      </c>
      <c r="I81" s="73">
        <v>40000</v>
      </c>
      <c r="J81" s="73">
        <f t="shared" si="1"/>
        <v>666.66666666666663</v>
      </c>
      <c r="K81" s="72">
        <v>0</v>
      </c>
      <c r="L81" s="72">
        <v>0</v>
      </c>
      <c r="M81" s="72">
        <v>0</v>
      </c>
      <c r="N81" s="72">
        <v>0</v>
      </c>
      <c r="O81" s="72">
        <v>0</v>
      </c>
      <c r="P81" s="72">
        <v>0</v>
      </c>
      <c r="Q81" s="74">
        <f>BD_LUCRO[[#This Row],[Lucro Líq.]]/BD_LUCRO[[#This Row],[Sacas/Ton]]</f>
        <v>0</v>
      </c>
    </row>
    <row r="82" spans="1:17">
      <c r="A82" s="68" t="s">
        <v>216</v>
      </c>
      <c r="B82" s="69">
        <v>2025</v>
      </c>
      <c r="C82" s="70">
        <v>45901</v>
      </c>
      <c r="D82" s="80" t="s">
        <v>273</v>
      </c>
      <c r="E82" s="71" t="s">
        <v>274</v>
      </c>
      <c r="F82" s="71" t="s">
        <v>275</v>
      </c>
      <c r="G82" s="80" t="s">
        <v>276</v>
      </c>
      <c r="H82" s="72" t="s">
        <v>207</v>
      </c>
      <c r="I82" s="73">
        <v>220780</v>
      </c>
      <c r="J82" s="73">
        <f t="shared" si="1"/>
        <v>3679.6666666666665</v>
      </c>
      <c r="K82" s="72">
        <v>150130.4</v>
      </c>
      <c r="L82" s="72">
        <v>90831.1</v>
      </c>
      <c r="M82" s="72">
        <v>4752.07</v>
      </c>
      <c r="N82" s="72">
        <v>0</v>
      </c>
      <c r="O82" s="72">
        <v>0</v>
      </c>
      <c r="P82" s="72">
        <v>52843.33</v>
      </c>
      <c r="Q82" s="74">
        <f>BD_LUCRO[[#This Row],[Lucro Líq.]]/BD_LUCRO[[#This Row],[Sacas/Ton]]</f>
        <v>14.360901349759944</v>
      </c>
    </row>
    <row r="83" spans="1:17">
      <c r="A83" s="68" t="s">
        <v>216</v>
      </c>
      <c r="B83" s="69">
        <v>2025</v>
      </c>
      <c r="C83" s="70">
        <v>45901</v>
      </c>
      <c r="D83" s="80" t="s">
        <v>273</v>
      </c>
      <c r="E83" s="71" t="s">
        <v>277</v>
      </c>
      <c r="F83" s="71" t="s">
        <v>278</v>
      </c>
      <c r="G83" s="80" t="s">
        <v>276</v>
      </c>
      <c r="H83" s="72" t="s">
        <v>207</v>
      </c>
      <c r="I83" s="73">
        <v>112060</v>
      </c>
      <c r="J83" s="73">
        <f t="shared" si="1"/>
        <v>1867.6666666666667</v>
      </c>
      <c r="K83" s="72">
        <v>23038.400000000001</v>
      </c>
      <c r="L83" s="72">
        <v>14229.6</v>
      </c>
      <c r="M83" s="72">
        <v>699.29</v>
      </c>
      <c r="N83" s="72">
        <v>0</v>
      </c>
      <c r="O83" s="72">
        <v>0</v>
      </c>
      <c r="P83" s="72">
        <v>8109.51</v>
      </c>
      <c r="Q83" s="74">
        <f>BD_LUCRO[[#This Row],[Lucro Líq.]]/BD_LUCRO[[#This Row],[Sacas/Ton]]</f>
        <v>4.3420542566482245</v>
      </c>
    </row>
    <row r="84" spans="1:17">
      <c r="A84" s="68" t="s">
        <v>216</v>
      </c>
      <c r="B84" s="69">
        <v>2025</v>
      </c>
      <c r="C84" s="70">
        <v>45901</v>
      </c>
      <c r="D84" s="80" t="s">
        <v>289</v>
      </c>
      <c r="E84" s="71" t="s">
        <v>290</v>
      </c>
      <c r="F84" s="71" t="s">
        <v>197</v>
      </c>
      <c r="G84" s="80" t="s">
        <v>291</v>
      </c>
      <c r="H84" s="72" t="s">
        <v>33</v>
      </c>
      <c r="I84" s="73">
        <v>600000</v>
      </c>
      <c r="J84" s="73">
        <f t="shared" si="1"/>
        <v>10000</v>
      </c>
      <c r="K84" s="72">
        <v>35000</v>
      </c>
      <c r="L84" s="72">
        <v>0</v>
      </c>
      <c r="M84" s="72">
        <v>0</v>
      </c>
      <c r="N84" s="72">
        <v>0</v>
      </c>
      <c r="O84" s="72">
        <v>0</v>
      </c>
      <c r="P84" s="72">
        <v>35000</v>
      </c>
      <c r="Q84" s="74">
        <f>BD_LUCRO[[#This Row],[Lucro Líq.]]/BD_LUCRO[[#This Row],[Sacas/Ton]]</f>
        <v>3.5</v>
      </c>
    </row>
    <row r="85" spans="1:17">
      <c r="A85" s="68" t="s">
        <v>216</v>
      </c>
      <c r="B85" s="69">
        <v>2025</v>
      </c>
      <c r="C85" s="70">
        <v>45901</v>
      </c>
      <c r="D85" s="80" t="s">
        <v>292</v>
      </c>
      <c r="E85" s="71" t="s">
        <v>274</v>
      </c>
      <c r="F85" s="71" t="s">
        <v>275</v>
      </c>
      <c r="G85" s="80" t="s">
        <v>293</v>
      </c>
      <c r="H85" s="72" t="s">
        <v>207</v>
      </c>
      <c r="I85" s="73">
        <v>45500</v>
      </c>
      <c r="J85" s="73">
        <f t="shared" si="1"/>
        <v>758.33333333333337</v>
      </c>
      <c r="K85" s="72">
        <v>30485</v>
      </c>
      <c r="L85" s="72">
        <v>19247.5</v>
      </c>
      <c r="M85" s="72">
        <v>889.98</v>
      </c>
      <c r="N85" s="72">
        <v>0</v>
      </c>
      <c r="O85" s="72">
        <v>0</v>
      </c>
      <c r="P85" s="72">
        <v>9990.02</v>
      </c>
      <c r="Q85" s="74">
        <f>BD_LUCRO[[#This Row],[Lucro Líq.]]/BD_LUCRO[[#This Row],[Sacas/Ton]]</f>
        <v>13.173652747252747</v>
      </c>
    </row>
    <row r="86" spans="1:17">
      <c r="A86" s="68" t="s">
        <v>216</v>
      </c>
      <c r="B86" s="69">
        <v>2025</v>
      </c>
      <c r="C86" s="70">
        <v>45901</v>
      </c>
      <c r="D86" s="80" t="s">
        <v>294</v>
      </c>
      <c r="E86" s="71" t="s">
        <v>274</v>
      </c>
      <c r="F86" s="71" t="s">
        <v>275</v>
      </c>
      <c r="G86" s="80" t="s">
        <v>295</v>
      </c>
      <c r="H86" s="72" t="s">
        <v>207</v>
      </c>
      <c r="I86" s="73">
        <v>155660</v>
      </c>
      <c r="J86" s="73">
        <f t="shared" si="1"/>
        <v>2594.3333333333335</v>
      </c>
      <c r="K86" s="72">
        <v>85181</v>
      </c>
      <c r="L86" s="72">
        <v>51885.2</v>
      </c>
      <c r="M86" s="72">
        <v>3772.14</v>
      </c>
      <c r="N86" s="72">
        <v>0</v>
      </c>
      <c r="O86" s="72">
        <v>0</v>
      </c>
      <c r="P86" s="72">
        <v>28135.360000000001</v>
      </c>
      <c r="Q86" s="74">
        <f>BD_LUCRO[[#This Row],[Lucro Líq.]]/BD_LUCRO[[#This Row],[Sacas/Ton]]</f>
        <v>10.84492869073622</v>
      </c>
    </row>
    <row r="87" spans="1:17">
      <c r="A87" s="68" t="s">
        <v>216</v>
      </c>
      <c r="B87" s="69">
        <v>2025</v>
      </c>
      <c r="C87" s="70">
        <v>45901</v>
      </c>
      <c r="D87" s="80" t="s">
        <v>294</v>
      </c>
      <c r="E87" s="71" t="s">
        <v>277</v>
      </c>
      <c r="F87" s="71" t="s">
        <v>278</v>
      </c>
      <c r="G87" s="80" t="s">
        <v>295</v>
      </c>
      <c r="H87" s="72" t="s">
        <v>207</v>
      </c>
      <c r="I87" s="73">
        <v>35740</v>
      </c>
      <c r="J87" s="73">
        <f t="shared" si="1"/>
        <v>595.66666666666663</v>
      </c>
      <c r="K87" s="72">
        <v>19657</v>
      </c>
      <c r="L87" s="72">
        <v>9202.4</v>
      </c>
      <c r="M87" s="72">
        <v>1200.8599999999999</v>
      </c>
      <c r="N87" s="72">
        <v>0</v>
      </c>
      <c r="O87" s="72">
        <v>0</v>
      </c>
      <c r="P87" s="72">
        <v>8985.0400000000009</v>
      </c>
      <c r="Q87" s="74">
        <f>BD_LUCRO[[#This Row],[Lucro Líq.]]/BD_LUCRO[[#This Row],[Sacas/Ton]]</f>
        <v>15.084006715165083</v>
      </c>
    </row>
    <row r="88" spans="1:17">
      <c r="A88" s="68" t="s">
        <v>216</v>
      </c>
      <c r="B88" s="69">
        <v>2025</v>
      </c>
      <c r="C88" s="70">
        <v>45901</v>
      </c>
      <c r="D88" s="80" t="s">
        <v>296</v>
      </c>
      <c r="E88" s="71" t="s">
        <v>297</v>
      </c>
      <c r="F88" s="71" t="s">
        <v>239</v>
      </c>
      <c r="G88" s="80" t="s">
        <v>291</v>
      </c>
      <c r="H88" s="72" t="s">
        <v>33</v>
      </c>
      <c r="I88" s="73">
        <v>479950</v>
      </c>
      <c r="J88" s="73">
        <f t="shared" si="1"/>
        <v>7999.166666666667</v>
      </c>
      <c r="K88" s="72">
        <v>81591.5</v>
      </c>
      <c r="L88" s="72">
        <v>0</v>
      </c>
      <c r="M88" s="72">
        <v>0</v>
      </c>
      <c r="N88" s="72">
        <v>0</v>
      </c>
      <c r="O88" s="72">
        <v>0</v>
      </c>
      <c r="P88" s="72">
        <v>81591.5</v>
      </c>
      <c r="Q88" s="74">
        <f>BD_LUCRO[[#This Row],[Lucro Líq.]]/BD_LUCRO[[#This Row],[Sacas/Ton]]</f>
        <v>10.199999999999999</v>
      </c>
    </row>
    <row r="89" spans="1:17">
      <c r="A89" s="68" t="s">
        <v>216</v>
      </c>
      <c r="B89" s="69">
        <v>2025</v>
      </c>
      <c r="C89" s="70">
        <v>45931</v>
      </c>
      <c r="D89" s="80" t="s">
        <v>304</v>
      </c>
      <c r="E89" s="71" t="s">
        <v>92</v>
      </c>
      <c r="F89" s="71" t="s">
        <v>92</v>
      </c>
      <c r="G89" s="80" t="s">
        <v>282</v>
      </c>
      <c r="H89" s="72" t="s">
        <v>173</v>
      </c>
      <c r="I89" s="73">
        <v>97720</v>
      </c>
      <c r="J89" s="73">
        <f t="shared" si="1"/>
        <v>1628.6666666666667</v>
      </c>
      <c r="K89" s="72">
        <v>0</v>
      </c>
      <c r="L89" s="72">
        <v>23313.599999999999</v>
      </c>
      <c r="M89" s="72">
        <v>0</v>
      </c>
      <c r="N89" s="72">
        <v>62171.03</v>
      </c>
      <c r="O89" s="72">
        <v>0</v>
      </c>
      <c r="P89" s="72">
        <v>70840.479999999996</v>
      </c>
      <c r="Q89" s="74">
        <f>BD_LUCRO[[#This Row],[Lucro Líq.]]/BD_LUCRO[[#This Row],[Sacas/Ton]]</f>
        <v>43.495996725337697</v>
      </c>
    </row>
    <row r="90" spans="1:17">
      <c r="A90" s="68" t="s">
        <v>216</v>
      </c>
      <c r="B90" s="69">
        <v>2025</v>
      </c>
      <c r="C90" s="70">
        <v>45901</v>
      </c>
      <c r="D90" s="80" t="s">
        <v>300</v>
      </c>
      <c r="E90" s="71" t="s">
        <v>277</v>
      </c>
      <c r="F90" s="71" t="s">
        <v>278</v>
      </c>
      <c r="G90" s="80" t="s">
        <v>301</v>
      </c>
      <c r="H90" s="72" t="s">
        <v>207</v>
      </c>
      <c r="I90" s="73">
        <v>46480</v>
      </c>
      <c r="J90" s="73">
        <f t="shared" si="1"/>
        <v>774.66666666666663</v>
      </c>
      <c r="K90" s="72">
        <v>27888</v>
      </c>
      <c r="L90" s="72">
        <v>9715.7999999999993</v>
      </c>
      <c r="M90" s="72">
        <v>1952.16</v>
      </c>
      <c r="N90" s="72">
        <v>464.8</v>
      </c>
      <c r="O90" s="72">
        <v>0</v>
      </c>
      <c r="P90" s="72">
        <v>15352.84</v>
      </c>
      <c r="Q90" s="74">
        <f>BD_LUCRO[[#This Row],[Lucro Líq.]]/BD_LUCRO[[#This Row],[Sacas/Ton]]</f>
        <v>19.818640275387263</v>
      </c>
    </row>
    <row r="91" spans="1:17">
      <c r="A91" s="68" t="s">
        <v>216</v>
      </c>
      <c r="B91" s="69">
        <v>2025</v>
      </c>
      <c r="C91" s="70">
        <v>45901</v>
      </c>
      <c r="D91" s="80" t="s">
        <v>298</v>
      </c>
      <c r="E91" s="71" t="s">
        <v>277</v>
      </c>
      <c r="F91" s="71" t="s">
        <v>278</v>
      </c>
      <c r="G91" s="80" t="s">
        <v>299</v>
      </c>
      <c r="H91" s="72" t="s">
        <v>207</v>
      </c>
      <c r="I91" s="73">
        <v>207340</v>
      </c>
      <c r="J91" s="73">
        <f t="shared" si="1"/>
        <v>3455.6666666666665</v>
      </c>
      <c r="K91" s="72">
        <v>19551</v>
      </c>
      <c r="L91" s="72">
        <v>10714.5</v>
      </c>
      <c r="M91" s="72">
        <v>959.03</v>
      </c>
      <c r="N91" s="72">
        <v>0</v>
      </c>
      <c r="O91" s="72">
        <v>0</v>
      </c>
      <c r="P91" s="72">
        <v>7575.97</v>
      </c>
      <c r="Q91" s="74">
        <f>BD_LUCRO[[#This Row],[Lucro Líq.]]/BD_LUCRO[[#This Row],[Sacas/Ton]]</f>
        <v>2.1923324008874316</v>
      </c>
    </row>
    <row r="92" spans="1:17">
      <c r="A92" s="68" t="s">
        <v>216</v>
      </c>
      <c r="B92" s="69">
        <v>2025</v>
      </c>
      <c r="C92" s="70">
        <v>45931</v>
      </c>
      <c r="D92" s="80" t="s">
        <v>305</v>
      </c>
      <c r="E92" s="71" t="s">
        <v>277</v>
      </c>
      <c r="F92" s="71" t="s">
        <v>278</v>
      </c>
      <c r="G92" s="80" t="s">
        <v>306</v>
      </c>
      <c r="H92" s="72" t="s">
        <v>207</v>
      </c>
      <c r="I92" s="73">
        <v>37560</v>
      </c>
      <c r="J92" s="73">
        <f t="shared" si="1"/>
        <v>626</v>
      </c>
      <c r="K92" s="72">
        <v>20791.599999999999</v>
      </c>
      <c r="L92" s="72">
        <v>9345</v>
      </c>
      <c r="M92" s="72">
        <v>1289.06</v>
      </c>
      <c r="N92" s="72">
        <v>0</v>
      </c>
      <c r="O92" s="72">
        <v>0</v>
      </c>
      <c r="P92" s="72">
        <v>9839.74</v>
      </c>
      <c r="Q92" s="74">
        <f>BD_LUCRO[[#This Row],[Lucro Líq.]]/BD_LUCRO[[#This Row],[Sacas/Ton]]</f>
        <v>15.718434504792333</v>
      </c>
    </row>
    <row r="93" spans="1:17">
      <c r="A93" s="68" t="s">
        <v>216</v>
      </c>
      <c r="B93" s="69">
        <v>2025</v>
      </c>
      <c r="C93" s="70">
        <v>45962</v>
      </c>
      <c r="D93" s="80" t="s">
        <v>307</v>
      </c>
      <c r="E93" s="71" t="s">
        <v>308</v>
      </c>
      <c r="F93" s="71" t="s">
        <v>239</v>
      </c>
      <c r="G93" s="80" t="s">
        <v>309</v>
      </c>
      <c r="H93" s="72" t="s">
        <v>207</v>
      </c>
      <c r="I93" s="73">
        <v>75020</v>
      </c>
      <c r="J93" s="73">
        <f t="shared" si="1"/>
        <v>1250.3333333333333</v>
      </c>
      <c r="K93" s="72">
        <v>22519</v>
      </c>
      <c r="L93" s="72">
        <v>20825.599999999999</v>
      </c>
      <c r="M93" s="72">
        <v>2160.58</v>
      </c>
      <c r="N93" s="72">
        <v>1500.4</v>
      </c>
      <c r="O93" s="72">
        <v>0</v>
      </c>
      <c r="P93" s="72">
        <v>-2642.68</v>
      </c>
      <c r="Q93" s="74">
        <f>BD_LUCRO[[#This Row],[Lucro Líq.]]/BD_LUCRO[[#This Row],[Sacas/Ton]]</f>
        <v>-2.1135803785657159</v>
      </c>
    </row>
    <row r="94" spans="1:17">
      <c r="A94" s="68" t="s">
        <v>216</v>
      </c>
      <c r="B94" s="69">
        <v>2025</v>
      </c>
      <c r="C94" s="70">
        <v>45962</v>
      </c>
      <c r="D94" s="80" t="s">
        <v>310</v>
      </c>
      <c r="E94" s="71" t="s">
        <v>92</v>
      </c>
      <c r="F94" s="71" t="s">
        <v>92</v>
      </c>
      <c r="G94" s="80" t="s">
        <v>311</v>
      </c>
      <c r="H94" s="72" t="s">
        <v>173</v>
      </c>
      <c r="I94" s="73">
        <v>23520</v>
      </c>
      <c r="J94" s="73">
        <f t="shared" si="1"/>
        <v>392</v>
      </c>
      <c r="K94" s="72">
        <v>0</v>
      </c>
      <c r="L94" s="72">
        <v>0</v>
      </c>
      <c r="M94" s="72">
        <v>0</v>
      </c>
      <c r="N94" s="72">
        <v>0</v>
      </c>
      <c r="O94" s="72">
        <v>0</v>
      </c>
      <c r="P94" s="72">
        <v>-33049.32</v>
      </c>
      <c r="Q94" s="74">
        <f>BD_LUCRO[[#This Row],[Lucro Líq.]]/BD_LUCRO[[#This Row],[Sacas/Ton]]</f>
        <v>-84.309489795918367</v>
      </c>
    </row>
    <row r="95" spans="1:17">
      <c r="A95" s="68" t="s">
        <v>216</v>
      </c>
      <c r="B95" s="69">
        <v>2025</v>
      </c>
      <c r="C95" s="70">
        <v>45962</v>
      </c>
      <c r="D95" s="80" t="s">
        <v>312</v>
      </c>
      <c r="E95" s="71" t="s">
        <v>308</v>
      </c>
      <c r="F95" s="71" t="s">
        <v>239</v>
      </c>
      <c r="G95" s="80" t="s">
        <v>313</v>
      </c>
      <c r="H95" s="72" t="s">
        <v>207</v>
      </c>
      <c r="I95" s="73">
        <v>73800</v>
      </c>
      <c r="J95" s="73">
        <f t="shared" si="1"/>
        <v>1230</v>
      </c>
      <c r="K95" s="72">
        <v>22140</v>
      </c>
      <c r="L95" s="72">
        <v>17896.599999999999</v>
      </c>
      <c r="M95" s="72">
        <v>2435.9299999999998</v>
      </c>
      <c r="N95" s="72">
        <v>1476</v>
      </c>
      <c r="O95" s="72">
        <v>0</v>
      </c>
      <c r="P95" s="72">
        <v>-377.53</v>
      </c>
      <c r="Q95" s="74">
        <f>BD_LUCRO[[#This Row],[Lucro Líq.]]/BD_LUCRO[[#This Row],[Sacas/Ton]]</f>
        <v>-0.30693495934959347</v>
      </c>
    </row>
    <row r="96" spans="1:17">
      <c r="A96" s="68" t="s">
        <v>216</v>
      </c>
      <c r="B96" s="69">
        <v>2025</v>
      </c>
      <c r="C96" s="70">
        <v>45962</v>
      </c>
      <c r="D96" s="80" t="s">
        <v>314</v>
      </c>
      <c r="E96" s="71" t="s">
        <v>315</v>
      </c>
      <c r="F96" s="71" t="s">
        <v>316</v>
      </c>
      <c r="G96" s="80" t="s">
        <v>317</v>
      </c>
      <c r="H96" s="72" t="s">
        <v>173</v>
      </c>
      <c r="I96" s="73">
        <v>175000</v>
      </c>
      <c r="J96" s="73">
        <f t="shared" si="1"/>
        <v>2916.6666666666665</v>
      </c>
      <c r="K96" s="72">
        <v>100723.33</v>
      </c>
      <c r="L96" s="72">
        <v>51726.17</v>
      </c>
      <c r="M96" s="72">
        <v>0</v>
      </c>
      <c r="N96" s="72">
        <v>0</v>
      </c>
      <c r="O96" s="72">
        <v>0</v>
      </c>
      <c r="P96" s="72">
        <v>38465.83</v>
      </c>
      <c r="Q96" s="74">
        <f>BD_LUCRO[[#This Row],[Lucro Líq.]]/BD_LUCRO[[#This Row],[Sacas/Ton]]</f>
        <v>13.188284571428573</v>
      </c>
    </row>
    <row r="97" spans="1:17">
      <c r="A97" s="68" t="s">
        <v>216</v>
      </c>
      <c r="B97" s="69">
        <v>2025</v>
      </c>
      <c r="C97" s="70">
        <v>45962</v>
      </c>
      <c r="D97" s="80" t="s">
        <v>318</v>
      </c>
      <c r="E97" s="71" t="s">
        <v>92</v>
      </c>
      <c r="F97" s="71" t="s">
        <v>92</v>
      </c>
      <c r="G97" s="80" t="s">
        <v>319</v>
      </c>
      <c r="H97" s="72" t="s">
        <v>179</v>
      </c>
      <c r="I97" s="73">
        <v>101360</v>
      </c>
      <c r="J97" s="73">
        <f t="shared" si="1"/>
        <v>1689.3333333333333</v>
      </c>
      <c r="K97" s="72">
        <v>0</v>
      </c>
      <c r="L97" s="72">
        <v>33775</v>
      </c>
      <c r="M97" s="72">
        <v>0</v>
      </c>
      <c r="N97" s="72">
        <v>0</v>
      </c>
      <c r="O97" s="72">
        <v>0</v>
      </c>
      <c r="P97" s="72">
        <v>129952.06</v>
      </c>
      <c r="Q97" s="74">
        <f>BD_LUCRO[[#This Row],[Lucro Líq.]]/BD_LUCRO[[#This Row],[Sacas/Ton]]</f>
        <v>76.92505524861879</v>
      </c>
    </row>
    <row r="98" spans="1:17">
      <c r="A98" s="68" t="s">
        <v>216</v>
      </c>
      <c r="B98" s="69">
        <v>2025</v>
      </c>
      <c r="C98" s="70">
        <v>45962</v>
      </c>
      <c r="D98" s="80" t="s">
        <v>320</v>
      </c>
      <c r="E98" s="71" t="s">
        <v>308</v>
      </c>
      <c r="F98" s="71" t="s">
        <v>239</v>
      </c>
      <c r="G98" s="80" t="s">
        <v>321</v>
      </c>
      <c r="H98" s="72" t="s">
        <v>207</v>
      </c>
      <c r="I98" s="73">
        <v>38260</v>
      </c>
      <c r="J98" s="73">
        <f t="shared" si="1"/>
        <v>637.66666666666663</v>
      </c>
      <c r="K98" s="72">
        <v>11478</v>
      </c>
      <c r="L98" s="72">
        <v>10240.200000000001</v>
      </c>
      <c r="M98" s="72">
        <v>1147.8</v>
      </c>
      <c r="N98" s="72">
        <v>765.2</v>
      </c>
      <c r="O98" s="72">
        <v>0</v>
      </c>
      <c r="P98" s="72">
        <v>-1026.5</v>
      </c>
      <c r="Q98" s="74">
        <f>BD_LUCRO[[#This Row],[Lucro Líq.]]/BD_LUCRO[[#This Row],[Sacas/Ton]]</f>
        <v>-1.6097752221641402</v>
      </c>
    </row>
    <row r="99" spans="1:17">
      <c r="A99" s="68" t="s">
        <v>216</v>
      </c>
      <c r="B99" s="69">
        <v>2025</v>
      </c>
      <c r="C99" s="70">
        <v>45962</v>
      </c>
      <c r="D99" s="80" t="s">
        <v>322</v>
      </c>
      <c r="E99" s="71" t="s">
        <v>308</v>
      </c>
      <c r="F99" s="71" t="s">
        <v>239</v>
      </c>
      <c r="G99" s="80" t="s">
        <v>323</v>
      </c>
      <c r="H99" s="72" t="s">
        <v>207</v>
      </c>
      <c r="I99" s="73">
        <v>18640</v>
      </c>
      <c r="J99" s="73">
        <f t="shared" si="1"/>
        <v>310.66666666666669</v>
      </c>
      <c r="K99" s="72">
        <v>6337.6</v>
      </c>
      <c r="L99" s="72">
        <v>6058</v>
      </c>
      <c r="M99" s="72">
        <v>471.97</v>
      </c>
      <c r="N99" s="72">
        <v>372.8</v>
      </c>
      <c r="O99" s="72">
        <v>0</v>
      </c>
      <c r="P99" s="72">
        <v>-565.16</v>
      </c>
      <c r="Q99" s="74">
        <f>BD_LUCRO[[#This Row],[Lucro Líq.]]/BD_LUCRO[[#This Row],[Sacas/Ton]]</f>
        <v>-1.8191845493562229</v>
      </c>
    </row>
    <row r="100" spans="1:17">
      <c r="A100" s="68" t="s">
        <v>216</v>
      </c>
      <c r="B100" s="69">
        <v>2025</v>
      </c>
      <c r="C100" s="70">
        <v>45962</v>
      </c>
      <c r="D100" s="80" t="s">
        <v>322</v>
      </c>
      <c r="E100" s="71" t="s">
        <v>324</v>
      </c>
      <c r="F100" s="71" t="s">
        <v>278</v>
      </c>
      <c r="G100" s="80" t="s">
        <v>323</v>
      </c>
      <c r="H100" s="72" t="s">
        <v>207</v>
      </c>
      <c r="I100" s="73">
        <v>31980</v>
      </c>
      <c r="J100" s="73">
        <f t="shared" si="1"/>
        <v>533</v>
      </c>
      <c r="K100" s="72">
        <v>14710.8</v>
      </c>
      <c r="L100" s="72">
        <v>10303.5</v>
      </c>
      <c r="M100" s="72">
        <v>809.74</v>
      </c>
      <c r="N100" s="72">
        <v>639.6</v>
      </c>
      <c r="O100" s="72">
        <v>0</v>
      </c>
      <c r="P100" s="72">
        <v>2544.87</v>
      </c>
      <c r="Q100" s="74">
        <f>BD_LUCRO[[#This Row],[Lucro Líq.]]/BD_LUCRO[[#This Row],[Sacas/Ton]]</f>
        <v>4.7746153846153847</v>
      </c>
    </row>
    <row r="101" spans="1:17">
      <c r="A101" s="68" t="s">
        <v>216</v>
      </c>
      <c r="B101" s="69">
        <v>2025</v>
      </c>
      <c r="C101" s="70">
        <v>45962</v>
      </c>
      <c r="D101" s="80" t="s">
        <v>325</v>
      </c>
      <c r="E101" s="71" t="s">
        <v>326</v>
      </c>
      <c r="F101" s="71" t="s">
        <v>327</v>
      </c>
      <c r="G101" s="80" t="s">
        <v>328</v>
      </c>
      <c r="H101" s="72" t="s">
        <v>215</v>
      </c>
      <c r="I101" s="73">
        <v>153360</v>
      </c>
      <c r="J101" s="73">
        <f t="shared" si="1"/>
        <v>2556</v>
      </c>
      <c r="K101" s="72">
        <v>55418</v>
      </c>
      <c r="L101" s="72">
        <v>36042</v>
      </c>
      <c r="M101" s="72">
        <v>3620.76</v>
      </c>
      <c r="N101" s="72">
        <v>766.8</v>
      </c>
      <c r="O101" s="72">
        <v>0</v>
      </c>
      <c r="P101" s="72">
        <v>13721.64</v>
      </c>
      <c r="Q101" s="74">
        <f>BD_LUCRO[[#This Row],[Lucro Líq.]]/BD_LUCRO[[#This Row],[Sacas/Ton]]</f>
        <v>5.3684037558685445</v>
      </c>
    </row>
    <row r="102" spans="1:17">
      <c r="A102" s="68" t="s">
        <v>216</v>
      </c>
      <c r="B102" s="69">
        <v>2025</v>
      </c>
      <c r="C102" s="70">
        <v>45962</v>
      </c>
      <c r="D102" s="80" t="s">
        <v>329</v>
      </c>
      <c r="E102" s="71" t="s">
        <v>308</v>
      </c>
      <c r="F102" s="71" t="s">
        <v>239</v>
      </c>
      <c r="G102" s="80" t="s">
        <v>330</v>
      </c>
      <c r="H102" s="72" t="s">
        <v>207</v>
      </c>
      <c r="I102" s="73">
        <v>74940</v>
      </c>
      <c r="J102" s="73">
        <f t="shared" si="1"/>
        <v>1249</v>
      </c>
      <c r="K102" s="72">
        <v>18010.400000000001</v>
      </c>
      <c r="L102" s="72">
        <v>17796</v>
      </c>
      <c r="M102" s="72">
        <v>2302.16</v>
      </c>
      <c r="N102" s="72">
        <v>1498.8</v>
      </c>
      <c r="O102" s="72">
        <v>0</v>
      </c>
      <c r="P102" s="72">
        <v>-4301.26</v>
      </c>
      <c r="Q102" s="74">
        <f>BD_LUCRO[[#This Row],[Lucro Líq.]]/BD_LUCRO[[#This Row],[Sacas/Ton]]</f>
        <v>-3.4437630104083268</v>
      </c>
    </row>
    <row r="103" spans="1:17">
      <c r="A103" s="68" t="s">
        <v>216</v>
      </c>
      <c r="B103" s="69">
        <v>2025</v>
      </c>
      <c r="C103" s="70">
        <v>45962</v>
      </c>
      <c r="D103" s="80" t="s">
        <v>331</v>
      </c>
      <c r="E103" s="71" t="s">
        <v>308</v>
      </c>
      <c r="F103" s="71" t="s">
        <v>239</v>
      </c>
      <c r="G103" s="80" t="s">
        <v>332</v>
      </c>
      <c r="H103" s="72" t="s">
        <v>207</v>
      </c>
      <c r="I103" s="73">
        <v>38780</v>
      </c>
      <c r="J103" s="73">
        <f t="shared" si="1"/>
        <v>646.33333333333337</v>
      </c>
      <c r="K103" s="72">
        <v>14348.6</v>
      </c>
      <c r="L103" s="72">
        <v>11931.8</v>
      </c>
      <c r="M103" s="72">
        <v>1293.7</v>
      </c>
      <c r="N103" s="72">
        <v>0</v>
      </c>
      <c r="O103" s="72">
        <v>0</v>
      </c>
      <c r="P103" s="72">
        <v>769.2</v>
      </c>
      <c r="Q103" s="74">
        <f>BD_LUCRO[[#This Row],[Lucro Líq.]]/BD_LUCRO[[#This Row],[Sacas/Ton]]</f>
        <v>1.1900979886539453</v>
      </c>
    </row>
    <row r="104" spans="1:17">
      <c r="A104" s="68" t="s">
        <v>216</v>
      </c>
      <c r="B104" s="69">
        <v>2025</v>
      </c>
      <c r="C104" s="70">
        <v>45992</v>
      </c>
      <c r="D104" s="80" t="s">
        <v>325</v>
      </c>
      <c r="E104" s="71" t="s">
        <v>326</v>
      </c>
      <c r="F104" s="71" t="s">
        <v>327</v>
      </c>
      <c r="G104" s="80" t="s">
        <v>328</v>
      </c>
      <c r="H104" s="72" t="s">
        <v>215</v>
      </c>
      <c r="I104" s="73">
        <v>464240</v>
      </c>
      <c r="J104" s="73">
        <f t="shared" si="1"/>
        <v>7737.333333333333</v>
      </c>
      <c r="K104" s="72">
        <v>168835.33</v>
      </c>
      <c r="L104" s="72">
        <v>111607.9</v>
      </c>
      <c r="M104" s="72">
        <v>10835.31</v>
      </c>
      <c r="N104" s="72">
        <v>2321.1999999999998</v>
      </c>
      <c r="O104" s="72">
        <v>0</v>
      </c>
      <c r="P104" s="72">
        <v>40249.72</v>
      </c>
      <c r="Q104" s="74">
        <f>BD_LUCRO[[#This Row],[Lucro Líq.]]/BD_LUCRO[[#This Row],[Sacas/Ton]]</f>
        <v>5.2020144752714117</v>
      </c>
    </row>
    <row r="105" spans="1:17">
      <c r="A105" s="68" t="s">
        <v>216</v>
      </c>
      <c r="B105" s="69">
        <v>2025</v>
      </c>
      <c r="C105" s="70">
        <v>45992</v>
      </c>
      <c r="D105" s="80" t="s">
        <v>335</v>
      </c>
      <c r="E105" s="71" t="s">
        <v>324</v>
      </c>
      <c r="F105" s="71" t="s">
        <v>278</v>
      </c>
      <c r="G105" s="80" t="s">
        <v>295</v>
      </c>
      <c r="H105" s="72" t="s">
        <v>207</v>
      </c>
      <c r="I105" s="73">
        <v>93440</v>
      </c>
      <c r="J105" s="73">
        <f t="shared" si="1"/>
        <v>1557.3333333333333</v>
      </c>
      <c r="K105" s="72">
        <v>40048.199999999997</v>
      </c>
      <c r="L105" s="72">
        <v>26084.799999999999</v>
      </c>
      <c r="M105" s="72">
        <v>2623.79</v>
      </c>
      <c r="N105" s="72">
        <v>934.4</v>
      </c>
      <c r="O105" s="72">
        <v>0</v>
      </c>
      <c r="P105" s="72">
        <v>9678.01</v>
      </c>
      <c r="Q105" s="74">
        <f>BD_LUCRO[[#This Row],[Lucro Líq.]]/BD_LUCRO[[#This Row],[Sacas/Ton]]</f>
        <v>6.2144755993150689</v>
      </c>
    </row>
    <row r="106" spans="1:17">
      <c r="A106" s="68" t="s">
        <v>216</v>
      </c>
      <c r="B106" s="69">
        <v>2025</v>
      </c>
      <c r="C106" s="70">
        <v>45992</v>
      </c>
      <c r="D106" s="80" t="s">
        <v>336</v>
      </c>
      <c r="E106" s="71" t="s">
        <v>326</v>
      </c>
      <c r="F106" s="71" t="s">
        <v>327</v>
      </c>
      <c r="G106" s="80" t="s">
        <v>337</v>
      </c>
      <c r="H106" s="72" t="s">
        <v>215</v>
      </c>
      <c r="I106" s="73">
        <v>53080</v>
      </c>
      <c r="J106" s="73">
        <f t="shared" si="1"/>
        <v>884.66666666666663</v>
      </c>
      <c r="K106" s="72">
        <v>19330.669999999998</v>
      </c>
      <c r="L106" s="72">
        <v>13710.8</v>
      </c>
      <c r="M106" s="72">
        <v>1210.22</v>
      </c>
      <c r="N106" s="72">
        <v>265.39999999999998</v>
      </c>
      <c r="O106" s="72">
        <v>0</v>
      </c>
      <c r="P106" s="72">
        <v>3718.85</v>
      </c>
      <c r="Q106" s="74">
        <f>BD_LUCRO[[#This Row],[Lucro Líq.]]/BD_LUCRO[[#This Row],[Sacas/Ton]]</f>
        <v>4.2036737000753579</v>
      </c>
    </row>
    <row r="107" spans="1:17">
      <c r="A107" s="68" t="s">
        <v>216</v>
      </c>
      <c r="B107" s="69">
        <v>2025</v>
      </c>
      <c r="C107" s="70">
        <v>45992</v>
      </c>
      <c r="D107" s="80" t="s">
        <v>338</v>
      </c>
      <c r="E107" s="71" t="s">
        <v>339</v>
      </c>
      <c r="F107" s="71" t="s">
        <v>340</v>
      </c>
      <c r="G107" s="80" t="s">
        <v>317</v>
      </c>
      <c r="H107" s="72" t="s">
        <v>173</v>
      </c>
      <c r="I107" s="73">
        <v>150480</v>
      </c>
      <c r="J107" s="73">
        <f t="shared" si="1"/>
        <v>2508</v>
      </c>
      <c r="K107" s="72">
        <v>87780</v>
      </c>
      <c r="L107" s="72">
        <v>54912.4</v>
      </c>
      <c r="M107" s="72">
        <v>0</v>
      </c>
      <c r="N107" s="72">
        <v>0</v>
      </c>
      <c r="O107" s="72">
        <v>0</v>
      </c>
      <c r="P107" s="72">
        <v>30405.200000000001</v>
      </c>
      <c r="Q107" s="74">
        <f>BD_LUCRO[[#This Row],[Lucro Líq.]]/BD_LUCRO[[#This Row],[Sacas/Ton]]</f>
        <v>12.123285486443381</v>
      </c>
    </row>
    <row r="108" spans="1:17">
      <c r="A108" s="68" t="s">
        <v>216</v>
      </c>
      <c r="B108" s="69">
        <v>2025</v>
      </c>
      <c r="C108" s="70">
        <v>45748</v>
      </c>
      <c r="D108" s="80" t="s">
        <v>346</v>
      </c>
      <c r="E108" s="71" t="s">
        <v>246</v>
      </c>
      <c r="F108" s="71" t="s">
        <v>242</v>
      </c>
      <c r="G108" s="80" t="s">
        <v>243</v>
      </c>
      <c r="H108" s="72" t="s">
        <v>33</v>
      </c>
      <c r="I108" s="73">
        <v>14620</v>
      </c>
      <c r="J108" s="73">
        <f t="shared" si="1"/>
        <v>243.66666666666666</v>
      </c>
      <c r="K108" s="72">
        <v>1949.33</v>
      </c>
      <c r="L108" s="72">
        <v>0</v>
      </c>
      <c r="M108" s="72">
        <v>0</v>
      </c>
      <c r="N108" s="72">
        <v>121.83</v>
      </c>
      <c r="O108" s="72">
        <v>0</v>
      </c>
      <c r="P108" s="72">
        <v>1827.5</v>
      </c>
      <c r="Q108" s="74">
        <f>BD_LUCRO[[#This Row],[Lucro Líq.]]/BD_LUCRO[[#This Row],[Sacas/Ton]]</f>
        <v>7.5</v>
      </c>
    </row>
    <row r="109" spans="1:17">
      <c r="A109" s="68" t="s">
        <v>216</v>
      </c>
      <c r="B109" s="69">
        <v>2025</v>
      </c>
      <c r="C109" s="70">
        <v>45931</v>
      </c>
      <c r="D109" s="80" t="s">
        <v>347</v>
      </c>
      <c r="E109" s="71" t="s">
        <v>92</v>
      </c>
      <c r="F109" s="71" t="s">
        <v>92</v>
      </c>
      <c r="G109" s="80" t="s">
        <v>282</v>
      </c>
      <c r="H109" s="72" t="s">
        <v>173</v>
      </c>
      <c r="I109" s="73">
        <v>119540</v>
      </c>
      <c r="J109" s="73">
        <f t="shared" si="1"/>
        <v>1992.3333333333333</v>
      </c>
      <c r="K109" s="72">
        <v>0</v>
      </c>
      <c r="L109" s="72">
        <v>47546</v>
      </c>
      <c r="M109" s="72">
        <v>0</v>
      </c>
      <c r="N109" s="72">
        <v>119540</v>
      </c>
      <c r="O109" s="72">
        <v>0</v>
      </c>
      <c r="P109" s="72">
        <v>41040.6</v>
      </c>
      <c r="Q109" s="74">
        <f>BD_LUCRO[[#This Row],[Lucro Líq.]]/BD_LUCRO[[#This Row],[Sacas/Ton]]</f>
        <v>20.599263844738164</v>
      </c>
    </row>
    <row r="110" spans="1:17">
      <c r="A110" s="68" t="s">
        <v>216</v>
      </c>
      <c r="B110" s="69">
        <v>2025</v>
      </c>
      <c r="C110" s="70">
        <v>45931</v>
      </c>
      <c r="D110" s="80" t="s">
        <v>348</v>
      </c>
      <c r="E110" s="71" t="s">
        <v>349</v>
      </c>
      <c r="F110" s="71" t="s">
        <v>350</v>
      </c>
      <c r="G110" s="80" t="s">
        <v>317</v>
      </c>
      <c r="H110" s="72" t="s">
        <v>176</v>
      </c>
      <c r="I110" s="73">
        <v>100000</v>
      </c>
      <c r="J110" s="73">
        <f t="shared" si="1"/>
        <v>1666.6666666666667</v>
      </c>
      <c r="K110" s="72">
        <v>50000</v>
      </c>
      <c r="L110" s="72">
        <v>0</v>
      </c>
      <c r="M110" s="72">
        <v>0</v>
      </c>
      <c r="N110" s="72">
        <v>35000</v>
      </c>
      <c r="O110" s="72">
        <v>0</v>
      </c>
      <c r="P110" s="72">
        <v>15000</v>
      </c>
      <c r="Q110" s="74">
        <f>BD_LUCRO[[#This Row],[Lucro Líq.]]/BD_LUCRO[[#This Row],[Sacas/Ton]]</f>
        <v>9</v>
      </c>
    </row>
    <row r="111" spans="1:17">
      <c r="A111" s="68" t="s">
        <v>216</v>
      </c>
      <c r="B111" s="69">
        <v>2025</v>
      </c>
      <c r="C111" s="70">
        <v>45931</v>
      </c>
      <c r="D111" s="80" t="s">
        <v>305</v>
      </c>
      <c r="E111" s="71" t="s">
        <v>308</v>
      </c>
      <c r="F111" s="71" t="s">
        <v>239</v>
      </c>
      <c r="G111" s="80" t="s">
        <v>306</v>
      </c>
      <c r="H111" s="72" t="s">
        <v>207</v>
      </c>
      <c r="I111" s="73">
        <v>35420</v>
      </c>
      <c r="J111" s="73">
        <f t="shared" si="1"/>
        <v>590.33333333333337</v>
      </c>
      <c r="K111" s="72">
        <v>12042.8</v>
      </c>
      <c r="L111" s="72">
        <v>8765</v>
      </c>
      <c r="M111" s="72">
        <v>1215.6099999999999</v>
      </c>
      <c r="N111" s="72">
        <v>0</v>
      </c>
      <c r="O111" s="72">
        <v>0</v>
      </c>
      <c r="P111" s="72">
        <v>1715.09</v>
      </c>
      <c r="Q111" s="74">
        <f>BD_LUCRO[[#This Row],[Lucro Líq.]]/BD_LUCRO[[#This Row],[Sacas/Ton]]</f>
        <v>2.9052907961603611</v>
      </c>
    </row>
    <row r="112" spans="1:17">
      <c r="A112" s="68" t="s">
        <v>216</v>
      </c>
      <c r="B112" s="69">
        <v>2025</v>
      </c>
      <c r="C112" s="70">
        <v>45931</v>
      </c>
      <c r="D112" s="80" t="s">
        <v>298</v>
      </c>
      <c r="E112" s="71" t="s">
        <v>308</v>
      </c>
      <c r="F112" s="71" t="s">
        <v>239</v>
      </c>
      <c r="G112" s="80" t="s">
        <v>299</v>
      </c>
      <c r="H112" s="72" t="s">
        <v>207</v>
      </c>
      <c r="I112" s="73">
        <v>114100</v>
      </c>
      <c r="J112" s="73">
        <f t="shared" si="1"/>
        <v>1901.6666666666667</v>
      </c>
      <c r="K112" s="72">
        <v>42217</v>
      </c>
      <c r="L112" s="72">
        <v>37392.800000000003</v>
      </c>
      <c r="M112" s="72">
        <v>2983.67</v>
      </c>
      <c r="N112" s="72">
        <v>0</v>
      </c>
      <c r="O112" s="72">
        <v>0</v>
      </c>
      <c r="P112" s="72">
        <v>760.03</v>
      </c>
      <c r="Q112" s="74">
        <f>BD_LUCRO[[#This Row],[Lucro Líq.]]/BD_LUCRO[[#This Row],[Sacas/Ton]]</f>
        <v>0.39966520595968447</v>
      </c>
    </row>
    <row r="113" spans="1:17">
      <c r="A113" s="68" t="s">
        <v>216</v>
      </c>
      <c r="B113" s="69">
        <v>2025</v>
      </c>
      <c r="C113" s="70">
        <v>45931</v>
      </c>
      <c r="D113" s="80" t="s">
        <v>351</v>
      </c>
      <c r="E113" s="71" t="s">
        <v>92</v>
      </c>
      <c r="F113" s="71" t="s">
        <v>92</v>
      </c>
      <c r="G113" s="80" t="s">
        <v>352</v>
      </c>
      <c r="H113" s="72" t="s">
        <v>173</v>
      </c>
      <c r="I113" s="73">
        <v>200020</v>
      </c>
      <c r="J113" s="73">
        <f t="shared" si="1"/>
        <v>3333.6666666666665</v>
      </c>
      <c r="K113" s="72">
        <v>0</v>
      </c>
      <c r="L113" s="72">
        <v>82210.55</v>
      </c>
      <c r="M113" s="72">
        <v>0</v>
      </c>
      <c r="N113" s="72">
        <v>184285.09</v>
      </c>
      <c r="O113" s="72">
        <v>0</v>
      </c>
      <c r="P113" s="72">
        <v>75887.42</v>
      </c>
      <c r="Q113" s="74">
        <f>BD_LUCRO[[#This Row],[Lucro Líq.]]/BD_LUCRO[[#This Row],[Sacas/Ton]]</f>
        <v>22.763949605039496</v>
      </c>
    </row>
    <row r="114" spans="1:17">
      <c r="A114" s="68" t="s">
        <v>216</v>
      </c>
      <c r="B114" s="69">
        <v>2025</v>
      </c>
      <c r="C114" s="70">
        <v>45931</v>
      </c>
      <c r="D114" s="80" t="s">
        <v>353</v>
      </c>
      <c r="E114" s="71" t="s">
        <v>92</v>
      </c>
      <c r="F114" s="71" t="s">
        <v>92</v>
      </c>
      <c r="G114" s="80" t="s">
        <v>354</v>
      </c>
      <c r="H114" s="72" t="s">
        <v>179</v>
      </c>
      <c r="I114" s="73">
        <v>150500</v>
      </c>
      <c r="J114" s="73">
        <f t="shared" si="1"/>
        <v>2508.3333333333335</v>
      </c>
      <c r="K114" s="72">
        <v>0</v>
      </c>
      <c r="L114" s="72">
        <v>59363.8</v>
      </c>
      <c r="M114" s="72">
        <v>0</v>
      </c>
      <c r="N114" s="72">
        <v>140466.67000000001</v>
      </c>
      <c r="O114" s="72">
        <v>0</v>
      </c>
      <c r="P114" s="72">
        <v>-38037.46</v>
      </c>
      <c r="Q114" s="74">
        <f>BD_LUCRO[[#This Row],[Lucro Líq.]]/BD_LUCRO[[#This Row],[Sacas/Ton]]</f>
        <v>-15.164435880398671</v>
      </c>
    </row>
    <row r="115" spans="1:17">
      <c r="A115" s="68" t="s">
        <v>216</v>
      </c>
      <c r="B115" s="69">
        <v>2025</v>
      </c>
      <c r="C115" s="70">
        <v>45931</v>
      </c>
      <c r="D115" s="80" t="s">
        <v>273</v>
      </c>
      <c r="E115" s="71" t="s">
        <v>308</v>
      </c>
      <c r="F115" s="71" t="s">
        <v>239</v>
      </c>
      <c r="G115" s="80" t="s">
        <v>276</v>
      </c>
      <c r="H115" s="72" t="s">
        <v>207</v>
      </c>
      <c r="I115" s="73">
        <v>31040</v>
      </c>
      <c r="J115" s="73">
        <f t="shared" si="1"/>
        <v>517.33333333333337</v>
      </c>
      <c r="K115" s="72">
        <v>14899.2</v>
      </c>
      <c r="L115" s="72">
        <v>11174.4</v>
      </c>
      <c r="M115" s="72">
        <v>684.65</v>
      </c>
      <c r="N115" s="72">
        <v>0</v>
      </c>
      <c r="O115" s="72">
        <v>0</v>
      </c>
      <c r="P115" s="72">
        <v>3040.15</v>
      </c>
      <c r="Q115" s="74">
        <f>BD_LUCRO[[#This Row],[Lucro Líq.]]/BD_LUCRO[[#This Row],[Sacas/Ton]]</f>
        <v>5.8765786082474225</v>
      </c>
    </row>
    <row r="116" spans="1:17">
      <c r="A116" s="82" t="s">
        <v>355</v>
      </c>
      <c r="B116" s="69">
        <v>2025</v>
      </c>
      <c r="C116" s="70">
        <v>45658</v>
      </c>
      <c r="D116" s="80" t="s">
        <v>356</v>
      </c>
      <c r="E116" s="71" t="s">
        <v>92</v>
      </c>
      <c r="F116" s="71" t="s">
        <v>92</v>
      </c>
      <c r="G116" s="80" t="s">
        <v>357</v>
      </c>
      <c r="H116" s="72" t="s">
        <v>358</v>
      </c>
      <c r="I116" s="73">
        <v>31000</v>
      </c>
      <c r="J116" s="73">
        <f t="shared" si="1"/>
        <v>516.66666666666663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-10650.36</v>
      </c>
      <c r="Q116" s="74">
        <f>BD_LUCRO[[#This Row],[Lucro Líq.]]/BD_LUCRO[[#This Row],[Sacas/Ton]]</f>
        <v>-20.613600000000002</v>
      </c>
    </row>
    <row r="117" spans="1:17">
      <c r="A117" s="82" t="s">
        <v>355</v>
      </c>
      <c r="B117" s="69">
        <v>2025</v>
      </c>
      <c r="C117" s="70">
        <v>45689</v>
      </c>
      <c r="D117" s="80" t="s">
        <v>359</v>
      </c>
      <c r="E117" s="71" t="s">
        <v>92</v>
      </c>
      <c r="F117" s="71" t="s">
        <v>92</v>
      </c>
      <c r="G117" s="80" t="s">
        <v>228</v>
      </c>
      <c r="H117" s="72" t="s">
        <v>230</v>
      </c>
      <c r="I117" s="73">
        <v>5500</v>
      </c>
      <c r="J117" s="73">
        <f t="shared" si="1"/>
        <v>91.666666666666671</v>
      </c>
      <c r="K117" s="72">
        <v>0</v>
      </c>
      <c r="L117" s="72">
        <v>0</v>
      </c>
      <c r="M117" s="72">
        <v>660</v>
      </c>
      <c r="N117" s="72">
        <v>0</v>
      </c>
      <c r="O117" s="72">
        <v>0</v>
      </c>
      <c r="P117" s="72">
        <v>-35741.01</v>
      </c>
      <c r="Q117" s="74">
        <f>BD_LUCRO[[#This Row],[Lucro Líq.]]/BD_LUCRO[[#This Row],[Sacas/Ton]]</f>
        <v>-389.90192727272728</v>
      </c>
    </row>
    <row r="118" spans="1:17">
      <c r="A118" s="82" t="s">
        <v>355</v>
      </c>
      <c r="B118" s="69">
        <v>2025</v>
      </c>
      <c r="C118" s="70">
        <v>45809</v>
      </c>
      <c r="D118" s="80" t="s">
        <v>92</v>
      </c>
      <c r="E118" s="71" t="s">
        <v>360</v>
      </c>
      <c r="F118" s="71" t="s">
        <v>361</v>
      </c>
      <c r="G118" s="80" t="s">
        <v>92</v>
      </c>
      <c r="H118" s="72" t="s">
        <v>173</v>
      </c>
      <c r="I118" s="73">
        <v>83300</v>
      </c>
      <c r="J118" s="73">
        <f t="shared" si="1"/>
        <v>1388.3333333333333</v>
      </c>
      <c r="K118" s="72">
        <v>0</v>
      </c>
      <c r="L118" s="72">
        <v>18897.11</v>
      </c>
      <c r="M118" s="72">
        <v>-21702.76</v>
      </c>
      <c r="N118" s="72">
        <v>0</v>
      </c>
      <c r="O118" s="72">
        <v>0</v>
      </c>
      <c r="P118" s="72">
        <v>0</v>
      </c>
      <c r="Q118" s="74">
        <f>BD_LUCRO[[#This Row],[Lucro Líq.]]/BD_LUCRO[[#This Row],[Sacas/Ton]]</f>
        <v>0</v>
      </c>
    </row>
    <row r="119" spans="1:17">
      <c r="A119" s="82" t="s">
        <v>355</v>
      </c>
      <c r="B119" s="69">
        <v>2025</v>
      </c>
      <c r="C119" s="70">
        <v>45839</v>
      </c>
      <c r="D119" s="80" t="s">
        <v>92</v>
      </c>
      <c r="E119" s="71" t="s">
        <v>362</v>
      </c>
      <c r="F119" s="71" t="s">
        <v>363</v>
      </c>
      <c r="G119" s="80" t="s">
        <v>92</v>
      </c>
      <c r="H119" s="72" t="s">
        <v>173</v>
      </c>
      <c r="I119" s="73">
        <v>30380</v>
      </c>
      <c r="J119" s="73">
        <f t="shared" si="1"/>
        <v>506.33333333333331</v>
      </c>
      <c r="K119" s="72">
        <v>0</v>
      </c>
      <c r="L119" s="72">
        <v>6791.15</v>
      </c>
      <c r="M119" s="72">
        <v>-2760.77</v>
      </c>
      <c r="N119" s="72">
        <v>0</v>
      </c>
      <c r="O119" s="72">
        <v>0</v>
      </c>
      <c r="P119" s="72">
        <v>0</v>
      </c>
      <c r="Q119" s="74">
        <f>BD_LUCRO[[#This Row],[Lucro Líq.]]/BD_LUCRO[[#This Row],[Sacas/Ton]]</f>
        <v>0</v>
      </c>
    </row>
    <row r="120" spans="1:17">
      <c r="A120" s="82" t="s">
        <v>355</v>
      </c>
      <c r="B120" s="69">
        <v>2025</v>
      </c>
      <c r="C120" s="70">
        <v>45839</v>
      </c>
      <c r="D120" s="80" t="s">
        <v>92</v>
      </c>
      <c r="E120" s="71" t="s">
        <v>360</v>
      </c>
      <c r="F120" s="71" t="s">
        <v>361</v>
      </c>
      <c r="G120" s="80" t="s">
        <v>92</v>
      </c>
      <c r="H120" s="72" t="s">
        <v>173</v>
      </c>
      <c r="I120" s="73">
        <v>227860</v>
      </c>
      <c r="J120" s="73">
        <f t="shared" si="1"/>
        <v>3797.6666666666665</v>
      </c>
      <c r="K120" s="72">
        <v>0</v>
      </c>
      <c r="L120" s="72">
        <v>50636.46</v>
      </c>
      <c r="M120" s="72">
        <v>-58690.52</v>
      </c>
      <c r="N120" s="72">
        <v>0</v>
      </c>
      <c r="O120" s="72">
        <v>0</v>
      </c>
      <c r="P120" s="72">
        <v>0</v>
      </c>
      <c r="Q120" s="74">
        <f>BD_LUCRO[[#This Row],[Lucro Líq.]]/BD_LUCRO[[#This Row],[Sacas/Ton]]</f>
        <v>0</v>
      </c>
    </row>
    <row r="121" spans="1:17">
      <c r="A121" s="82" t="s">
        <v>355</v>
      </c>
      <c r="B121" s="69">
        <v>2025</v>
      </c>
      <c r="C121" s="70">
        <v>45839</v>
      </c>
      <c r="D121" s="80" t="s">
        <v>92</v>
      </c>
      <c r="E121" s="71" t="s">
        <v>364</v>
      </c>
      <c r="F121" s="71" t="s">
        <v>361</v>
      </c>
      <c r="G121" s="80" t="s">
        <v>92</v>
      </c>
      <c r="H121" s="72" t="s">
        <v>173</v>
      </c>
      <c r="I121" s="73">
        <v>75820</v>
      </c>
      <c r="J121" s="73">
        <f t="shared" si="1"/>
        <v>1263.6666666666667</v>
      </c>
      <c r="K121" s="72">
        <v>0</v>
      </c>
      <c r="L121" s="72">
        <v>18704</v>
      </c>
      <c r="M121" s="72">
        <v>-8428.89</v>
      </c>
      <c r="N121" s="72">
        <v>0</v>
      </c>
      <c r="O121" s="72">
        <v>0</v>
      </c>
      <c r="P121" s="72">
        <v>0</v>
      </c>
      <c r="Q121" s="74">
        <f>BD_LUCRO[[#This Row],[Lucro Líq.]]/BD_LUCRO[[#This Row],[Sacas/Ton]]</f>
        <v>0</v>
      </c>
    </row>
    <row r="122" spans="1:17">
      <c r="A122" s="82" t="s">
        <v>355</v>
      </c>
      <c r="B122" s="69">
        <v>2025</v>
      </c>
      <c r="C122" s="70">
        <v>45870</v>
      </c>
      <c r="D122" s="80" t="s">
        <v>92</v>
      </c>
      <c r="E122" s="71" t="s">
        <v>365</v>
      </c>
      <c r="F122" s="71" t="s">
        <v>366</v>
      </c>
      <c r="G122" s="80" t="s">
        <v>92</v>
      </c>
      <c r="H122" s="72" t="s">
        <v>173</v>
      </c>
      <c r="I122" s="73">
        <v>229980</v>
      </c>
      <c r="J122" s="73">
        <f t="shared" si="1"/>
        <v>3833</v>
      </c>
      <c r="K122" s="72">
        <v>0</v>
      </c>
      <c r="L122" s="72">
        <v>0</v>
      </c>
      <c r="M122" s="72">
        <v>0</v>
      </c>
      <c r="N122" s="72">
        <v>0</v>
      </c>
      <c r="O122" s="72">
        <v>0</v>
      </c>
      <c r="P122" s="72">
        <v>0</v>
      </c>
      <c r="Q122" s="74">
        <f>BD_LUCRO[[#This Row],[Lucro Líq.]]/BD_LUCRO[[#This Row],[Sacas/Ton]]</f>
        <v>0</v>
      </c>
    </row>
    <row r="123" spans="1:17">
      <c r="A123" s="82" t="s">
        <v>355</v>
      </c>
      <c r="B123" s="69">
        <v>2025</v>
      </c>
      <c r="C123" s="70">
        <v>45870</v>
      </c>
      <c r="D123" s="80" t="s">
        <v>367</v>
      </c>
      <c r="E123" s="71" t="s">
        <v>92</v>
      </c>
      <c r="F123" s="71" t="s">
        <v>92</v>
      </c>
      <c r="G123" s="80" t="s">
        <v>368</v>
      </c>
      <c r="H123" s="72" t="s">
        <v>173</v>
      </c>
      <c r="I123" s="73">
        <v>17100</v>
      </c>
      <c r="J123" s="73">
        <f t="shared" si="1"/>
        <v>285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-47387.78</v>
      </c>
      <c r="Q123" s="74">
        <f>BD_LUCRO[[#This Row],[Lucro Líq.]]/BD_LUCRO[[#This Row],[Sacas/Ton]]</f>
        <v>-166.27291228070175</v>
      </c>
    </row>
    <row r="124" spans="1:17">
      <c r="A124" s="82" t="s">
        <v>355</v>
      </c>
      <c r="B124" s="69">
        <v>2025</v>
      </c>
      <c r="C124" s="70">
        <v>45901</v>
      </c>
      <c r="D124" s="80" t="s">
        <v>92</v>
      </c>
      <c r="E124" s="71" t="s">
        <v>369</v>
      </c>
      <c r="F124" s="71" t="s">
        <v>370</v>
      </c>
      <c r="G124" s="80" t="s">
        <v>92</v>
      </c>
      <c r="H124" s="72" t="s">
        <v>179</v>
      </c>
      <c r="I124" s="73">
        <v>200000</v>
      </c>
      <c r="J124" s="73">
        <f t="shared" si="1"/>
        <v>3333.3333333333335</v>
      </c>
      <c r="K124" s="72">
        <v>0</v>
      </c>
      <c r="L124" s="72">
        <v>0</v>
      </c>
      <c r="M124" s="72">
        <v>0</v>
      </c>
      <c r="N124" s="72">
        <v>0</v>
      </c>
      <c r="O124" s="72">
        <v>0</v>
      </c>
      <c r="P124" s="72">
        <v>0</v>
      </c>
      <c r="Q124" s="74">
        <f>BD_LUCRO[[#This Row],[Lucro Líq.]]/BD_LUCRO[[#This Row],[Sacas/Ton]]</f>
        <v>0</v>
      </c>
    </row>
    <row r="125" spans="1:17">
      <c r="A125" s="82" t="s">
        <v>355</v>
      </c>
      <c r="B125" s="69">
        <v>2025</v>
      </c>
      <c r="C125" s="70">
        <v>45839</v>
      </c>
      <c r="D125" s="80" t="s">
        <v>227</v>
      </c>
      <c r="E125" s="71" t="s">
        <v>92</v>
      </c>
      <c r="F125" s="71" t="s">
        <v>92</v>
      </c>
      <c r="G125" s="80" t="s">
        <v>368</v>
      </c>
      <c r="H125" s="72" t="s">
        <v>179</v>
      </c>
      <c r="I125" s="73">
        <v>31380</v>
      </c>
      <c r="J125" s="73">
        <f t="shared" si="1"/>
        <v>523</v>
      </c>
      <c r="K125" s="72">
        <v>0</v>
      </c>
      <c r="L125" s="72">
        <v>0</v>
      </c>
      <c r="M125" s="72">
        <v>0</v>
      </c>
      <c r="N125" s="72">
        <v>0</v>
      </c>
      <c r="O125" s="72">
        <v>0</v>
      </c>
      <c r="P125" s="72">
        <v>-77002.28</v>
      </c>
      <c r="Q125" s="74">
        <f>BD_LUCRO[[#This Row],[Lucro Líq.]]/BD_LUCRO[[#This Row],[Sacas/Ton]]</f>
        <v>-147.2318929254302</v>
      </c>
    </row>
    <row r="126" spans="1:17">
      <c r="A126" s="68" t="s">
        <v>216</v>
      </c>
      <c r="B126" s="69">
        <v>2026</v>
      </c>
      <c r="C126" s="70">
        <v>46023</v>
      </c>
      <c r="D126" s="80" t="s">
        <v>325</v>
      </c>
      <c r="E126" s="71" t="s">
        <v>326</v>
      </c>
      <c r="F126" s="71" t="s">
        <v>327</v>
      </c>
      <c r="G126" s="80" t="s">
        <v>328</v>
      </c>
      <c r="H126" s="72" t="s">
        <v>215</v>
      </c>
      <c r="I126" s="73">
        <v>307700</v>
      </c>
      <c r="J126" s="73">
        <f t="shared" si="1"/>
        <v>5128.333333333333</v>
      </c>
      <c r="K126" s="72">
        <v>112163.33</v>
      </c>
      <c r="L126" s="72">
        <v>73904.800000000003</v>
      </c>
      <c r="M126" s="72">
        <v>7261.64</v>
      </c>
      <c r="N126" s="72">
        <v>1538.5</v>
      </c>
      <c r="O126" s="72">
        <v>2558.5</v>
      </c>
      <c r="P126" s="72">
        <v>26899.89</v>
      </c>
      <c r="Q126" s="74">
        <f>BD_LUCRO[[#This Row],[Lucro Líq.]]/BD_LUCRO[[#This Row],[Sacas/Ton]]</f>
        <v>5.2453474163145923</v>
      </c>
    </row>
    <row r="127" spans="1:17">
      <c r="A127" s="68" t="s">
        <v>216</v>
      </c>
      <c r="B127" s="69">
        <v>2026</v>
      </c>
      <c r="C127" s="70">
        <v>46023</v>
      </c>
      <c r="D127" s="80" t="s">
        <v>371</v>
      </c>
      <c r="E127" s="71" t="s">
        <v>372</v>
      </c>
      <c r="F127" s="71" t="s">
        <v>206</v>
      </c>
      <c r="G127" s="80" t="s">
        <v>295</v>
      </c>
      <c r="H127" s="72" t="s">
        <v>207</v>
      </c>
      <c r="I127" s="73">
        <v>117860</v>
      </c>
      <c r="J127" s="73">
        <f t="shared" si="1"/>
        <v>1964.3333333333333</v>
      </c>
      <c r="K127" s="72">
        <v>45752.6</v>
      </c>
      <c r="L127" s="72">
        <v>29155</v>
      </c>
      <c r="M127" s="72">
        <v>3988.38</v>
      </c>
      <c r="N127" s="72">
        <v>2357.1999999999998</v>
      </c>
      <c r="O127" s="72">
        <v>1099.3</v>
      </c>
      <c r="P127" s="72">
        <v>9152.7199999999993</v>
      </c>
      <c r="Q127" s="74">
        <f>BD_LUCRO[[#This Row],[Lucro Líq.]]/BD_LUCRO[[#This Row],[Sacas/Ton]]</f>
        <v>4.6594535890039026</v>
      </c>
    </row>
    <row r="128" spans="1:17">
      <c r="A128" s="68" t="s">
        <v>216</v>
      </c>
      <c r="B128" s="69">
        <v>2026</v>
      </c>
      <c r="C128" s="70">
        <v>46023</v>
      </c>
      <c r="D128" s="80" t="s">
        <v>373</v>
      </c>
      <c r="E128" s="71" t="s">
        <v>374</v>
      </c>
      <c r="F128" s="71" t="s">
        <v>375</v>
      </c>
      <c r="G128" s="80" t="s">
        <v>48</v>
      </c>
      <c r="H128" s="72" t="s">
        <v>33</v>
      </c>
      <c r="I128" s="73">
        <v>43661</v>
      </c>
      <c r="J128" s="73">
        <f t="shared" si="1"/>
        <v>727.68333333333328</v>
      </c>
      <c r="K128" s="72">
        <v>19461.02</v>
      </c>
      <c r="L128" s="72">
        <v>0</v>
      </c>
      <c r="M128" s="72">
        <v>0</v>
      </c>
      <c r="N128" s="72">
        <v>727.68</v>
      </c>
      <c r="O128" s="72">
        <v>0</v>
      </c>
      <c r="P128" s="72">
        <v>18733.330000000002</v>
      </c>
      <c r="Q128" s="74">
        <f>BD_LUCRO[[#This Row],[Lucro Líq.]]/BD_LUCRO[[#This Row],[Sacas/Ton]]</f>
        <v>25.743794232839381</v>
      </c>
    </row>
    <row r="129" spans="1:17">
      <c r="A129" s="68" t="s">
        <v>216</v>
      </c>
      <c r="B129" s="69">
        <v>2026</v>
      </c>
      <c r="C129" s="70">
        <v>46023</v>
      </c>
      <c r="D129" s="80" t="s">
        <v>373</v>
      </c>
      <c r="E129" s="71" t="s">
        <v>376</v>
      </c>
      <c r="F129" s="71" t="s">
        <v>377</v>
      </c>
      <c r="G129" s="80" t="s">
        <v>48</v>
      </c>
      <c r="H129" s="72" t="s">
        <v>33</v>
      </c>
      <c r="I129" s="73">
        <v>62088</v>
      </c>
      <c r="J129" s="73">
        <f t="shared" si="1"/>
        <v>1034.8</v>
      </c>
      <c r="K129" s="72">
        <v>17281.16</v>
      </c>
      <c r="L129" s="72">
        <v>0</v>
      </c>
      <c r="M129" s="72">
        <v>0</v>
      </c>
      <c r="N129" s="72">
        <v>4139.2</v>
      </c>
      <c r="O129" s="72">
        <v>0</v>
      </c>
      <c r="P129" s="72">
        <v>13141.96</v>
      </c>
      <c r="Q129" s="74">
        <f>BD_LUCRO[[#This Row],[Lucro Líq.]]/BD_LUCRO[[#This Row],[Sacas/Ton]]</f>
        <v>12.7</v>
      </c>
    </row>
    <row r="130" spans="1:17">
      <c r="A130" s="82" t="s">
        <v>51</v>
      </c>
      <c r="B130" s="69">
        <v>2026</v>
      </c>
      <c r="C130" s="70">
        <v>46023</v>
      </c>
      <c r="D130" s="80" t="s">
        <v>380</v>
      </c>
      <c r="E130" s="71" t="s">
        <v>381</v>
      </c>
      <c r="F130" s="71" t="s">
        <v>382</v>
      </c>
      <c r="G130" s="80" t="s">
        <v>49</v>
      </c>
      <c r="H130" s="72" t="s">
        <v>33</v>
      </c>
      <c r="I130" s="73">
        <v>44136</v>
      </c>
      <c r="J130" s="73">
        <f t="shared" ref="J130:J193" si="2">I130/60</f>
        <v>735.6</v>
      </c>
      <c r="K130" s="72">
        <v>2721.72</v>
      </c>
      <c r="L130" s="72">
        <v>0</v>
      </c>
      <c r="M130" s="72">
        <v>0</v>
      </c>
      <c r="N130" s="72">
        <v>809.16</v>
      </c>
      <c r="O130" s="72">
        <v>0</v>
      </c>
      <c r="P130" s="72">
        <v>1912.56</v>
      </c>
      <c r="Q130" s="74">
        <f>BD_LUCRO[[#This Row],[Lucro Líq.]]/BD_LUCRO[[#This Row],[Sacas/Ton]]</f>
        <v>2.5999999999999996</v>
      </c>
    </row>
    <row r="131" spans="1:17">
      <c r="A131" s="82" t="s">
        <v>51</v>
      </c>
      <c r="B131" s="69">
        <v>2026</v>
      </c>
      <c r="C131" s="70">
        <v>46023</v>
      </c>
      <c r="D131" s="80" t="s">
        <v>380</v>
      </c>
      <c r="E131" s="71" t="s">
        <v>383</v>
      </c>
      <c r="F131" s="71" t="s">
        <v>384</v>
      </c>
      <c r="G131" s="80" t="s">
        <v>49</v>
      </c>
      <c r="H131" s="72" t="s">
        <v>33</v>
      </c>
      <c r="I131" s="73">
        <v>39197</v>
      </c>
      <c r="J131" s="73">
        <f t="shared" si="2"/>
        <v>653.2833333333333</v>
      </c>
      <c r="K131" s="72">
        <v>3070.43</v>
      </c>
      <c r="L131" s="72">
        <v>0</v>
      </c>
      <c r="M131" s="72">
        <v>0</v>
      </c>
      <c r="N131" s="72">
        <v>551.11</v>
      </c>
      <c r="O131" s="72">
        <v>0</v>
      </c>
      <c r="P131" s="72">
        <v>2519.3200000000002</v>
      </c>
      <c r="Q131" s="74">
        <f>BD_LUCRO[[#This Row],[Lucro Líq.]]/BD_LUCRO[[#This Row],[Sacas/Ton]]</f>
        <v>3.8563971732530553</v>
      </c>
    </row>
    <row r="132" spans="1:17">
      <c r="A132" s="82" t="s">
        <v>51</v>
      </c>
      <c r="B132" s="69">
        <v>2026</v>
      </c>
      <c r="C132" s="70">
        <v>46023</v>
      </c>
      <c r="D132" s="80" t="s">
        <v>380</v>
      </c>
      <c r="E132" s="71" t="s">
        <v>385</v>
      </c>
      <c r="F132" s="71" t="s">
        <v>52</v>
      </c>
      <c r="G132" s="80" t="s">
        <v>49</v>
      </c>
      <c r="H132" s="72" t="s">
        <v>33</v>
      </c>
      <c r="I132" s="73">
        <v>336667</v>
      </c>
      <c r="J132" s="73">
        <f t="shared" si="2"/>
        <v>5611.1166666666668</v>
      </c>
      <c r="K132" s="72">
        <v>166986.82999999999</v>
      </c>
      <c r="L132" s="72">
        <v>0</v>
      </c>
      <c r="M132" s="72">
        <v>0</v>
      </c>
      <c r="N132" s="72">
        <v>0</v>
      </c>
      <c r="O132" s="72">
        <v>0</v>
      </c>
      <c r="P132" s="72">
        <v>166986.82999999999</v>
      </c>
      <c r="Q132" s="74">
        <f>BD_LUCRO[[#This Row],[Lucro Líq.]]/BD_LUCRO[[#This Row],[Sacas/Ton]]</f>
        <v>29.759999643564708</v>
      </c>
    </row>
    <row r="133" spans="1:17">
      <c r="A133" s="82" t="s">
        <v>51</v>
      </c>
      <c r="B133" s="69">
        <v>2026</v>
      </c>
      <c r="C133" s="70">
        <v>46023</v>
      </c>
      <c r="D133" s="80" t="s">
        <v>386</v>
      </c>
      <c r="E133" s="71" t="s">
        <v>387</v>
      </c>
      <c r="F133" s="71" t="s">
        <v>388</v>
      </c>
      <c r="G133" s="80" t="s">
        <v>49</v>
      </c>
      <c r="H133" s="72" t="s">
        <v>33</v>
      </c>
      <c r="I133" s="73">
        <v>60000</v>
      </c>
      <c r="J133" s="73">
        <f t="shared" si="2"/>
        <v>1000</v>
      </c>
      <c r="K133" s="72">
        <v>3700</v>
      </c>
      <c r="L133" s="72">
        <v>0</v>
      </c>
      <c r="M133" s="72">
        <v>0</v>
      </c>
      <c r="N133" s="72">
        <v>1100</v>
      </c>
      <c r="O133" s="72">
        <v>0</v>
      </c>
      <c r="P133" s="72">
        <v>2600</v>
      </c>
      <c r="Q133" s="74">
        <f>BD_LUCRO[[#This Row],[Lucro Líq.]]/BD_LUCRO[[#This Row],[Sacas/Ton]]</f>
        <v>2.6</v>
      </c>
    </row>
    <row r="134" spans="1:17">
      <c r="A134" s="82" t="s">
        <v>51</v>
      </c>
      <c r="B134" s="69">
        <v>2026</v>
      </c>
      <c r="C134" s="70">
        <v>46023</v>
      </c>
      <c r="D134" s="80" t="s">
        <v>386</v>
      </c>
      <c r="E134" s="71" t="s">
        <v>389</v>
      </c>
      <c r="F134" s="71" t="s">
        <v>388</v>
      </c>
      <c r="G134" s="80" t="s">
        <v>49</v>
      </c>
      <c r="H134" s="72" t="s">
        <v>33</v>
      </c>
      <c r="I134" s="73">
        <v>33167</v>
      </c>
      <c r="J134" s="73">
        <f t="shared" si="2"/>
        <v>552.7833333333333</v>
      </c>
      <c r="K134" s="72">
        <v>4809.22</v>
      </c>
      <c r="L134" s="72">
        <v>0</v>
      </c>
      <c r="M134" s="72">
        <v>0</v>
      </c>
      <c r="N134" s="72">
        <v>630.16999999999996</v>
      </c>
      <c r="O134" s="72">
        <v>0</v>
      </c>
      <c r="P134" s="72">
        <v>4179.04</v>
      </c>
      <c r="Q134" s="74">
        <f>BD_LUCRO[[#This Row],[Lucro Líq.]]/BD_LUCRO[[#This Row],[Sacas/Ton]]</f>
        <v>7.5599963819459104</v>
      </c>
    </row>
    <row r="135" spans="1:17">
      <c r="A135" s="82" t="s">
        <v>51</v>
      </c>
      <c r="B135" s="69">
        <v>2026</v>
      </c>
      <c r="C135" s="70">
        <v>46023</v>
      </c>
      <c r="D135" s="80" t="s">
        <v>386</v>
      </c>
      <c r="E135" s="71" t="s">
        <v>390</v>
      </c>
      <c r="F135" s="71" t="s">
        <v>384</v>
      </c>
      <c r="G135" s="80" t="s">
        <v>49</v>
      </c>
      <c r="H135" s="72" t="s">
        <v>33</v>
      </c>
      <c r="I135" s="73">
        <v>6030</v>
      </c>
      <c r="J135" s="73">
        <f t="shared" si="2"/>
        <v>100.5</v>
      </c>
      <c r="K135" s="72">
        <v>271.35000000000002</v>
      </c>
      <c r="L135" s="72">
        <v>0</v>
      </c>
      <c r="M135" s="72">
        <v>0</v>
      </c>
      <c r="N135" s="72">
        <v>84.78</v>
      </c>
      <c r="O135" s="72">
        <v>0</v>
      </c>
      <c r="P135" s="72">
        <v>186.57</v>
      </c>
      <c r="Q135" s="74">
        <f>BD_LUCRO[[#This Row],[Lucro Líq.]]/BD_LUCRO[[#This Row],[Sacas/Ton]]</f>
        <v>1.8564179104477612</v>
      </c>
    </row>
    <row r="136" spans="1:17">
      <c r="A136" s="82" t="s">
        <v>51</v>
      </c>
      <c r="B136" s="69">
        <v>2026</v>
      </c>
      <c r="C136" s="70">
        <v>46023</v>
      </c>
      <c r="D136" s="80" t="s">
        <v>386</v>
      </c>
      <c r="E136" s="71" t="s">
        <v>383</v>
      </c>
      <c r="F136" s="71" t="s">
        <v>384</v>
      </c>
      <c r="G136" s="80" t="s">
        <v>49</v>
      </c>
      <c r="H136" s="72" t="s">
        <v>33</v>
      </c>
      <c r="I136" s="73">
        <v>80803</v>
      </c>
      <c r="J136" s="73">
        <f t="shared" si="2"/>
        <v>1346.7166666666667</v>
      </c>
      <c r="K136" s="72">
        <v>4982.8500000000004</v>
      </c>
      <c r="L136" s="72">
        <v>0</v>
      </c>
      <c r="M136" s="72">
        <v>0</v>
      </c>
      <c r="N136" s="72">
        <v>1136.0899999999999</v>
      </c>
      <c r="O136" s="72">
        <v>0</v>
      </c>
      <c r="P136" s="72">
        <v>3846.76</v>
      </c>
      <c r="Q136" s="74">
        <f>BD_LUCRO[[#This Row],[Lucro Líq.]]/BD_LUCRO[[#This Row],[Sacas/Ton]]</f>
        <v>2.8563988960805911</v>
      </c>
    </row>
    <row r="137" spans="1:17">
      <c r="A137" s="82" t="s">
        <v>51</v>
      </c>
      <c r="B137" s="69">
        <v>2026</v>
      </c>
      <c r="C137" s="70">
        <v>46023</v>
      </c>
      <c r="D137" s="80" t="s">
        <v>391</v>
      </c>
      <c r="E137" s="71" t="s">
        <v>381</v>
      </c>
      <c r="F137" s="71" t="s">
        <v>382</v>
      </c>
      <c r="G137" s="80" t="s">
        <v>49</v>
      </c>
      <c r="H137" s="72" t="s">
        <v>33</v>
      </c>
      <c r="I137" s="73">
        <v>15864</v>
      </c>
      <c r="J137" s="73">
        <f t="shared" si="2"/>
        <v>264.39999999999998</v>
      </c>
      <c r="K137" s="72">
        <v>449.48</v>
      </c>
      <c r="L137" s="72">
        <v>0</v>
      </c>
      <c r="M137" s="72">
        <v>0</v>
      </c>
      <c r="N137" s="72">
        <v>290.83999999999997</v>
      </c>
      <c r="O137" s="72">
        <v>0</v>
      </c>
      <c r="P137" s="72">
        <v>158.63999999999999</v>
      </c>
      <c r="Q137" s="74">
        <f>BD_LUCRO[[#This Row],[Lucro Líq.]]/BD_LUCRO[[#This Row],[Sacas/Ton]]</f>
        <v>0.6</v>
      </c>
    </row>
    <row r="138" spans="1:17">
      <c r="A138" s="82" t="s">
        <v>51</v>
      </c>
      <c r="B138" s="69">
        <v>2026</v>
      </c>
      <c r="C138" s="70">
        <v>46023</v>
      </c>
      <c r="D138" s="80" t="s">
        <v>391</v>
      </c>
      <c r="E138" s="71" t="s">
        <v>392</v>
      </c>
      <c r="F138" s="71" t="s">
        <v>382</v>
      </c>
      <c r="G138" s="80" t="s">
        <v>49</v>
      </c>
      <c r="H138" s="72" t="s">
        <v>33</v>
      </c>
      <c r="I138" s="73">
        <v>50166</v>
      </c>
      <c r="J138" s="73">
        <f t="shared" si="2"/>
        <v>836.1</v>
      </c>
      <c r="K138" s="72">
        <v>5016.6000000000004</v>
      </c>
      <c r="L138" s="72">
        <v>0</v>
      </c>
      <c r="M138" s="72">
        <v>0</v>
      </c>
      <c r="N138" s="72">
        <v>1414.55</v>
      </c>
      <c r="O138" s="72">
        <v>0</v>
      </c>
      <c r="P138" s="72">
        <v>3602.05</v>
      </c>
      <c r="Q138" s="74">
        <f>BD_LUCRO[[#This Row],[Lucro Líq.]]/BD_LUCRO[[#This Row],[Sacas/Ton]]</f>
        <v>4.308156919028824</v>
      </c>
    </row>
    <row r="139" spans="1:17">
      <c r="A139" s="82" t="s">
        <v>51</v>
      </c>
      <c r="B139" s="69">
        <v>2026</v>
      </c>
      <c r="C139" s="70">
        <v>46023</v>
      </c>
      <c r="D139" s="80" t="s">
        <v>391</v>
      </c>
      <c r="E139" s="71" t="s">
        <v>390</v>
      </c>
      <c r="F139" s="71" t="s">
        <v>384</v>
      </c>
      <c r="G139" s="80" t="s">
        <v>49</v>
      </c>
      <c r="H139" s="72" t="s">
        <v>33</v>
      </c>
      <c r="I139" s="73">
        <v>53970</v>
      </c>
      <c r="J139" s="73">
        <f t="shared" si="2"/>
        <v>899.5</v>
      </c>
      <c r="K139" s="72">
        <v>1529.15</v>
      </c>
      <c r="L139" s="72">
        <v>0</v>
      </c>
      <c r="M139" s="72">
        <v>0</v>
      </c>
      <c r="N139" s="72">
        <v>758.82</v>
      </c>
      <c r="O139" s="72">
        <v>0</v>
      </c>
      <c r="P139" s="72">
        <v>770.33</v>
      </c>
      <c r="Q139" s="74">
        <f>BD_LUCRO[[#This Row],[Lucro Líq.]]/BD_LUCRO[[#This Row],[Sacas/Ton]]</f>
        <v>0.85639799888827128</v>
      </c>
    </row>
    <row r="140" spans="1:17">
      <c r="A140" s="82" t="s">
        <v>51</v>
      </c>
      <c r="B140" s="69">
        <v>2026</v>
      </c>
      <c r="C140" s="70">
        <v>46023</v>
      </c>
      <c r="D140" s="80" t="s">
        <v>393</v>
      </c>
      <c r="E140" s="71" t="s">
        <v>392</v>
      </c>
      <c r="F140" s="71" t="s">
        <v>382</v>
      </c>
      <c r="G140" s="80" t="s">
        <v>49</v>
      </c>
      <c r="H140" s="72" t="s">
        <v>33</v>
      </c>
      <c r="I140" s="73">
        <v>21718</v>
      </c>
      <c r="J140" s="73">
        <f t="shared" si="2"/>
        <v>361.96666666666664</v>
      </c>
      <c r="K140" s="72">
        <v>760.13</v>
      </c>
      <c r="L140" s="72">
        <v>0</v>
      </c>
      <c r="M140" s="72">
        <v>0</v>
      </c>
      <c r="N140" s="72">
        <v>401.78</v>
      </c>
      <c r="O140" s="72">
        <v>0</v>
      </c>
      <c r="P140" s="72">
        <v>358.35</v>
      </c>
      <c r="Q140" s="74">
        <f>BD_LUCRO[[#This Row],[Lucro Líq.]]/BD_LUCRO[[#This Row],[Sacas/Ton]]</f>
        <v>0.9900082880559905</v>
      </c>
    </row>
    <row r="141" spans="1:17">
      <c r="A141" s="82" t="s">
        <v>51</v>
      </c>
      <c r="B141" s="69">
        <v>2026</v>
      </c>
      <c r="C141" s="70">
        <v>46023</v>
      </c>
      <c r="D141" s="80" t="s">
        <v>393</v>
      </c>
      <c r="E141" s="71" t="s">
        <v>389</v>
      </c>
      <c r="F141" s="71" t="s">
        <v>388</v>
      </c>
      <c r="G141" s="80" t="s">
        <v>49</v>
      </c>
      <c r="H141" s="72" t="s">
        <v>33</v>
      </c>
      <c r="I141" s="73">
        <v>26833</v>
      </c>
      <c r="J141" s="73">
        <f t="shared" si="2"/>
        <v>447.21666666666664</v>
      </c>
      <c r="K141" s="72">
        <v>1699.42</v>
      </c>
      <c r="L141" s="72">
        <v>0</v>
      </c>
      <c r="M141" s="72">
        <v>0</v>
      </c>
      <c r="N141" s="72">
        <v>509.83</v>
      </c>
      <c r="O141" s="72">
        <v>0</v>
      </c>
      <c r="P141" s="72">
        <v>1189.5999999999999</v>
      </c>
      <c r="Q141" s="74">
        <f>BD_LUCRO[[#This Row],[Lucro Líq.]]/BD_LUCRO[[#This Row],[Sacas/Ton]]</f>
        <v>2.6600081988596131</v>
      </c>
    </row>
    <row r="142" spans="1:17">
      <c r="A142" s="82" t="s">
        <v>51</v>
      </c>
      <c r="B142" s="69">
        <v>2026</v>
      </c>
      <c r="C142" s="70">
        <v>46023</v>
      </c>
      <c r="D142" s="80" t="s">
        <v>393</v>
      </c>
      <c r="E142" s="71" t="s">
        <v>394</v>
      </c>
      <c r="F142" s="71" t="s">
        <v>388</v>
      </c>
      <c r="G142" s="80" t="s">
        <v>49</v>
      </c>
      <c r="H142" s="72" t="s">
        <v>33</v>
      </c>
      <c r="I142" s="73">
        <v>11449</v>
      </c>
      <c r="J142" s="73">
        <f t="shared" si="2"/>
        <v>190.81666666666666</v>
      </c>
      <c r="K142" s="72">
        <v>1106.74</v>
      </c>
      <c r="L142" s="72">
        <v>0</v>
      </c>
      <c r="M142" s="72">
        <v>0</v>
      </c>
      <c r="N142" s="72">
        <v>183.18</v>
      </c>
      <c r="O142" s="72">
        <v>0</v>
      </c>
      <c r="P142" s="72">
        <v>923.55</v>
      </c>
      <c r="Q142" s="74">
        <f>BD_LUCRO[[#This Row],[Lucro Líq.]]/BD_LUCRO[[#This Row],[Sacas/Ton]]</f>
        <v>4.8399860249803472</v>
      </c>
    </row>
    <row r="143" spans="1:17">
      <c r="A143" s="82" t="s">
        <v>51</v>
      </c>
      <c r="B143" s="69">
        <v>2026</v>
      </c>
      <c r="C143" s="70">
        <v>46023</v>
      </c>
      <c r="D143" s="80" t="s">
        <v>395</v>
      </c>
      <c r="E143" s="71" t="s">
        <v>392</v>
      </c>
      <c r="F143" s="71" t="s">
        <v>382</v>
      </c>
      <c r="G143" s="80" t="s">
        <v>49</v>
      </c>
      <c r="H143" s="72" t="s">
        <v>33</v>
      </c>
      <c r="I143" s="73">
        <v>5924</v>
      </c>
      <c r="J143" s="73">
        <f t="shared" si="2"/>
        <v>98.733333333333334</v>
      </c>
      <c r="K143" s="72">
        <v>-49.37</v>
      </c>
      <c r="L143" s="72">
        <v>0</v>
      </c>
      <c r="M143" s="72">
        <v>0</v>
      </c>
      <c r="N143" s="72">
        <v>109.59</v>
      </c>
      <c r="O143" s="72">
        <v>0</v>
      </c>
      <c r="P143" s="72">
        <v>-158.96</v>
      </c>
      <c r="Q143" s="74">
        <f>BD_LUCRO[[#This Row],[Lucro Líq.]]/BD_LUCRO[[#This Row],[Sacas/Ton]]</f>
        <v>-1.6099932478055368</v>
      </c>
    </row>
    <row r="144" spans="1:17">
      <c r="A144" s="82" t="s">
        <v>51</v>
      </c>
      <c r="B144" s="69">
        <v>2026</v>
      </c>
      <c r="C144" s="70">
        <v>46023</v>
      </c>
      <c r="D144" s="80" t="s">
        <v>395</v>
      </c>
      <c r="E144" s="71" t="s">
        <v>394</v>
      </c>
      <c r="F144" s="71" t="s">
        <v>388</v>
      </c>
      <c r="G144" s="80" t="s">
        <v>49</v>
      </c>
      <c r="H144" s="72" t="s">
        <v>33</v>
      </c>
      <c r="I144" s="73">
        <v>54076</v>
      </c>
      <c r="J144" s="73">
        <f t="shared" si="2"/>
        <v>901.26666666666665</v>
      </c>
      <c r="K144" s="72">
        <v>2884.05</v>
      </c>
      <c r="L144" s="72">
        <v>0</v>
      </c>
      <c r="M144" s="72">
        <v>0</v>
      </c>
      <c r="N144" s="72">
        <v>865.22</v>
      </c>
      <c r="O144" s="72">
        <v>0</v>
      </c>
      <c r="P144" s="72">
        <v>2018.84</v>
      </c>
      <c r="Q144" s="74">
        <f>BD_LUCRO[[#This Row],[Lucro Líq.]]/BD_LUCRO[[#This Row],[Sacas/Ton]]</f>
        <v>2.2400029587987276</v>
      </c>
    </row>
    <row r="145" spans="1:17">
      <c r="A145" s="82" t="s">
        <v>51</v>
      </c>
      <c r="B145" s="69">
        <v>2026</v>
      </c>
      <c r="C145" s="70">
        <v>46023</v>
      </c>
      <c r="D145" s="80" t="s">
        <v>396</v>
      </c>
      <c r="E145" s="71" t="s">
        <v>392</v>
      </c>
      <c r="F145" s="71" t="s">
        <v>382</v>
      </c>
      <c r="G145" s="80" t="s">
        <v>49</v>
      </c>
      <c r="H145" s="72" t="s">
        <v>33</v>
      </c>
      <c r="I145" s="73">
        <v>34453</v>
      </c>
      <c r="J145" s="73">
        <f t="shared" si="2"/>
        <v>574.2166666666667</v>
      </c>
      <c r="K145" s="72">
        <v>1435.54</v>
      </c>
      <c r="L145" s="72">
        <v>0</v>
      </c>
      <c r="M145" s="72">
        <v>0</v>
      </c>
      <c r="N145" s="72">
        <v>637.38</v>
      </c>
      <c r="O145" s="72">
        <v>0</v>
      </c>
      <c r="P145" s="72">
        <v>798.16</v>
      </c>
      <c r="Q145" s="74">
        <f>BD_LUCRO[[#This Row],[Lucro Líq.]]/BD_LUCRO[[#This Row],[Sacas/Ton]]</f>
        <v>1.3899979682465966</v>
      </c>
    </row>
    <row r="146" spans="1:17">
      <c r="A146" s="82" t="s">
        <v>51</v>
      </c>
      <c r="B146" s="69">
        <v>2026</v>
      </c>
      <c r="C146" s="70">
        <v>46054</v>
      </c>
      <c r="D146" s="80" t="s">
        <v>92</v>
      </c>
      <c r="E146" s="71" t="s">
        <v>397</v>
      </c>
      <c r="F146" s="71" t="s">
        <v>398</v>
      </c>
      <c r="G146" s="80" t="s">
        <v>92</v>
      </c>
      <c r="H146" s="72" t="s">
        <v>179</v>
      </c>
      <c r="I146" s="73">
        <v>43100</v>
      </c>
      <c r="J146" s="73">
        <f t="shared" si="2"/>
        <v>718.33333333333337</v>
      </c>
      <c r="K146" s="72">
        <v>0</v>
      </c>
      <c r="L146" s="72">
        <v>0</v>
      </c>
      <c r="M146" s="72">
        <v>0</v>
      </c>
      <c r="N146" s="72">
        <v>0</v>
      </c>
      <c r="O146" s="72">
        <v>0</v>
      </c>
      <c r="P146" s="72">
        <v>0</v>
      </c>
      <c r="Q146" s="74">
        <f>BD_LUCRO[[#This Row],[Lucro Líq.]]/BD_LUCRO[[#This Row],[Sacas/Ton]]</f>
        <v>0</v>
      </c>
    </row>
    <row r="147" spans="1:17">
      <c r="A147" s="82" t="s">
        <v>51</v>
      </c>
      <c r="B147" s="69">
        <v>2026</v>
      </c>
      <c r="C147" s="70">
        <v>46054</v>
      </c>
      <c r="D147" s="80" t="s">
        <v>399</v>
      </c>
      <c r="E147" s="71" t="s">
        <v>385</v>
      </c>
      <c r="F147" s="71" t="s">
        <v>52</v>
      </c>
      <c r="G147" s="80" t="s">
        <v>53</v>
      </c>
      <c r="H147" s="72" t="s">
        <v>33</v>
      </c>
      <c r="I147" s="73">
        <v>891225</v>
      </c>
      <c r="J147" s="73">
        <f t="shared" si="2"/>
        <v>14853.75</v>
      </c>
      <c r="K147" s="72">
        <v>225549.74</v>
      </c>
      <c r="L147" s="72">
        <v>0</v>
      </c>
      <c r="M147" s="72">
        <v>0</v>
      </c>
      <c r="N147" s="72">
        <v>0</v>
      </c>
      <c r="O147" s="72">
        <v>0</v>
      </c>
      <c r="P147" s="72">
        <v>225549.74</v>
      </c>
      <c r="Q147" s="74">
        <f>BD_LUCRO[[#This Row],[Lucro Líq.]]/BD_LUCRO[[#This Row],[Sacas/Ton]]</f>
        <v>15.184700159892282</v>
      </c>
    </row>
    <row r="148" spans="1:17">
      <c r="A148" s="68" t="s">
        <v>216</v>
      </c>
      <c r="B148" s="69">
        <v>2026</v>
      </c>
      <c r="C148" s="70">
        <v>46054</v>
      </c>
      <c r="D148" s="80" t="s">
        <v>371</v>
      </c>
      <c r="E148" s="71" t="s">
        <v>372</v>
      </c>
      <c r="F148" s="71" t="s">
        <v>206</v>
      </c>
      <c r="G148" s="80" t="s">
        <v>295</v>
      </c>
      <c r="H148" s="72" t="s">
        <v>207</v>
      </c>
      <c r="I148" s="73">
        <v>37240</v>
      </c>
      <c r="J148" s="73">
        <f t="shared" si="2"/>
        <v>620.66666666666663</v>
      </c>
      <c r="K148" s="72">
        <v>14497</v>
      </c>
      <c r="L148" s="72">
        <v>9235</v>
      </c>
      <c r="M148" s="72">
        <v>1260.2</v>
      </c>
      <c r="N148" s="72">
        <v>744.8</v>
      </c>
      <c r="O148" s="72">
        <v>346.2</v>
      </c>
      <c r="P148" s="72">
        <v>2910.8</v>
      </c>
      <c r="Q148" s="74">
        <f>BD_LUCRO[[#This Row],[Lucro Líq.]]/BD_LUCRO[[#This Row],[Sacas/Ton]]</f>
        <v>4.6897959183673477</v>
      </c>
    </row>
    <row r="149" spans="1:17">
      <c r="A149" s="68" t="s">
        <v>216</v>
      </c>
      <c r="B149" s="69">
        <v>2026</v>
      </c>
      <c r="C149" s="70">
        <v>46054</v>
      </c>
      <c r="D149" s="80" t="s">
        <v>371</v>
      </c>
      <c r="E149" s="71" t="s">
        <v>400</v>
      </c>
      <c r="F149" s="71" t="s">
        <v>206</v>
      </c>
      <c r="G149" s="80" t="s">
        <v>295</v>
      </c>
      <c r="H149" s="72" t="s">
        <v>207</v>
      </c>
      <c r="I149" s="73">
        <v>72460</v>
      </c>
      <c r="J149" s="73">
        <f t="shared" si="2"/>
        <v>1207.6666666666667</v>
      </c>
      <c r="K149" s="72">
        <v>28365.8</v>
      </c>
      <c r="L149" s="72">
        <v>19454.2</v>
      </c>
      <c r="M149" s="72">
        <v>2278.14</v>
      </c>
      <c r="N149" s="72">
        <v>1449.2</v>
      </c>
      <c r="O149" s="72">
        <v>692.3</v>
      </c>
      <c r="P149" s="72">
        <v>4491.96</v>
      </c>
      <c r="Q149" s="74">
        <f>BD_LUCRO[[#This Row],[Lucro Líq.]]/BD_LUCRO[[#This Row],[Sacas/Ton]]</f>
        <v>3.7195362958873859</v>
      </c>
    </row>
    <row r="150" spans="1:17">
      <c r="A150" s="68" t="s">
        <v>216</v>
      </c>
      <c r="B150" s="69">
        <v>2026</v>
      </c>
      <c r="C150" s="70">
        <v>46054</v>
      </c>
      <c r="D150" s="80" t="s">
        <v>373</v>
      </c>
      <c r="E150" s="71" t="s">
        <v>374</v>
      </c>
      <c r="F150" s="71" t="s">
        <v>375</v>
      </c>
      <c r="G150" s="80" t="s">
        <v>48</v>
      </c>
      <c r="H150" s="72" t="s">
        <v>33</v>
      </c>
      <c r="I150" s="73">
        <v>106339</v>
      </c>
      <c r="J150" s="73">
        <f t="shared" si="2"/>
        <v>1772.3166666666666</v>
      </c>
      <c r="K150" s="72">
        <v>47398.48</v>
      </c>
      <c r="L150" s="72">
        <v>0</v>
      </c>
      <c r="M150" s="72">
        <v>0</v>
      </c>
      <c r="N150" s="72">
        <v>1772.32</v>
      </c>
      <c r="O150" s="72">
        <v>0</v>
      </c>
      <c r="P150" s="72">
        <v>45626.17</v>
      </c>
      <c r="Q150" s="74">
        <f>BD_LUCRO[[#This Row],[Lucro Líq.]]/BD_LUCRO[[#This Row],[Sacas/Ton]]</f>
        <v>25.743802367898891</v>
      </c>
    </row>
    <row r="151" spans="1:17">
      <c r="A151" s="68" t="s">
        <v>216</v>
      </c>
      <c r="B151" s="69">
        <v>2026</v>
      </c>
      <c r="C151" s="70">
        <v>46054</v>
      </c>
      <c r="D151" s="80" t="s">
        <v>373</v>
      </c>
      <c r="E151" s="71" t="s">
        <v>401</v>
      </c>
      <c r="F151" s="71" t="s">
        <v>375</v>
      </c>
      <c r="G151" s="80" t="s">
        <v>48</v>
      </c>
      <c r="H151" s="72" t="s">
        <v>33</v>
      </c>
      <c r="I151" s="73">
        <v>7211</v>
      </c>
      <c r="J151" s="73">
        <f t="shared" si="2"/>
        <v>120.18333333333334</v>
      </c>
      <c r="K151" s="72">
        <v>2007.06</v>
      </c>
      <c r="L151" s="72">
        <v>0</v>
      </c>
      <c r="M151" s="72">
        <v>0</v>
      </c>
      <c r="N151" s="72">
        <v>600.91999999999996</v>
      </c>
      <c r="O151" s="72">
        <v>0</v>
      </c>
      <c r="P151" s="72">
        <v>1406.15</v>
      </c>
      <c r="Q151" s="74">
        <f>BD_LUCRO[[#This Row],[Lucro Líq.]]/BD_LUCRO[[#This Row],[Sacas/Ton]]</f>
        <v>11.700041603106365</v>
      </c>
    </row>
    <row r="152" spans="1:17">
      <c r="A152" s="68" t="s">
        <v>216</v>
      </c>
      <c r="B152" s="69">
        <v>2026</v>
      </c>
      <c r="C152" s="70">
        <v>46054</v>
      </c>
      <c r="D152" s="80" t="s">
        <v>373</v>
      </c>
      <c r="E152" s="71" t="s">
        <v>402</v>
      </c>
      <c r="F152" s="71" t="s">
        <v>377</v>
      </c>
      <c r="G152" s="80" t="s">
        <v>48</v>
      </c>
      <c r="H152" s="72" t="s">
        <v>33</v>
      </c>
      <c r="I152" s="73">
        <v>63543</v>
      </c>
      <c r="J152" s="73">
        <f t="shared" si="2"/>
        <v>1059.05</v>
      </c>
      <c r="K152" s="72">
        <v>17686.14</v>
      </c>
      <c r="L152" s="72">
        <v>0</v>
      </c>
      <c r="M152" s="72">
        <v>0</v>
      </c>
      <c r="N152" s="72">
        <v>1175.55</v>
      </c>
      <c r="O152" s="72">
        <v>0</v>
      </c>
      <c r="P152" s="72">
        <v>16510.59</v>
      </c>
      <c r="Q152" s="74">
        <f>BD_LUCRO[[#This Row],[Lucro Líq.]]/BD_LUCRO[[#This Row],[Sacas/Ton]]</f>
        <v>15.590000472121242</v>
      </c>
    </row>
    <row r="153" spans="1:17">
      <c r="A153" s="68" t="s">
        <v>216</v>
      </c>
      <c r="B153" s="69">
        <v>2026</v>
      </c>
      <c r="C153" s="70">
        <v>46054</v>
      </c>
      <c r="D153" s="80" t="s">
        <v>373</v>
      </c>
      <c r="E153" s="71" t="s">
        <v>403</v>
      </c>
      <c r="F153" s="71" t="s">
        <v>377</v>
      </c>
      <c r="G153" s="80" t="s">
        <v>48</v>
      </c>
      <c r="H153" s="72" t="s">
        <v>33</v>
      </c>
      <c r="I153" s="73">
        <v>17158</v>
      </c>
      <c r="J153" s="73">
        <f t="shared" si="2"/>
        <v>285.96666666666664</v>
      </c>
      <c r="K153" s="72">
        <v>4775.6400000000003</v>
      </c>
      <c r="L153" s="72">
        <v>0</v>
      </c>
      <c r="M153" s="72">
        <v>0</v>
      </c>
      <c r="N153" s="72">
        <v>285.97000000000003</v>
      </c>
      <c r="O153" s="72">
        <v>0</v>
      </c>
      <c r="P153" s="72">
        <v>4489.68</v>
      </c>
      <c r="Q153" s="74">
        <f>BD_LUCRO[[#This Row],[Lucro Líq.]]/BD_LUCRO[[#This Row],[Sacas/Ton]]</f>
        <v>15.70001165637021</v>
      </c>
    </row>
    <row r="154" spans="1:17">
      <c r="A154" s="68" t="s">
        <v>216</v>
      </c>
      <c r="B154" s="69">
        <v>2026</v>
      </c>
      <c r="C154" s="70">
        <v>46054</v>
      </c>
      <c r="D154" s="80" t="s">
        <v>404</v>
      </c>
      <c r="E154" s="71" t="s">
        <v>405</v>
      </c>
      <c r="F154" s="71" t="s">
        <v>382</v>
      </c>
      <c r="G154" s="80" t="s">
        <v>49</v>
      </c>
      <c r="H154" s="72" t="s">
        <v>33</v>
      </c>
      <c r="I154" s="73">
        <v>492967</v>
      </c>
      <c r="J154" s="73">
        <f t="shared" si="2"/>
        <v>8216.1166666666668</v>
      </c>
      <c r="K154" s="72">
        <v>24648.35</v>
      </c>
      <c r="L154" s="72">
        <v>0</v>
      </c>
      <c r="M154" s="72">
        <v>0</v>
      </c>
      <c r="N154" s="72">
        <v>8216.1200000000008</v>
      </c>
      <c r="O154" s="72">
        <v>0</v>
      </c>
      <c r="P154" s="72">
        <v>16432.23</v>
      </c>
      <c r="Q154" s="74">
        <f>BD_LUCRO[[#This Row],[Lucro Líq.]]/BD_LUCRO[[#This Row],[Sacas/Ton]]</f>
        <v>1.99999959429333</v>
      </c>
    </row>
    <row r="155" spans="1:17">
      <c r="A155" s="68" t="s">
        <v>216</v>
      </c>
      <c r="B155" s="69">
        <v>2026</v>
      </c>
      <c r="C155" s="70">
        <v>46054</v>
      </c>
      <c r="D155" s="80" t="s">
        <v>404</v>
      </c>
      <c r="E155" s="71" t="s">
        <v>406</v>
      </c>
      <c r="F155" s="71" t="s">
        <v>388</v>
      </c>
      <c r="G155" s="80" t="s">
        <v>49</v>
      </c>
      <c r="H155" s="72" t="s">
        <v>33</v>
      </c>
      <c r="I155" s="73">
        <v>44119</v>
      </c>
      <c r="J155" s="73">
        <f t="shared" si="2"/>
        <v>735.31666666666672</v>
      </c>
      <c r="K155" s="72">
        <v>3455.99</v>
      </c>
      <c r="L155" s="72">
        <v>0</v>
      </c>
      <c r="M155" s="72">
        <v>0</v>
      </c>
      <c r="N155" s="72">
        <v>882.38</v>
      </c>
      <c r="O155" s="72">
        <v>0</v>
      </c>
      <c r="P155" s="72">
        <v>2573.61</v>
      </c>
      <c r="Q155" s="74">
        <f>BD_LUCRO[[#This Row],[Lucro Líq.]]/BD_LUCRO[[#This Row],[Sacas/Ton]]</f>
        <v>3.5000022665971575</v>
      </c>
    </row>
    <row r="156" spans="1:17">
      <c r="A156" s="68" t="s">
        <v>216</v>
      </c>
      <c r="B156" s="69">
        <v>2026</v>
      </c>
      <c r="C156" s="70">
        <v>46054</v>
      </c>
      <c r="D156" s="80" t="s">
        <v>404</v>
      </c>
      <c r="E156" s="71" t="s">
        <v>407</v>
      </c>
      <c r="F156" s="71" t="s">
        <v>408</v>
      </c>
      <c r="G156" s="80" t="s">
        <v>49</v>
      </c>
      <c r="H156" s="72" t="s">
        <v>33</v>
      </c>
      <c r="I156" s="73">
        <v>62914</v>
      </c>
      <c r="J156" s="73">
        <f t="shared" si="2"/>
        <v>1048.5666666666666</v>
      </c>
      <c r="K156" s="72">
        <v>20702.689999999999</v>
      </c>
      <c r="L156" s="72">
        <v>0</v>
      </c>
      <c r="M156" s="72">
        <v>0</v>
      </c>
      <c r="N156" s="72">
        <v>10485.67</v>
      </c>
      <c r="O156" s="72">
        <v>0</v>
      </c>
      <c r="P156" s="72">
        <v>10217.02</v>
      </c>
      <c r="Q156" s="74">
        <f>BD_LUCRO[[#This Row],[Lucro Líq.]]/BD_LUCRO[[#This Row],[Sacas/Ton]]</f>
        <v>9.7437962933528315</v>
      </c>
    </row>
    <row r="157" spans="1:17">
      <c r="A157" s="68" t="s">
        <v>216</v>
      </c>
      <c r="B157" s="69">
        <v>2026</v>
      </c>
      <c r="C157" s="70">
        <v>46054</v>
      </c>
      <c r="D157" s="80" t="s">
        <v>409</v>
      </c>
      <c r="E157" s="71" t="s">
        <v>405</v>
      </c>
      <c r="F157" s="71" t="s">
        <v>382</v>
      </c>
      <c r="G157" s="80" t="s">
        <v>49</v>
      </c>
      <c r="H157" s="72" t="s">
        <v>33</v>
      </c>
      <c r="I157" s="73">
        <v>34416</v>
      </c>
      <c r="J157" s="73">
        <f t="shared" si="2"/>
        <v>573.6</v>
      </c>
      <c r="K157" s="72">
        <v>1720.8</v>
      </c>
      <c r="L157" s="72">
        <v>0</v>
      </c>
      <c r="M157" s="72">
        <v>0</v>
      </c>
      <c r="N157" s="72">
        <v>573.6</v>
      </c>
      <c r="O157" s="72">
        <v>0</v>
      </c>
      <c r="P157" s="72">
        <v>1147.2</v>
      </c>
      <c r="Q157" s="74">
        <f>BD_LUCRO[[#This Row],[Lucro Líq.]]/BD_LUCRO[[#This Row],[Sacas/Ton]]</f>
        <v>2</v>
      </c>
    </row>
    <row r="158" spans="1:17">
      <c r="A158" s="68" t="s">
        <v>216</v>
      </c>
      <c r="B158" s="69">
        <v>2026</v>
      </c>
      <c r="C158" s="70">
        <v>46054</v>
      </c>
      <c r="D158" s="80" t="s">
        <v>409</v>
      </c>
      <c r="E158" s="71" t="s">
        <v>410</v>
      </c>
      <c r="F158" s="71" t="s">
        <v>411</v>
      </c>
      <c r="G158" s="80" t="s">
        <v>49</v>
      </c>
      <c r="H158" s="72" t="s">
        <v>33</v>
      </c>
      <c r="I158" s="73">
        <v>60000</v>
      </c>
      <c r="J158" s="73">
        <f t="shared" si="2"/>
        <v>1000</v>
      </c>
      <c r="K158" s="72">
        <v>19743.599999999999</v>
      </c>
      <c r="L158" s="72">
        <v>0</v>
      </c>
      <c r="M158" s="72">
        <v>0</v>
      </c>
      <c r="N158" s="72">
        <v>2000</v>
      </c>
      <c r="O158" s="72">
        <v>0</v>
      </c>
      <c r="P158" s="72">
        <v>17743.599999999999</v>
      </c>
      <c r="Q158" s="74">
        <f>BD_LUCRO[[#This Row],[Lucro Líq.]]/BD_LUCRO[[#This Row],[Sacas/Ton]]</f>
        <v>17.743599999999997</v>
      </c>
    </row>
    <row r="159" spans="1:17">
      <c r="A159" s="68" t="s">
        <v>216</v>
      </c>
      <c r="B159" s="69">
        <v>2026</v>
      </c>
      <c r="C159" s="70">
        <v>46054</v>
      </c>
      <c r="D159" s="80" t="s">
        <v>409</v>
      </c>
      <c r="E159" s="71" t="s">
        <v>412</v>
      </c>
      <c r="F159" s="71" t="s">
        <v>411</v>
      </c>
      <c r="G159" s="80" t="s">
        <v>49</v>
      </c>
      <c r="H159" s="72" t="s">
        <v>33</v>
      </c>
      <c r="I159" s="73">
        <v>25584</v>
      </c>
      <c r="J159" s="73">
        <f t="shared" si="2"/>
        <v>426.4</v>
      </c>
      <c r="K159" s="72">
        <v>3411.2</v>
      </c>
      <c r="L159" s="72">
        <v>0</v>
      </c>
      <c r="M159" s="72">
        <v>0</v>
      </c>
      <c r="N159" s="72">
        <v>852.8</v>
      </c>
      <c r="O159" s="72">
        <v>0</v>
      </c>
      <c r="P159" s="72">
        <v>2558.4</v>
      </c>
      <c r="Q159" s="74">
        <f>BD_LUCRO[[#This Row],[Lucro Líq.]]/BD_LUCRO[[#This Row],[Sacas/Ton]]</f>
        <v>6.0000000000000009</v>
      </c>
    </row>
    <row r="160" spans="1:17">
      <c r="A160" s="68" t="s">
        <v>216</v>
      </c>
      <c r="B160" s="69">
        <v>2026</v>
      </c>
      <c r="C160" s="70">
        <v>46054</v>
      </c>
      <c r="D160" s="80" t="s">
        <v>413</v>
      </c>
      <c r="E160" s="71" t="s">
        <v>406</v>
      </c>
      <c r="F160" s="71" t="s">
        <v>388</v>
      </c>
      <c r="G160" s="80" t="s">
        <v>49</v>
      </c>
      <c r="H160" s="72" t="s">
        <v>33</v>
      </c>
      <c r="I160" s="73">
        <v>65950</v>
      </c>
      <c r="J160" s="73">
        <f t="shared" si="2"/>
        <v>1099.1666666666667</v>
      </c>
      <c r="K160" s="72">
        <v>4066.92</v>
      </c>
      <c r="L160" s="72">
        <v>0</v>
      </c>
      <c r="M160" s="72">
        <v>0</v>
      </c>
      <c r="N160" s="72">
        <v>1319</v>
      </c>
      <c r="O160" s="72">
        <v>0</v>
      </c>
      <c r="P160" s="72">
        <v>2747.92</v>
      </c>
      <c r="Q160" s="74">
        <f>BD_LUCRO[[#This Row],[Lucro Líq.]]/BD_LUCRO[[#This Row],[Sacas/Ton]]</f>
        <v>2.5000030326004548</v>
      </c>
    </row>
    <row r="161" spans="1:17">
      <c r="A161" s="68" t="s">
        <v>216</v>
      </c>
      <c r="B161" s="69">
        <v>2026</v>
      </c>
      <c r="C161" s="70">
        <v>46054</v>
      </c>
      <c r="D161" s="80" t="s">
        <v>413</v>
      </c>
      <c r="E161" s="71" t="s">
        <v>414</v>
      </c>
      <c r="F161" s="71" t="s">
        <v>415</v>
      </c>
      <c r="G161" s="80" t="s">
        <v>49</v>
      </c>
      <c r="H161" s="72" t="s">
        <v>33</v>
      </c>
      <c r="I161" s="73">
        <v>30000</v>
      </c>
      <c r="J161" s="73">
        <f t="shared" si="2"/>
        <v>500</v>
      </c>
      <c r="K161" s="72">
        <v>9371.9</v>
      </c>
      <c r="L161" s="72">
        <v>0</v>
      </c>
      <c r="M161" s="72">
        <v>0</v>
      </c>
      <c r="N161" s="72">
        <v>2500</v>
      </c>
      <c r="O161" s="72">
        <v>0</v>
      </c>
      <c r="P161" s="72">
        <v>6871.9</v>
      </c>
      <c r="Q161" s="74">
        <f>BD_LUCRO[[#This Row],[Lucro Líq.]]/BD_LUCRO[[#This Row],[Sacas/Ton]]</f>
        <v>13.743799999999998</v>
      </c>
    </row>
    <row r="162" spans="1:17">
      <c r="A162" s="68" t="s">
        <v>216</v>
      </c>
      <c r="B162" s="69">
        <v>2026</v>
      </c>
      <c r="C162" s="70">
        <v>46054</v>
      </c>
      <c r="D162" s="80" t="s">
        <v>413</v>
      </c>
      <c r="E162" s="71" t="s">
        <v>416</v>
      </c>
      <c r="F162" s="71" t="s">
        <v>415</v>
      </c>
      <c r="G162" s="80" t="s">
        <v>49</v>
      </c>
      <c r="H162" s="72" t="s">
        <v>33</v>
      </c>
      <c r="I162" s="73">
        <v>24050</v>
      </c>
      <c r="J162" s="73">
        <f t="shared" si="2"/>
        <v>400.83333333333331</v>
      </c>
      <c r="K162" s="72">
        <v>2685.58</v>
      </c>
      <c r="L162" s="72">
        <v>0</v>
      </c>
      <c r="M162" s="72">
        <v>0</v>
      </c>
      <c r="N162" s="72">
        <v>801.67</v>
      </c>
      <c r="O162" s="72">
        <v>0</v>
      </c>
      <c r="P162" s="72">
        <v>1883.92</v>
      </c>
      <c r="Q162" s="74">
        <f>BD_LUCRO[[#This Row],[Lucro Líq.]]/BD_LUCRO[[#This Row],[Sacas/Ton]]</f>
        <v>4.7000083160083168</v>
      </c>
    </row>
    <row r="163" spans="1:17">
      <c r="A163" s="68" t="s">
        <v>216</v>
      </c>
      <c r="B163" s="69">
        <v>2026</v>
      </c>
      <c r="C163" s="70">
        <v>46054</v>
      </c>
      <c r="D163" s="80" t="s">
        <v>417</v>
      </c>
      <c r="E163" s="71" t="s">
        <v>403</v>
      </c>
      <c r="F163" s="71" t="s">
        <v>377</v>
      </c>
      <c r="G163" s="80" t="s">
        <v>48</v>
      </c>
      <c r="H163" s="72" t="s">
        <v>33</v>
      </c>
      <c r="I163" s="73">
        <v>38924</v>
      </c>
      <c r="J163" s="73">
        <f t="shared" si="2"/>
        <v>648.73333333333335</v>
      </c>
      <c r="K163" s="72">
        <v>2724.68</v>
      </c>
      <c r="L163" s="72">
        <v>0</v>
      </c>
      <c r="M163" s="72">
        <v>0</v>
      </c>
      <c r="N163" s="72">
        <v>648.73</v>
      </c>
      <c r="O163" s="72">
        <v>0</v>
      </c>
      <c r="P163" s="72">
        <v>2075.9499999999998</v>
      </c>
      <c r="Q163" s="74">
        <f>BD_LUCRO[[#This Row],[Lucro Líq.]]/BD_LUCRO[[#This Row],[Sacas/Ton]]</f>
        <v>3.2000051382180654</v>
      </c>
    </row>
    <row r="164" spans="1:17">
      <c r="A164" s="68" t="s">
        <v>216</v>
      </c>
      <c r="B164" s="69">
        <v>2026</v>
      </c>
      <c r="C164" s="70">
        <v>46054</v>
      </c>
      <c r="D164" s="80" t="s">
        <v>418</v>
      </c>
      <c r="E164" s="71" t="s">
        <v>419</v>
      </c>
      <c r="F164" s="71" t="s">
        <v>377</v>
      </c>
      <c r="G164" s="80" t="s">
        <v>48</v>
      </c>
      <c r="H164" s="72" t="s">
        <v>33</v>
      </c>
      <c r="I164" s="73">
        <v>60000</v>
      </c>
      <c r="J164" s="73">
        <f t="shared" si="2"/>
        <v>1000</v>
      </c>
      <c r="K164" s="72">
        <v>6700</v>
      </c>
      <c r="L164" s="72">
        <v>0</v>
      </c>
      <c r="M164" s="72">
        <v>0</v>
      </c>
      <c r="N164" s="72">
        <v>2000</v>
      </c>
      <c r="O164" s="72">
        <v>0</v>
      </c>
      <c r="P164" s="72">
        <v>4700</v>
      </c>
      <c r="Q164" s="74">
        <f>BD_LUCRO[[#This Row],[Lucro Líq.]]/BD_LUCRO[[#This Row],[Sacas/Ton]]</f>
        <v>4.7</v>
      </c>
    </row>
    <row r="165" spans="1:17">
      <c r="A165" s="68" t="s">
        <v>216</v>
      </c>
      <c r="B165" s="69">
        <v>2026</v>
      </c>
      <c r="C165" s="70">
        <v>46054</v>
      </c>
      <c r="D165" s="80" t="s">
        <v>420</v>
      </c>
      <c r="E165" s="71" t="s">
        <v>405</v>
      </c>
      <c r="F165" s="71" t="s">
        <v>382</v>
      </c>
      <c r="G165" s="80" t="s">
        <v>49</v>
      </c>
      <c r="H165" s="72" t="s">
        <v>33</v>
      </c>
      <c r="I165" s="73">
        <v>69083</v>
      </c>
      <c r="J165" s="73">
        <f t="shared" si="2"/>
        <v>1151.3833333333334</v>
      </c>
      <c r="K165" s="72">
        <v>4605.53</v>
      </c>
      <c r="L165" s="72">
        <v>0</v>
      </c>
      <c r="M165" s="72">
        <v>0</v>
      </c>
      <c r="N165" s="72">
        <v>1151.3800000000001</v>
      </c>
      <c r="O165" s="72">
        <v>0</v>
      </c>
      <c r="P165" s="72">
        <v>3454.15</v>
      </c>
      <c r="Q165" s="74">
        <f>BD_LUCRO[[#This Row],[Lucro Líq.]]/BD_LUCRO[[#This Row],[Sacas/Ton]]</f>
        <v>3</v>
      </c>
    </row>
    <row r="166" spans="1:17">
      <c r="A166" s="68" t="s">
        <v>216</v>
      </c>
      <c r="B166" s="69">
        <v>2026</v>
      </c>
      <c r="C166" s="70">
        <v>46054</v>
      </c>
      <c r="D166" s="80" t="s">
        <v>420</v>
      </c>
      <c r="E166" s="71" t="s">
        <v>421</v>
      </c>
      <c r="F166" s="71" t="s">
        <v>382</v>
      </c>
      <c r="G166" s="80" t="s">
        <v>49</v>
      </c>
      <c r="H166" s="72" t="s">
        <v>33</v>
      </c>
      <c r="I166" s="73">
        <v>75850</v>
      </c>
      <c r="J166" s="73">
        <f t="shared" si="2"/>
        <v>1264.1666666666667</v>
      </c>
      <c r="K166" s="72">
        <v>5056.67</v>
      </c>
      <c r="L166" s="72">
        <v>0</v>
      </c>
      <c r="M166" s="72">
        <v>0</v>
      </c>
      <c r="N166" s="72">
        <v>2781.17</v>
      </c>
      <c r="O166" s="72">
        <v>0</v>
      </c>
      <c r="P166" s="72">
        <v>2275.5</v>
      </c>
      <c r="Q166" s="74">
        <f>BD_LUCRO[[#This Row],[Lucro Líq.]]/BD_LUCRO[[#This Row],[Sacas/Ton]]</f>
        <v>1.7999999999999998</v>
      </c>
    </row>
    <row r="167" spans="1:17">
      <c r="A167" s="68" t="s">
        <v>216</v>
      </c>
      <c r="B167" s="69">
        <v>2026</v>
      </c>
      <c r="C167" s="70">
        <v>46054</v>
      </c>
      <c r="D167" s="80" t="s">
        <v>420</v>
      </c>
      <c r="E167" s="71" t="s">
        <v>406</v>
      </c>
      <c r="F167" s="71" t="s">
        <v>388</v>
      </c>
      <c r="G167" s="80" t="s">
        <v>49</v>
      </c>
      <c r="H167" s="72" t="s">
        <v>33</v>
      </c>
      <c r="I167" s="73">
        <v>708</v>
      </c>
      <c r="J167" s="73">
        <f t="shared" si="2"/>
        <v>11.8</v>
      </c>
      <c r="K167" s="72">
        <v>67.260000000000005</v>
      </c>
      <c r="L167" s="72">
        <v>0</v>
      </c>
      <c r="M167" s="72">
        <v>0</v>
      </c>
      <c r="N167" s="72">
        <v>14.16</v>
      </c>
      <c r="O167" s="72">
        <v>0</v>
      </c>
      <c r="P167" s="72">
        <v>53.1</v>
      </c>
      <c r="Q167" s="74">
        <f>BD_LUCRO[[#This Row],[Lucro Líq.]]/BD_LUCRO[[#This Row],[Sacas/Ton]]</f>
        <v>4.5</v>
      </c>
    </row>
    <row r="168" spans="1:17">
      <c r="A168" s="68" t="s">
        <v>216</v>
      </c>
      <c r="B168" s="69">
        <v>2026</v>
      </c>
      <c r="C168" s="70">
        <v>46054</v>
      </c>
      <c r="D168" s="80" t="s">
        <v>420</v>
      </c>
      <c r="E168" s="71" t="s">
        <v>422</v>
      </c>
      <c r="F168" s="71" t="s">
        <v>388</v>
      </c>
      <c r="G168" s="80" t="s">
        <v>49</v>
      </c>
      <c r="H168" s="72" t="s">
        <v>33</v>
      </c>
      <c r="I168" s="73">
        <v>214359</v>
      </c>
      <c r="J168" s="73">
        <f t="shared" si="2"/>
        <v>3572.65</v>
      </c>
      <c r="K168" s="72">
        <v>20364.11</v>
      </c>
      <c r="L168" s="72">
        <v>0</v>
      </c>
      <c r="M168" s="72">
        <v>0</v>
      </c>
      <c r="N168" s="72">
        <v>5358.98</v>
      </c>
      <c r="O168" s="72">
        <v>0</v>
      </c>
      <c r="P168" s="72">
        <v>15005.13</v>
      </c>
      <c r="Q168" s="74">
        <f>BD_LUCRO[[#This Row],[Lucro Líq.]]/BD_LUCRO[[#This Row],[Sacas/Ton]]</f>
        <v>4.1999999999999993</v>
      </c>
    </row>
    <row r="169" spans="1:17">
      <c r="A169" s="68" t="s">
        <v>216</v>
      </c>
      <c r="B169" s="69">
        <v>2026</v>
      </c>
      <c r="C169" s="70">
        <v>46054</v>
      </c>
      <c r="D169" s="80" t="s">
        <v>423</v>
      </c>
      <c r="E169" s="71" t="s">
        <v>419</v>
      </c>
      <c r="F169" s="71" t="s">
        <v>377</v>
      </c>
      <c r="G169" s="80" t="s">
        <v>48</v>
      </c>
      <c r="H169" s="72" t="s">
        <v>33</v>
      </c>
      <c r="I169" s="73">
        <v>8081</v>
      </c>
      <c r="J169" s="73">
        <f t="shared" si="2"/>
        <v>134.68333333333334</v>
      </c>
      <c r="K169" s="72">
        <v>633.01</v>
      </c>
      <c r="L169" s="72">
        <v>0</v>
      </c>
      <c r="M169" s="72">
        <v>0</v>
      </c>
      <c r="N169" s="72">
        <v>269.37</v>
      </c>
      <c r="O169" s="72">
        <v>0</v>
      </c>
      <c r="P169" s="72">
        <v>363.65</v>
      </c>
      <c r="Q169" s="74">
        <f>BD_LUCRO[[#This Row],[Lucro Líq.]]/BD_LUCRO[[#This Row],[Sacas/Ton]]</f>
        <v>2.7000371241183019</v>
      </c>
    </row>
    <row r="170" spans="1:17">
      <c r="A170" s="68" t="s">
        <v>216</v>
      </c>
      <c r="B170" s="69">
        <v>2026</v>
      </c>
      <c r="C170" s="70">
        <v>46054</v>
      </c>
      <c r="D170" s="80" t="s">
        <v>424</v>
      </c>
      <c r="E170" s="71" t="s">
        <v>421</v>
      </c>
      <c r="F170" s="71" t="s">
        <v>382</v>
      </c>
      <c r="G170" s="80" t="s">
        <v>49</v>
      </c>
      <c r="H170" s="72" t="s">
        <v>33</v>
      </c>
      <c r="I170" s="73">
        <v>120000</v>
      </c>
      <c r="J170" s="73">
        <f t="shared" si="2"/>
        <v>2000</v>
      </c>
      <c r="K170" s="72">
        <v>7000</v>
      </c>
      <c r="L170" s="72">
        <v>0</v>
      </c>
      <c r="M170" s="72">
        <v>0</v>
      </c>
      <c r="N170" s="72">
        <v>4400</v>
      </c>
      <c r="O170" s="72">
        <v>0</v>
      </c>
      <c r="P170" s="72">
        <v>2600</v>
      </c>
      <c r="Q170" s="74">
        <f>BD_LUCRO[[#This Row],[Lucro Líq.]]/BD_LUCRO[[#This Row],[Sacas/Ton]]</f>
        <v>1.3</v>
      </c>
    </row>
    <row r="171" spans="1:17">
      <c r="A171" s="68" t="s">
        <v>216</v>
      </c>
      <c r="B171" s="69">
        <v>2026</v>
      </c>
      <c r="C171" s="70">
        <v>46054</v>
      </c>
      <c r="D171" s="80" t="s">
        <v>425</v>
      </c>
      <c r="E171" s="71" t="s">
        <v>405</v>
      </c>
      <c r="F171" s="71" t="s">
        <v>382</v>
      </c>
      <c r="G171" s="80" t="s">
        <v>49</v>
      </c>
      <c r="H171" s="72" t="s">
        <v>33</v>
      </c>
      <c r="I171" s="73">
        <v>3534</v>
      </c>
      <c r="J171" s="73">
        <f t="shared" si="2"/>
        <v>58.9</v>
      </c>
      <c r="K171" s="72">
        <v>176.7</v>
      </c>
      <c r="L171" s="72">
        <v>0</v>
      </c>
      <c r="M171" s="72">
        <v>0</v>
      </c>
      <c r="N171" s="72">
        <v>58.9</v>
      </c>
      <c r="O171" s="72">
        <v>0</v>
      </c>
      <c r="P171" s="72">
        <v>117.8</v>
      </c>
      <c r="Q171" s="74">
        <f>BD_LUCRO[[#This Row],[Lucro Líq.]]/BD_LUCRO[[#This Row],[Sacas/Ton]]</f>
        <v>2</v>
      </c>
    </row>
    <row r="172" spans="1:17">
      <c r="A172" s="68" t="s">
        <v>216</v>
      </c>
      <c r="B172" s="69">
        <v>2026</v>
      </c>
      <c r="C172" s="70">
        <v>46054</v>
      </c>
      <c r="D172" s="80" t="s">
        <v>425</v>
      </c>
      <c r="E172" s="71" t="s">
        <v>421</v>
      </c>
      <c r="F172" s="71" t="s">
        <v>382</v>
      </c>
      <c r="G172" s="80" t="s">
        <v>49</v>
      </c>
      <c r="H172" s="72" t="s">
        <v>33</v>
      </c>
      <c r="I172" s="73">
        <v>147147</v>
      </c>
      <c r="J172" s="73">
        <f t="shared" si="2"/>
        <v>2452.4499999999998</v>
      </c>
      <c r="K172" s="72">
        <v>7357.35</v>
      </c>
      <c r="L172" s="72">
        <v>0</v>
      </c>
      <c r="M172" s="72">
        <v>0</v>
      </c>
      <c r="N172" s="72">
        <v>5395.39</v>
      </c>
      <c r="O172" s="72">
        <v>0</v>
      </c>
      <c r="P172" s="72">
        <v>1961.96</v>
      </c>
      <c r="Q172" s="74">
        <f>BD_LUCRO[[#This Row],[Lucro Líq.]]/BD_LUCRO[[#This Row],[Sacas/Ton]]</f>
        <v>0.8</v>
      </c>
    </row>
    <row r="173" spans="1:17">
      <c r="A173" s="68" t="s">
        <v>216</v>
      </c>
      <c r="B173" s="69">
        <v>2026</v>
      </c>
      <c r="C173" s="70">
        <v>46054</v>
      </c>
      <c r="D173" s="80" t="s">
        <v>425</v>
      </c>
      <c r="E173" s="71" t="s">
        <v>406</v>
      </c>
      <c r="F173" s="71" t="s">
        <v>388</v>
      </c>
      <c r="G173" s="80" t="s">
        <v>49</v>
      </c>
      <c r="H173" s="72" t="s">
        <v>33</v>
      </c>
      <c r="I173" s="73">
        <v>15611</v>
      </c>
      <c r="J173" s="73">
        <f t="shared" si="2"/>
        <v>260.18333333333334</v>
      </c>
      <c r="K173" s="72">
        <v>1222.8599999999999</v>
      </c>
      <c r="L173" s="72">
        <v>0</v>
      </c>
      <c r="M173" s="72">
        <v>0</v>
      </c>
      <c r="N173" s="72">
        <v>312.22000000000003</v>
      </c>
      <c r="O173" s="72">
        <v>0</v>
      </c>
      <c r="P173" s="72">
        <v>910.64</v>
      </c>
      <c r="Q173" s="74">
        <f>BD_LUCRO[[#This Row],[Lucro Líq.]]/BD_LUCRO[[#This Row],[Sacas/Ton]]</f>
        <v>3.4999935942604572</v>
      </c>
    </row>
    <row r="174" spans="1:17">
      <c r="A174" s="68" t="s">
        <v>216</v>
      </c>
      <c r="B174" s="69">
        <v>2026</v>
      </c>
      <c r="C174" s="70">
        <v>46054</v>
      </c>
      <c r="D174" s="80" t="s">
        <v>425</v>
      </c>
      <c r="E174" s="71" t="s">
        <v>422</v>
      </c>
      <c r="F174" s="71" t="s">
        <v>388</v>
      </c>
      <c r="G174" s="80" t="s">
        <v>49</v>
      </c>
      <c r="H174" s="72" t="s">
        <v>33</v>
      </c>
      <c r="I174" s="73">
        <v>43069</v>
      </c>
      <c r="J174" s="73">
        <f t="shared" si="2"/>
        <v>717.81666666666672</v>
      </c>
      <c r="K174" s="72">
        <v>3373.74</v>
      </c>
      <c r="L174" s="72">
        <v>0</v>
      </c>
      <c r="M174" s="72">
        <v>0</v>
      </c>
      <c r="N174" s="72">
        <v>1076.73</v>
      </c>
      <c r="O174" s="72">
        <v>0</v>
      </c>
      <c r="P174" s="72">
        <v>2297.0100000000002</v>
      </c>
      <c r="Q174" s="74">
        <f>BD_LUCRO[[#This Row],[Lucro Líq.]]/BD_LUCRO[[#This Row],[Sacas/Ton]]</f>
        <v>3.199995356288746</v>
      </c>
    </row>
    <row r="175" spans="1:17">
      <c r="A175" s="68" t="s">
        <v>216</v>
      </c>
      <c r="B175" s="69">
        <v>2026</v>
      </c>
      <c r="C175" s="70">
        <v>46054</v>
      </c>
      <c r="D175" s="80" t="s">
        <v>426</v>
      </c>
      <c r="E175" s="71" t="s">
        <v>427</v>
      </c>
      <c r="F175" s="71" t="s">
        <v>242</v>
      </c>
      <c r="G175" s="80" t="s">
        <v>243</v>
      </c>
      <c r="H175" s="72" t="s">
        <v>33</v>
      </c>
      <c r="I175" s="73">
        <v>141140</v>
      </c>
      <c r="J175" s="73">
        <f t="shared" si="2"/>
        <v>2352.3333333333335</v>
      </c>
      <c r="K175" s="72">
        <v>16936.8</v>
      </c>
      <c r="L175" s="72">
        <v>0</v>
      </c>
      <c r="M175" s="72">
        <v>0</v>
      </c>
      <c r="N175" s="72">
        <v>5880.83</v>
      </c>
      <c r="O175" s="72">
        <v>0</v>
      </c>
      <c r="P175" s="72">
        <v>11055.97</v>
      </c>
      <c r="Q175" s="74">
        <f>BD_LUCRO[[#This Row],[Lucro Líq.]]/BD_LUCRO[[#This Row],[Sacas/Ton]]</f>
        <v>4.7000014170327331</v>
      </c>
    </row>
    <row r="176" spans="1:17">
      <c r="A176" s="68" t="s">
        <v>216</v>
      </c>
      <c r="B176" s="69">
        <v>2026</v>
      </c>
      <c r="C176" s="70">
        <v>46054</v>
      </c>
      <c r="D176" s="80" t="s">
        <v>426</v>
      </c>
      <c r="E176" s="71" t="s">
        <v>428</v>
      </c>
      <c r="F176" s="71" t="s">
        <v>242</v>
      </c>
      <c r="G176" s="80" t="s">
        <v>243</v>
      </c>
      <c r="H176" s="72" t="s">
        <v>33</v>
      </c>
      <c r="I176" s="73">
        <v>38860</v>
      </c>
      <c r="J176" s="73">
        <f t="shared" si="2"/>
        <v>647.66666666666663</v>
      </c>
      <c r="K176" s="72">
        <v>4663.2</v>
      </c>
      <c r="L176" s="72">
        <v>0</v>
      </c>
      <c r="M176" s="72">
        <v>0</v>
      </c>
      <c r="N176" s="72">
        <v>1619.17</v>
      </c>
      <c r="O176" s="72">
        <v>0</v>
      </c>
      <c r="P176" s="72">
        <v>3044.03</v>
      </c>
      <c r="Q176" s="74">
        <f>BD_LUCRO[[#This Row],[Lucro Líq.]]/BD_LUCRO[[#This Row],[Sacas/Ton]]</f>
        <v>4.6999948533196099</v>
      </c>
    </row>
    <row r="177" spans="1:17">
      <c r="A177" s="68" t="s">
        <v>216</v>
      </c>
      <c r="B177" s="69">
        <v>2026</v>
      </c>
      <c r="C177" s="70">
        <v>46054</v>
      </c>
      <c r="D177" s="80" t="s">
        <v>429</v>
      </c>
      <c r="E177" s="71" t="s">
        <v>427</v>
      </c>
      <c r="F177" s="71" t="s">
        <v>242</v>
      </c>
      <c r="G177" s="80" t="s">
        <v>243</v>
      </c>
      <c r="H177" s="72" t="s">
        <v>33</v>
      </c>
      <c r="I177" s="73">
        <v>38860</v>
      </c>
      <c r="J177" s="73">
        <f t="shared" si="2"/>
        <v>647.66666666666663</v>
      </c>
      <c r="K177" s="72">
        <v>4663.2</v>
      </c>
      <c r="L177" s="72">
        <v>0</v>
      </c>
      <c r="M177" s="72">
        <v>0</v>
      </c>
      <c r="N177" s="72">
        <v>1619.17</v>
      </c>
      <c r="O177" s="72">
        <v>0</v>
      </c>
      <c r="P177" s="72">
        <v>3044.03</v>
      </c>
      <c r="Q177" s="74">
        <f>BD_LUCRO[[#This Row],[Lucro Líq.]]/BD_LUCRO[[#This Row],[Sacas/Ton]]</f>
        <v>4.6999948533196099</v>
      </c>
    </row>
    <row r="178" spans="1:17">
      <c r="A178" s="68" t="s">
        <v>216</v>
      </c>
      <c r="B178" s="69">
        <v>2026</v>
      </c>
      <c r="C178" s="70">
        <v>46054</v>
      </c>
      <c r="D178" s="80" t="s">
        <v>429</v>
      </c>
      <c r="E178" s="71" t="s">
        <v>428</v>
      </c>
      <c r="F178" s="71" t="s">
        <v>242</v>
      </c>
      <c r="G178" s="80" t="s">
        <v>243</v>
      </c>
      <c r="H178" s="72" t="s">
        <v>33</v>
      </c>
      <c r="I178" s="73">
        <v>15560</v>
      </c>
      <c r="J178" s="73">
        <f t="shared" si="2"/>
        <v>259.33333333333331</v>
      </c>
      <c r="K178" s="72">
        <v>1867.2</v>
      </c>
      <c r="L178" s="72">
        <v>0</v>
      </c>
      <c r="M178" s="72">
        <v>0</v>
      </c>
      <c r="N178" s="72">
        <v>648.33000000000004</v>
      </c>
      <c r="O178" s="72">
        <v>0</v>
      </c>
      <c r="P178" s="72">
        <v>1218.8699999999999</v>
      </c>
      <c r="Q178" s="74">
        <f>BD_LUCRO[[#This Row],[Lucro Líq.]]/BD_LUCRO[[#This Row],[Sacas/Ton]]</f>
        <v>4.7000128534704366</v>
      </c>
    </row>
    <row r="179" spans="1:17">
      <c r="A179" s="82" t="s">
        <v>355</v>
      </c>
      <c r="B179" s="69">
        <v>2026</v>
      </c>
      <c r="C179" s="70">
        <v>46054</v>
      </c>
      <c r="D179" s="80" t="s">
        <v>432</v>
      </c>
      <c r="E179" s="71" t="s">
        <v>92</v>
      </c>
      <c r="F179" s="71" t="s">
        <v>92</v>
      </c>
      <c r="G179" s="80" t="s">
        <v>433</v>
      </c>
      <c r="H179" s="72" t="s">
        <v>179</v>
      </c>
      <c r="I179" s="73">
        <v>30000</v>
      </c>
      <c r="J179" s="73">
        <f t="shared" si="2"/>
        <v>500</v>
      </c>
      <c r="K179" s="72">
        <v>90168.75</v>
      </c>
      <c r="L179" s="72">
        <v>0</v>
      </c>
      <c r="M179" s="72">
        <v>22500</v>
      </c>
      <c r="N179" s="72">
        <v>125</v>
      </c>
      <c r="O179" s="72">
        <v>0</v>
      </c>
      <c r="P179" s="72">
        <v>67543.75</v>
      </c>
      <c r="Q179" s="74">
        <f>BD_LUCRO[[#This Row],[Lucro Líq.]]/BD_LUCRO[[#This Row],[Sacas/Ton]]</f>
        <v>135.08750000000001</v>
      </c>
    </row>
    <row r="180" spans="1:17">
      <c r="A180" s="82" t="s">
        <v>355</v>
      </c>
      <c r="B180" s="69">
        <v>2026</v>
      </c>
      <c r="C180" s="70">
        <v>46054</v>
      </c>
      <c r="D180" s="80" t="s">
        <v>434</v>
      </c>
      <c r="E180" s="71" t="s">
        <v>92</v>
      </c>
      <c r="F180" s="71" t="s">
        <v>92</v>
      </c>
      <c r="G180" s="80" t="s">
        <v>433</v>
      </c>
      <c r="H180" s="72" t="s">
        <v>179</v>
      </c>
      <c r="I180" s="73">
        <v>9360</v>
      </c>
      <c r="J180" s="73">
        <f t="shared" si="2"/>
        <v>156</v>
      </c>
      <c r="K180" s="72">
        <v>34802.57</v>
      </c>
      <c r="L180" s="72">
        <v>0</v>
      </c>
      <c r="M180" s="72">
        <v>7020</v>
      </c>
      <c r="N180" s="72">
        <v>39</v>
      </c>
      <c r="O180" s="72">
        <v>0</v>
      </c>
      <c r="P180" s="72">
        <v>27743.57</v>
      </c>
      <c r="Q180" s="74">
        <f>BD_LUCRO[[#This Row],[Lucro Líq.]]/BD_LUCRO[[#This Row],[Sacas/Ton]]</f>
        <v>177.84339743589743</v>
      </c>
    </row>
    <row r="181" spans="1:17">
      <c r="A181" s="82" t="s">
        <v>355</v>
      </c>
      <c r="B181" s="69">
        <v>2026</v>
      </c>
      <c r="C181" s="70">
        <v>46054</v>
      </c>
      <c r="D181" s="71" t="s">
        <v>435</v>
      </c>
      <c r="E181" s="71" t="s">
        <v>92</v>
      </c>
      <c r="F181" s="71" t="s">
        <v>92</v>
      </c>
      <c r="G181" s="80" t="s">
        <v>239</v>
      </c>
      <c r="H181" s="72" t="s">
        <v>179</v>
      </c>
      <c r="I181" s="73">
        <v>43100</v>
      </c>
      <c r="J181" s="73">
        <f t="shared" si="2"/>
        <v>718.33333333333337</v>
      </c>
      <c r="K181" s="72">
        <v>242.44</v>
      </c>
      <c r="L181" s="72">
        <v>9051</v>
      </c>
      <c r="M181" s="72">
        <v>15722.88</v>
      </c>
      <c r="N181" s="72">
        <v>400</v>
      </c>
      <c r="O181" s="72">
        <v>0</v>
      </c>
      <c r="P181" s="72">
        <v>-24931.439999999999</v>
      </c>
      <c r="Q181" s="74">
        <f>BD_LUCRO[[#This Row],[Lucro Líq.]]/BD_LUCRO[[#This Row],[Sacas/Ton]]</f>
        <v>-34.707341067285377</v>
      </c>
    </row>
    <row r="182" spans="1:17">
      <c r="A182" s="68" t="s">
        <v>216</v>
      </c>
      <c r="B182" s="69">
        <v>2026</v>
      </c>
      <c r="C182" s="70">
        <v>46082</v>
      </c>
      <c r="D182" s="80" t="s">
        <v>371</v>
      </c>
      <c r="E182" s="71" t="s">
        <v>400</v>
      </c>
      <c r="F182" s="71" t="s">
        <v>206</v>
      </c>
      <c r="G182" s="80" t="s">
        <v>295</v>
      </c>
      <c r="H182" s="72" t="s">
        <v>207</v>
      </c>
      <c r="I182" s="73">
        <v>28820</v>
      </c>
      <c r="J182" s="73">
        <f t="shared" si="2"/>
        <v>480.33333333333331</v>
      </c>
      <c r="K182" s="72">
        <v>11106.8</v>
      </c>
      <c r="L182" s="72">
        <v>8413</v>
      </c>
      <c r="M182" s="72">
        <v>802.35</v>
      </c>
      <c r="N182" s="72">
        <v>576.4</v>
      </c>
      <c r="O182" s="72">
        <v>314.10000000000002</v>
      </c>
      <c r="P182" s="72">
        <v>1000.95</v>
      </c>
      <c r="Q182" s="74">
        <f>BD_LUCRO[[#This Row],[Lucro Líq.]]/BD_LUCRO[[#This Row],[Sacas/Ton]]</f>
        <v>2.0838653712699515</v>
      </c>
    </row>
    <row r="183" spans="1:17">
      <c r="A183" s="68" t="s">
        <v>216</v>
      </c>
      <c r="B183" s="69">
        <v>2026</v>
      </c>
      <c r="C183" s="70">
        <v>46082</v>
      </c>
      <c r="D183" s="80" t="s">
        <v>438</v>
      </c>
      <c r="E183" s="71" t="s">
        <v>439</v>
      </c>
      <c r="F183" s="71" t="s">
        <v>440</v>
      </c>
      <c r="G183" s="80" t="s">
        <v>48</v>
      </c>
      <c r="H183" s="72" t="s">
        <v>33</v>
      </c>
      <c r="I183" s="73">
        <v>330000</v>
      </c>
      <c r="J183" s="73">
        <f t="shared" si="2"/>
        <v>5500</v>
      </c>
      <c r="K183" s="72">
        <v>116840.9</v>
      </c>
      <c r="L183" s="72">
        <v>0</v>
      </c>
      <c r="M183" s="72">
        <v>0</v>
      </c>
      <c r="N183" s="72">
        <v>20329.5</v>
      </c>
      <c r="O183" s="72">
        <v>640</v>
      </c>
      <c r="P183" s="72">
        <v>95871.4</v>
      </c>
      <c r="Q183" s="74">
        <f>BD_LUCRO[[#This Row],[Lucro Líq.]]/BD_LUCRO[[#This Row],[Sacas/Ton]]</f>
        <v>17.431163636363635</v>
      </c>
    </row>
    <row r="184" spans="1:17">
      <c r="A184" s="68" t="s">
        <v>216</v>
      </c>
      <c r="B184" s="69">
        <v>2026</v>
      </c>
      <c r="C184" s="70">
        <v>46082</v>
      </c>
      <c r="D184" s="80" t="s">
        <v>425</v>
      </c>
      <c r="E184" s="71" t="s">
        <v>421</v>
      </c>
      <c r="F184" s="71" t="s">
        <v>382</v>
      </c>
      <c r="G184" s="80" t="s">
        <v>49</v>
      </c>
      <c r="H184" s="72" t="s">
        <v>33</v>
      </c>
      <c r="I184" s="73">
        <v>40597</v>
      </c>
      <c r="J184" s="73">
        <f t="shared" si="2"/>
        <v>676.61666666666667</v>
      </c>
      <c r="K184" s="72">
        <v>2029.85</v>
      </c>
      <c r="L184" s="72">
        <v>0</v>
      </c>
      <c r="M184" s="72">
        <v>0</v>
      </c>
      <c r="N184" s="72">
        <v>1488.56</v>
      </c>
      <c r="O184" s="72">
        <v>0</v>
      </c>
      <c r="P184" s="72">
        <v>541.29</v>
      </c>
      <c r="Q184" s="74">
        <f>BD_LUCRO[[#This Row],[Lucro Líq.]]/BD_LUCRO[[#This Row],[Sacas/Ton]]</f>
        <v>0.79999507352760046</v>
      </c>
    </row>
    <row r="185" spans="1:17">
      <c r="A185" s="68" t="s">
        <v>216</v>
      </c>
      <c r="B185" s="69">
        <v>2026</v>
      </c>
      <c r="C185" s="70">
        <v>46082</v>
      </c>
      <c r="D185" s="80" t="s">
        <v>425</v>
      </c>
      <c r="E185" s="71" t="s">
        <v>441</v>
      </c>
      <c r="F185" s="71" t="s">
        <v>50</v>
      </c>
      <c r="G185" s="80" t="s">
        <v>49</v>
      </c>
      <c r="H185" s="72" t="s">
        <v>33</v>
      </c>
      <c r="I185" s="73">
        <v>7472</v>
      </c>
      <c r="J185" s="73">
        <f t="shared" si="2"/>
        <v>124.53333333333333</v>
      </c>
      <c r="K185" s="72">
        <v>1618.93</v>
      </c>
      <c r="L185" s="72">
        <v>0</v>
      </c>
      <c r="M185" s="72">
        <v>0</v>
      </c>
      <c r="N185" s="72">
        <v>186.8</v>
      </c>
      <c r="O185" s="72">
        <v>0</v>
      </c>
      <c r="P185" s="72">
        <v>1432.13</v>
      </c>
      <c r="Q185" s="74">
        <f>BD_LUCRO[[#This Row],[Lucro Líq.]]/BD_LUCRO[[#This Row],[Sacas/Ton]]</f>
        <v>11.499973233404711</v>
      </c>
    </row>
    <row r="186" spans="1:17">
      <c r="A186" s="68" t="s">
        <v>216</v>
      </c>
      <c r="B186" s="69">
        <v>2026</v>
      </c>
      <c r="C186" s="70">
        <v>46082</v>
      </c>
      <c r="D186" s="80" t="s">
        <v>442</v>
      </c>
      <c r="E186" s="71" t="s">
        <v>441</v>
      </c>
      <c r="F186" s="71" t="s">
        <v>50</v>
      </c>
      <c r="G186" s="80" t="s">
        <v>49</v>
      </c>
      <c r="H186" s="72" t="s">
        <v>33</v>
      </c>
      <c r="I186" s="73">
        <v>23288</v>
      </c>
      <c r="J186" s="73">
        <f t="shared" si="2"/>
        <v>388.13333333333333</v>
      </c>
      <c r="K186" s="72">
        <v>4851.67</v>
      </c>
      <c r="L186" s="72">
        <v>0</v>
      </c>
      <c r="M186" s="72">
        <v>0</v>
      </c>
      <c r="N186" s="72">
        <v>582.20000000000005</v>
      </c>
      <c r="O186" s="72">
        <v>0</v>
      </c>
      <c r="P186" s="72">
        <v>4269.47</v>
      </c>
      <c r="Q186" s="74">
        <f>BD_LUCRO[[#This Row],[Lucro Líq.]]/BD_LUCRO[[#This Row],[Sacas/Ton]]</f>
        <v>11.000008588114051</v>
      </c>
    </row>
    <row r="187" spans="1:17">
      <c r="A187" s="68" t="s">
        <v>216</v>
      </c>
      <c r="B187" s="69">
        <v>2026</v>
      </c>
      <c r="C187" s="70">
        <v>46082</v>
      </c>
      <c r="D187" s="80" t="s">
        <v>442</v>
      </c>
      <c r="E187" s="71" t="s">
        <v>443</v>
      </c>
      <c r="F187" s="71" t="s">
        <v>444</v>
      </c>
      <c r="G187" s="80" t="s">
        <v>49</v>
      </c>
      <c r="H187" s="72" t="s">
        <v>33</v>
      </c>
      <c r="I187" s="73">
        <v>60000</v>
      </c>
      <c r="J187" s="73">
        <f t="shared" si="2"/>
        <v>1000</v>
      </c>
      <c r="K187" s="72">
        <v>19243.8</v>
      </c>
      <c r="L187" s="72">
        <v>0</v>
      </c>
      <c r="M187" s="72">
        <v>0</v>
      </c>
      <c r="N187" s="72">
        <v>4000</v>
      </c>
      <c r="O187" s="72">
        <v>0</v>
      </c>
      <c r="P187" s="72">
        <v>15243.8</v>
      </c>
      <c r="Q187" s="74">
        <f>BD_LUCRO[[#This Row],[Lucro Líq.]]/BD_LUCRO[[#This Row],[Sacas/Ton]]</f>
        <v>15.243799999999998</v>
      </c>
    </row>
    <row r="188" spans="1:17">
      <c r="A188" s="68" t="s">
        <v>216</v>
      </c>
      <c r="B188" s="69">
        <v>2026</v>
      </c>
      <c r="C188" s="70">
        <v>46082</v>
      </c>
      <c r="D188" s="80" t="s">
        <v>442</v>
      </c>
      <c r="E188" s="71" t="s">
        <v>445</v>
      </c>
      <c r="F188" s="71" t="s">
        <v>444</v>
      </c>
      <c r="G188" s="80" t="s">
        <v>49</v>
      </c>
      <c r="H188" s="72" t="s">
        <v>33</v>
      </c>
      <c r="I188" s="73">
        <v>46510</v>
      </c>
      <c r="J188" s="73">
        <f t="shared" si="2"/>
        <v>775.16666666666663</v>
      </c>
      <c r="K188" s="72">
        <v>3255.7</v>
      </c>
      <c r="L188" s="72">
        <v>0</v>
      </c>
      <c r="M188" s="72">
        <v>0</v>
      </c>
      <c r="N188" s="72">
        <v>232.55</v>
      </c>
      <c r="O188" s="72">
        <v>0</v>
      </c>
      <c r="P188" s="72">
        <v>3023.15</v>
      </c>
      <c r="Q188" s="74">
        <f>BD_LUCRO[[#This Row],[Lucro Líq.]]/BD_LUCRO[[#This Row],[Sacas/Ton]]</f>
        <v>3.9000000000000004</v>
      </c>
    </row>
    <row r="189" spans="1:17">
      <c r="A189" s="68" t="s">
        <v>216</v>
      </c>
      <c r="B189" s="69">
        <v>2026</v>
      </c>
      <c r="C189" s="70">
        <v>46082</v>
      </c>
      <c r="D189" s="80" t="s">
        <v>446</v>
      </c>
      <c r="E189" s="71" t="s">
        <v>447</v>
      </c>
      <c r="F189" s="71" t="s">
        <v>440</v>
      </c>
      <c r="G189" s="80" t="s">
        <v>48</v>
      </c>
      <c r="H189" s="72" t="s">
        <v>33</v>
      </c>
      <c r="I189" s="73">
        <v>45604</v>
      </c>
      <c r="J189" s="73">
        <f t="shared" si="2"/>
        <v>760.06666666666672</v>
      </c>
      <c r="K189" s="72">
        <v>2584.23</v>
      </c>
      <c r="L189" s="72">
        <v>0</v>
      </c>
      <c r="M189" s="72">
        <v>0</v>
      </c>
      <c r="N189" s="72">
        <v>228.02</v>
      </c>
      <c r="O189" s="72">
        <v>0</v>
      </c>
      <c r="P189" s="72">
        <v>2356.21</v>
      </c>
      <c r="Q189" s="74">
        <f>BD_LUCRO[[#This Row],[Lucro Líq.]]/BD_LUCRO[[#This Row],[Sacas/Ton]]</f>
        <v>3.100004385580212</v>
      </c>
    </row>
    <row r="190" spans="1:17">
      <c r="A190" s="82" t="s">
        <v>355</v>
      </c>
      <c r="B190" s="69">
        <v>2026</v>
      </c>
      <c r="C190" s="70">
        <v>46082</v>
      </c>
      <c r="D190" s="80" t="s">
        <v>448</v>
      </c>
      <c r="E190" s="71" t="s">
        <v>92</v>
      </c>
      <c r="F190" s="71" t="s">
        <v>92</v>
      </c>
      <c r="G190" s="80" t="s">
        <v>239</v>
      </c>
      <c r="H190" s="72" t="s">
        <v>176</v>
      </c>
      <c r="I190" s="73">
        <v>2492</v>
      </c>
      <c r="J190" s="73">
        <f t="shared" si="2"/>
        <v>41.533333333333331</v>
      </c>
      <c r="K190" s="72">
        <v>0</v>
      </c>
      <c r="L190" s="72">
        <v>912.56</v>
      </c>
      <c r="M190" s="72">
        <v>3.68</v>
      </c>
      <c r="N190" s="72">
        <v>0</v>
      </c>
      <c r="O190" s="72">
        <v>0</v>
      </c>
      <c r="P190" s="72">
        <v>-916.24</v>
      </c>
      <c r="Q190" s="74">
        <f>BD_LUCRO[[#This Row],[Lucro Líq.]]/BD_LUCRO[[#This Row],[Sacas/Ton]]</f>
        <v>-22.060353130016054</v>
      </c>
    </row>
    <row r="191" spans="1:17">
      <c r="A191" s="82" t="s">
        <v>355</v>
      </c>
      <c r="B191" s="69">
        <v>2026</v>
      </c>
      <c r="C191" s="70">
        <v>46082</v>
      </c>
      <c r="D191" s="80" t="s">
        <v>449</v>
      </c>
      <c r="E191" s="71" t="s">
        <v>92</v>
      </c>
      <c r="F191" s="71" t="s">
        <v>92</v>
      </c>
      <c r="G191" s="80" t="s">
        <v>239</v>
      </c>
      <c r="H191" s="72" t="s">
        <v>173</v>
      </c>
      <c r="I191" s="73">
        <v>18808</v>
      </c>
      <c r="J191" s="73">
        <f t="shared" si="2"/>
        <v>313.46666666666664</v>
      </c>
      <c r="K191" s="72">
        <v>0</v>
      </c>
      <c r="L191" s="72">
        <v>6887.44</v>
      </c>
      <c r="M191" s="72">
        <v>4226.58</v>
      </c>
      <c r="N191" s="72">
        <v>0</v>
      </c>
      <c r="O191" s="72">
        <v>0</v>
      </c>
      <c r="P191" s="72">
        <v>-11113.33</v>
      </c>
      <c r="Q191" s="74">
        <f>BD_LUCRO[[#This Row],[Lucro Líq.]]/BD_LUCRO[[#This Row],[Sacas/Ton]]</f>
        <v>-35.452988090174394</v>
      </c>
    </row>
    <row r="192" spans="1:17">
      <c r="A192" s="82" t="s">
        <v>355</v>
      </c>
      <c r="B192" s="69">
        <v>2026</v>
      </c>
      <c r="C192" s="70">
        <v>46082</v>
      </c>
      <c r="D192" s="80" t="s">
        <v>450</v>
      </c>
      <c r="E192" s="71" t="s">
        <v>92</v>
      </c>
      <c r="F192" s="71" t="s">
        <v>92</v>
      </c>
      <c r="G192" s="80" t="s">
        <v>398</v>
      </c>
      <c r="H192" s="72" t="s">
        <v>173</v>
      </c>
      <c r="I192" s="73">
        <v>40812</v>
      </c>
      <c r="J192" s="73">
        <f t="shared" si="2"/>
        <v>680.2</v>
      </c>
      <c r="K192" s="96">
        <v>-100140.54</v>
      </c>
      <c r="L192" s="72">
        <v>0</v>
      </c>
      <c r="M192" s="72">
        <v>0</v>
      </c>
      <c r="N192" s="72">
        <v>0</v>
      </c>
      <c r="O192" s="72">
        <v>0</v>
      </c>
      <c r="P192" s="72">
        <v>-100140.54</v>
      </c>
      <c r="Q192" s="74">
        <f>BD_LUCRO[[#This Row],[Lucro Líq.]]/BD_LUCRO[[#This Row],[Sacas/Ton]]</f>
        <v>-147.2221993531314</v>
      </c>
    </row>
    <row r="193" spans="1:17">
      <c r="A193" s="82" t="s">
        <v>355</v>
      </c>
      <c r="B193" s="69">
        <v>2026</v>
      </c>
      <c r="C193" s="70">
        <v>46082</v>
      </c>
      <c r="D193" s="80" t="s">
        <v>451</v>
      </c>
      <c r="E193" s="71" t="s">
        <v>92</v>
      </c>
      <c r="F193" s="71" t="s">
        <v>92</v>
      </c>
      <c r="G193" s="80" t="s">
        <v>255</v>
      </c>
      <c r="H193" s="72" t="s">
        <v>173</v>
      </c>
      <c r="I193" s="73">
        <v>8560</v>
      </c>
      <c r="J193" s="73">
        <f t="shared" si="2"/>
        <v>142.66666666666666</v>
      </c>
      <c r="K193" s="96">
        <v>-24621.81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  <c r="Q193" s="74">
        <f>BD_LUCRO[[#This Row],[Lucro Líq.]]/BD_LUCRO[[#This Row],[Sacas/Ton]]</f>
        <v>0</v>
      </c>
    </row>
    <row r="194" spans="1:17">
      <c r="A194" s="82" t="s">
        <v>355</v>
      </c>
      <c r="B194" s="69">
        <v>2026</v>
      </c>
      <c r="C194" s="70">
        <v>46082</v>
      </c>
      <c r="D194" s="80" t="s">
        <v>452</v>
      </c>
      <c r="E194" s="71" t="s">
        <v>92</v>
      </c>
      <c r="F194" s="71" t="s">
        <v>92</v>
      </c>
      <c r="G194" s="80" t="s">
        <v>398</v>
      </c>
      <c r="H194" s="72" t="s">
        <v>179</v>
      </c>
      <c r="I194" s="73">
        <v>44292</v>
      </c>
      <c r="J194" s="73">
        <f t="shared" ref="J194" si="3">I194/60</f>
        <v>738.2</v>
      </c>
      <c r="K194" s="72">
        <v>0</v>
      </c>
      <c r="L194" s="72">
        <v>0</v>
      </c>
      <c r="M194" s="72">
        <v>0</v>
      </c>
      <c r="N194" s="72">
        <v>0</v>
      </c>
      <c r="O194" s="72">
        <v>0</v>
      </c>
      <c r="P194" s="72">
        <v>0</v>
      </c>
      <c r="Q194" s="74">
        <f>BD_LUCRO[[#This Row],[Lucro Líq.]]/BD_LUCRO[[#This Row],[Sacas/Ton]]</f>
        <v>0</v>
      </c>
    </row>
    <row r="195" spans="1:17">
      <c r="A195" s="82" t="s">
        <v>51</v>
      </c>
      <c r="B195" s="69">
        <v>2026</v>
      </c>
      <c r="C195" s="70">
        <v>46082</v>
      </c>
      <c r="D195" s="80" t="s">
        <v>399</v>
      </c>
      <c r="E195" s="71" t="s">
        <v>385</v>
      </c>
      <c r="F195" s="71" t="s">
        <v>52</v>
      </c>
      <c r="G195" s="80" t="s">
        <v>53</v>
      </c>
      <c r="H195" s="72" t="s">
        <v>33</v>
      </c>
      <c r="I195" s="73">
        <v>308775</v>
      </c>
      <c r="J195" s="73">
        <f t="shared" ref="J195:J211" si="4">I195/60</f>
        <v>5146.25</v>
      </c>
      <c r="K195" s="103">
        <v>78144.259999999995</v>
      </c>
      <c r="L195" s="72">
        <v>0</v>
      </c>
      <c r="M195" s="72">
        <v>0</v>
      </c>
      <c r="N195" s="72">
        <v>0</v>
      </c>
      <c r="O195" s="72">
        <v>0</v>
      </c>
      <c r="P195" s="72">
        <v>78144.259999999995</v>
      </c>
      <c r="Q195" s="74">
        <f>BD_LUCRO[[#This Row],[Lucro Líq.]]/BD_LUCRO[[#This Row],[Sacas/Ton]]</f>
        <v>15.184699538498906</v>
      </c>
    </row>
    <row r="196" spans="1:17">
      <c r="A196" s="82" t="s">
        <v>51</v>
      </c>
      <c r="B196" s="69">
        <v>2026</v>
      </c>
      <c r="C196" s="70">
        <v>46082</v>
      </c>
      <c r="D196" s="80" t="s">
        <v>453</v>
      </c>
      <c r="E196" s="71" t="s">
        <v>92</v>
      </c>
      <c r="F196" s="71" t="s">
        <v>92</v>
      </c>
      <c r="G196" s="80" t="s">
        <v>253</v>
      </c>
      <c r="H196" s="72" t="s">
        <v>176</v>
      </c>
      <c r="I196" s="73">
        <v>10000</v>
      </c>
      <c r="J196" s="73">
        <f t="shared" si="4"/>
        <v>166.66666666666666</v>
      </c>
      <c r="K196" s="96">
        <v>1382.19</v>
      </c>
      <c r="L196" s="72">
        <v>0</v>
      </c>
      <c r="M196" s="72">
        <v>0</v>
      </c>
      <c r="N196" s="72">
        <v>0</v>
      </c>
      <c r="O196" s="72">
        <v>0</v>
      </c>
      <c r="P196" s="72">
        <v>1382.19</v>
      </c>
      <c r="Q196" s="74">
        <f>BD_LUCRO[[#This Row],[Lucro Líq.]]/BD_LUCRO[[#This Row],[Sacas/Ton]]</f>
        <v>8.2931400000000011</v>
      </c>
    </row>
    <row r="197" spans="1:17">
      <c r="A197" s="82" t="s">
        <v>51</v>
      </c>
      <c r="B197" s="69">
        <v>2026</v>
      </c>
      <c r="C197" s="70">
        <v>46082</v>
      </c>
      <c r="D197" s="80" t="s">
        <v>454</v>
      </c>
      <c r="E197" s="71" t="s">
        <v>92</v>
      </c>
      <c r="F197" s="71" t="s">
        <v>92</v>
      </c>
      <c r="G197" s="80" t="s">
        <v>242</v>
      </c>
      <c r="H197" s="72" t="s">
        <v>176</v>
      </c>
      <c r="I197" s="73">
        <v>14000</v>
      </c>
      <c r="J197" s="73">
        <f t="shared" si="4"/>
        <v>233.33333333333334</v>
      </c>
      <c r="K197" s="96">
        <v>1545.78</v>
      </c>
      <c r="L197" s="72">
        <v>1664</v>
      </c>
      <c r="M197" s="72">
        <v>0</v>
      </c>
      <c r="N197" s="72">
        <v>0</v>
      </c>
      <c r="O197" s="72">
        <v>0</v>
      </c>
      <c r="P197" s="72">
        <v>-118.21</v>
      </c>
      <c r="Q197" s="74">
        <f>BD_LUCRO[[#This Row],[Lucro Líq.]]/BD_LUCRO[[#This Row],[Sacas/Ton]]</f>
        <v>-0.50661428571428568</v>
      </c>
    </row>
    <row r="198" spans="1:17">
      <c r="A198" s="82" t="s">
        <v>51</v>
      </c>
      <c r="B198" s="69">
        <v>2026</v>
      </c>
      <c r="C198" s="70">
        <v>46082</v>
      </c>
      <c r="D198" s="80" t="s">
        <v>455</v>
      </c>
      <c r="E198" s="71" t="s">
        <v>385</v>
      </c>
      <c r="F198" s="71" t="s">
        <v>52</v>
      </c>
      <c r="G198" s="80" t="s">
        <v>53</v>
      </c>
      <c r="H198" s="72" t="s">
        <v>33</v>
      </c>
      <c r="I198" s="73">
        <v>863340</v>
      </c>
      <c r="J198" s="73">
        <f t="shared" si="4"/>
        <v>14389</v>
      </c>
      <c r="K198" s="72">
        <v>313104.64000000001</v>
      </c>
      <c r="L198" s="72">
        <v>0</v>
      </c>
      <c r="M198" s="72">
        <v>0</v>
      </c>
      <c r="N198" s="72">
        <v>0</v>
      </c>
      <c r="O198" s="72">
        <v>0</v>
      </c>
      <c r="P198" s="72">
        <v>313104.64000000001</v>
      </c>
      <c r="Q198" s="74">
        <f>BD_LUCRO[[#This Row],[Lucro Líq.]]/BD_LUCRO[[#This Row],[Sacas/Ton]]</f>
        <v>21.76</v>
      </c>
    </row>
    <row r="199" spans="1:17">
      <c r="A199" s="82" t="s">
        <v>51</v>
      </c>
      <c r="B199" s="69">
        <v>2026</v>
      </c>
      <c r="C199" s="70">
        <v>46082</v>
      </c>
      <c r="D199" s="80" t="s">
        <v>456</v>
      </c>
      <c r="E199" s="71" t="s">
        <v>457</v>
      </c>
      <c r="F199" s="71" t="s">
        <v>382</v>
      </c>
      <c r="G199" s="80" t="s">
        <v>458</v>
      </c>
      <c r="H199" s="72" t="s">
        <v>33</v>
      </c>
      <c r="I199" s="73">
        <v>2100000</v>
      </c>
      <c r="J199" s="73">
        <f t="shared" si="4"/>
        <v>35000</v>
      </c>
      <c r="K199" s="72">
        <v>199500</v>
      </c>
      <c r="L199" s="72">
        <v>0</v>
      </c>
      <c r="M199" s="72">
        <v>0</v>
      </c>
      <c r="N199" s="72">
        <v>42000</v>
      </c>
      <c r="O199" s="72">
        <v>0</v>
      </c>
      <c r="P199" s="72">
        <v>157500</v>
      </c>
      <c r="Q199" s="74">
        <f>BD_LUCRO[[#This Row],[Lucro Líq.]]/BD_LUCRO[[#This Row],[Sacas/Ton]]</f>
        <v>4.5</v>
      </c>
    </row>
    <row r="200" spans="1:17">
      <c r="A200" s="82" t="s">
        <v>51</v>
      </c>
      <c r="B200" s="69">
        <v>2026</v>
      </c>
      <c r="C200" s="70">
        <v>46082</v>
      </c>
      <c r="D200" s="80" t="s">
        <v>459</v>
      </c>
      <c r="E200" s="71" t="s">
        <v>92</v>
      </c>
      <c r="F200" s="71" t="s">
        <v>92</v>
      </c>
      <c r="G200" s="80" t="s">
        <v>52</v>
      </c>
      <c r="H200" s="72" t="s">
        <v>179</v>
      </c>
      <c r="I200" s="73">
        <v>25420</v>
      </c>
      <c r="J200" s="73">
        <f t="shared" si="4"/>
        <v>423.66666666666669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4">
        <f>BD_LUCRO[[#This Row],[Lucro Líq.]]/BD_LUCRO[[#This Row],[Sacas/Ton]]</f>
        <v>0</v>
      </c>
    </row>
    <row r="201" spans="1:17">
      <c r="A201" s="82" t="s">
        <v>51</v>
      </c>
      <c r="B201" s="69">
        <v>2026</v>
      </c>
      <c r="C201" s="70">
        <v>46082</v>
      </c>
      <c r="D201" s="80" t="s">
        <v>460</v>
      </c>
      <c r="E201" s="71" t="s">
        <v>92</v>
      </c>
      <c r="F201" s="71" t="s">
        <v>92</v>
      </c>
      <c r="G201" s="80" t="s">
        <v>242</v>
      </c>
      <c r="H201" s="72" t="s">
        <v>179</v>
      </c>
      <c r="I201" s="73">
        <v>17800</v>
      </c>
      <c r="J201" s="73">
        <f t="shared" si="4"/>
        <v>296.66666666666669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4">
        <f>BD_LUCRO[[#This Row],[Lucro Líq.]]/BD_LUCRO[[#This Row],[Sacas/Ton]]</f>
        <v>0</v>
      </c>
    </row>
    <row r="202" spans="1:17">
      <c r="A202" s="82" t="s">
        <v>51</v>
      </c>
      <c r="B202" s="69">
        <v>2026</v>
      </c>
      <c r="C202" s="70">
        <v>46082</v>
      </c>
      <c r="D202" s="80" t="s">
        <v>461</v>
      </c>
      <c r="E202" s="71" t="s">
        <v>462</v>
      </c>
      <c r="F202" s="71" t="s">
        <v>398</v>
      </c>
      <c r="G202" s="80" t="s">
        <v>242</v>
      </c>
      <c r="H202" s="72" t="s">
        <v>173</v>
      </c>
      <c r="I202" s="73">
        <v>18808</v>
      </c>
      <c r="J202" s="73">
        <f t="shared" si="4"/>
        <v>313.46666666666664</v>
      </c>
      <c r="K202" s="72">
        <v>0</v>
      </c>
      <c r="L202" s="72">
        <v>0</v>
      </c>
      <c r="M202" s="72">
        <v>0</v>
      </c>
      <c r="N202" s="72">
        <v>0</v>
      </c>
      <c r="O202" s="72">
        <v>0</v>
      </c>
      <c r="P202" s="72">
        <v>0</v>
      </c>
      <c r="Q202" s="74">
        <f>BD_LUCRO[[#This Row],[Lucro Líq.]]/BD_LUCRO[[#This Row],[Sacas/Ton]]</f>
        <v>0</v>
      </c>
    </row>
    <row r="203" spans="1:17">
      <c r="A203" s="68" t="s">
        <v>355</v>
      </c>
      <c r="B203" s="69">
        <v>2026</v>
      </c>
      <c r="C203" s="70">
        <v>46113</v>
      </c>
      <c r="D203" s="80" t="s">
        <v>4633</v>
      </c>
      <c r="E203" s="71" t="s">
        <v>92</v>
      </c>
      <c r="F203" s="71" t="s">
        <v>92</v>
      </c>
      <c r="G203" s="80" t="s">
        <v>239</v>
      </c>
      <c r="H203" s="72" t="s">
        <v>176</v>
      </c>
      <c r="I203" s="73">
        <v>4100</v>
      </c>
      <c r="J203" s="73">
        <f t="shared" si="4"/>
        <v>68.333333333333329</v>
      </c>
      <c r="K203" s="72">
        <v>0</v>
      </c>
      <c r="L203" s="72">
        <v>5010</v>
      </c>
      <c r="M203" s="72">
        <v>897.6</v>
      </c>
      <c r="N203" s="72">
        <v>0</v>
      </c>
      <c r="O203" s="72">
        <v>0</v>
      </c>
      <c r="P203" s="72">
        <v>-5907.6</v>
      </c>
      <c r="Q203" s="74">
        <f>BD_LUCRO[[#This Row],[Lucro Líq.]]/BD_LUCRO[[#This Row],[Sacas/Ton]]</f>
        <v>-86.452682926829283</v>
      </c>
    </row>
    <row r="204" spans="1:17">
      <c r="A204" s="68" t="s">
        <v>355</v>
      </c>
      <c r="B204" s="69">
        <v>2026</v>
      </c>
      <c r="C204" s="70">
        <v>46113</v>
      </c>
      <c r="D204" s="80" t="s">
        <v>1275</v>
      </c>
      <c r="E204" s="71" t="s">
        <v>92</v>
      </c>
      <c r="F204" s="71" t="s">
        <v>92</v>
      </c>
      <c r="G204" s="80" t="s">
        <v>398</v>
      </c>
      <c r="H204" s="72" t="s">
        <v>173</v>
      </c>
      <c r="I204" s="73">
        <v>12240</v>
      </c>
      <c r="J204" s="73">
        <f t="shared" si="4"/>
        <v>204</v>
      </c>
      <c r="K204" s="96">
        <v>-27783.58</v>
      </c>
      <c r="L204" s="72">
        <v>0</v>
      </c>
      <c r="M204" s="72">
        <v>0</v>
      </c>
      <c r="N204" s="72">
        <v>0</v>
      </c>
      <c r="O204" s="72">
        <v>0</v>
      </c>
      <c r="P204" s="72">
        <v>-27783.58</v>
      </c>
      <c r="Q204" s="74">
        <f>BD_LUCRO[[#This Row],[Lucro Líq.]]/BD_LUCRO[[#This Row],[Sacas/Ton]]</f>
        <v>-136.19401960784316</v>
      </c>
    </row>
    <row r="205" spans="1:17">
      <c r="A205" s="68" t="s">
        <v>216</v>
      </c>
      <c r="B205" s="69">
        <v>2026</v>
      </c>
      <c r="C205" s="70">
        <v>46113</v>
      </c>
      <c r="D205" s="80" t="s">
        <v>4634</v>
      </c>
      <c r="E205" s="71" t="s">
        <v>3928</v>
      </c>
      <c r="F205" s="71" t="s">
        <v>4635</v>
      </c>
      <c r="G205" s="80" t="s">
        <v>49</v>
      </c>
      <c r="H205" s="72" t="s">
        <v>33</v>
      </c>
      <c r="I205" s="73">
        <v>90651</v>
      </c>
      <c r="J205" s="73">
        <f t="shared" si="4"/>
        <v>1510.85</v>
      </c>
      <c r="K205" s="72">
        <v>28315.42</v>
      </c>
      <c r="L205" s="72">
        <v>0</v>
      </c>
      <c r="M205" s="72">
        <v>0</v>
      </c>
      <c r="N205" s="72">
        <v>4532.55</v>
      </c>
      <c r="O205" s="72">
        <v>0</v>
      </c>
      <c r="P205" s="72">
        <v>23782.87</v>
      </c>
      <c r="Q205" s="74">
        <f>BD_LUCRO[[#This Row],[Lucro Líq.]]/BD_LUCRO[[#This Row],[Sacas/Ton]]</f>
        <v>15.741383989145184</v>
      </c>
    </row>
    <row r="206" spans="1:17">
      <c r="A206" s="68" t="s">
        <v>51</v>
      </c>
      <c r="B206" s="69">
        <v>2026</v>
      </c>
      <c r="C206" s="70">
        <v>46113</v>
      </c>
      <c r="D206" s="80" t="s">
        <v>4636</v>
      </c>
      <c r="E206" s="71" t="s">
        <v>4637</v>
      </c>
      <c r="F206" s="71" t="s">
        <v>398</v>
      </c>
      <c r="G206" s="80" t="s">
        <v>4638</v>
      </c>
      <c r="H206" s="72" t="s">
        <v>176</v>
      </c>
      <c r="I206" s="73">
        <v>4100</v>
      </c>
      <c r="J206" s="73">
        <f t="shared" si="4"/>
        <v>68.333333333333329</v>
      </c>
      <c r="K206" s="72">
        <v>0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  <c r="Q206" s="74">
        <f>BD_LUCRO[[#This Row],[Lucro Líq.]]/BD_LUCRO[[#This Row],[Sacas/Ton]]</f>
        <v>0</v>
      </c>
    </row>
    <row r="207" spans="1:17">
      <c r="A207" s="68" t="s">
        <v>51</v>
      </c>
      <c r="B207" s="69">
        <v>2026</v>
      </c>
      <c r="C207" s="70">
        <v>46113</v>
      </c>
      <c r="D207" s="80" t="s">
        <v>4639</v>
      </c>
      <c r="E207" s="71" t="s">
        <v>4640</v>
      </c>
      <c r="F207" s="71" t="s">
        <v>398</v>
      </c>
      <c r="G207" s="80" t="s">
        <v>242</v>
      </c>
      <c r="H207" s="72" t="s">
        <v>176</v>
      </c>
      <c r="I207" s="73">
        <v>2492</v>
      </c>
      <c r="J207" s="73">
        <f t="shared" si="4"/>
        <v>41.533333333333331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4">
        <f>BD_LUCRO[[#This Row],[Lucro Líq.]]/BD_LUCRO[[#This Row],[Sacas/Ton]]</f>
        <v>0</v>
      </c>
    </row>
    <row r="208" spans="1:17">
      <c r="A208" s="68" t="s">
        <v>51</v>
      </c>
      <c r="B208" s="69">
        <v>2026</v>
      </c>
      <c r="C208" s="70">
        <v>46113</v>
      </c>
      <c r="D208" s="80" t="s">
        <v>4641</v>
      </c>
      <c r="E208" s="71" t="s">
        <v>4620</v>
      </c>
      <c r="F208" s="71" t="s">
        <v>4635</v>
      </c>
      <c r="G208" s="80" t="s">
        <v>151</v>
      </c>
      <c r="H208" s="72" t="s">
        <v>33</v>
      </c>
      <c r="I208" s="73">
        <v>134349</v>
      </c>
      <c r="J208" s="73">
        <f t="shared" si="4"/>
        <v>2239.15</v>
      </c>
      <c r="K208" s="72">
        <v>37491.879999999997</v>
      </c>
      <c r="L208" s="72">
        <v>0</v>
      </c>
      <c r="M208" s="72">
        <v>0</v>
      </c>
      <c r="N208" s="72">
        <v>6717.45</v>
      </c>
      <c r="O208" s="72">
        <v>0</v>
      </c>
      <c r="P208" s="72">
        <v>30774.43</v>
      </c>
      <c r="Q208" s="74">
        <f>BD_LUCRO[[#This Row],[Lucro Líq.]]/BD_LUCRO[[#This Row],[Sacas/Ton]]</f>
        <v>13.743800102717548</v>
      </c>
    </row>
    <row r="209" spans="1:17">
      <c r="A209" s="68" t="s">
        <v>51</v>
      </c>
      <c r="B209" s="69">
        <v>2026</v>
      </c>
      <c r="C209" s="70">
        <v>46113</v>
      </c>
      <c r="D209" s="80" t="s">
        <v>4641</v>
      </c>
      <c r="E209" s="71" t="s">
        <v>4615</v>
      </c>
      <c r="F209" s="71" t="s">
        <v>4635</v>
      </c>
      <c r="G209" s="80" t="s">
        <v>151</v>
      </c>
      <c r="H209" s="72" t="s">
        <v>33</v>
      </c>
      <c r="I209" s="73">
        <v>108760</v>
      </c>
      <c r="J209" s="73">
        <f t="shared" si="4"/>
        <v>1812.6666666666667</v>
      </c>
      <c r="K209" s="72">
        <v>9063.33</v>
      </c>
      <c r="L209" s="72">
        <v>0</v>
      </c>
      <c r="M209" s="72">
        <v>0</v>
      </c>
      <c r="N209" s="72">
        <v>2537.73</v>
      </c>
      <c r="O209" s="72">
        <v>0</v>
      </c>
      <c r="P209" s="72">
        <v>6525.6</v>
      </c>
      <c r="Q209" s="74">
        <f>BD_LUCRO[[#This Row],[Lucro Líq.]]/BD_LUCRO[[#This Row],[Sacas/Ton]]</f>
        <v>3.6</v>
      </c>
    </row>
    <row r="210" spans="1:17">
      <c r="A210" s="68" t="s">
        <v>51</v>
      </c>
      <c r="B210" s="69">
        <v>2026</v>
      </c>
      <c r="C210" s="70">
        <v>46113</v>
      </c>
      <c r="D210" s="80" t="s">
        <v>4641</v>
      </c>
      <c r="E210" s="71" t="s">
        <v>4642</v>
      </c>
      <c r="F210" s="71" t="s">
        <v>4635</v>
      </c>
      <c r="G210" s="80" t="s">
        <v>151</v>
      </c>
      <c r="H210" s="72" t="s">
        <v>33</v>
      </c>
      <c r="I210" s="73">
        <v>45247</v>
      </c>
      <c r="J210" s="73">
        <f t="shared" si="4"/>
        <v>754.11666666666667</v>
      </c>
      <c r="K210" s="72">
        <v>3770.58</v>
      </c>
      <c r="L210" s="72">
        <v>0</v>
      </c>
      <c r="M210" s="72">
        <v>0</v>
      </c>
      <c r="N210" s="72">
        <v>754.12</v>
      </c>
      <c r="O210" s="72">
        <v>0</v>
      </c>
      <c r="P210" s="72">
        <v>3016.47</v>
      </c>
      <c r="Q210" s="74">
        <f>BD_LUCRO[[#This Row],[Lucro Líq.]]/BD_LUCRO[[#This Row],[Sacas/Ton]]</f>
        <v>4.0000044201825533</v>
      </c>
    </row>
    <row r="211" spans="1:17">
      <c r="A211" s="68" t="s">
        <v>216</v>
      </c>
      <c r="B211" s="69">
        <v>2026</v>
      </c>
      <c r="C211" s="70">
        <v>46143</v>
      </c>
      <c r="D211" s="80" t="s">
        <v>4644</v>
      </c>
      <c r="E211" s="71" t="s">
        <v>4645</v>
      </c>
      <c r="F211" s="71" t="s">
        <v>384</v>
      </c>
      <c r="G211" s="80" t="s">
        <v>53</v>
      </c>
      <c r="H211" s="72" t="s">
        <v>33</v>
      </c>
      <c r="I211" s="73">
        <v>1959060</v>
      </c>
      <c r="J211" s="73">
        <f t="shared" si="4"/>
        <v>32651</v>
      </c>
      <c r="K211" s="72">
        <v>111013.4</v>
      </c>
      <c r="L211" s="72">
        <v>0</v>
      </c>
      <c r="M211" s="72">
        <v>0</v>
      </c>
      <c r="N211" s="72">
        <v>22855.7</v>
      </c>
      <c r="O211" s="72">
        <v>0</v>
      </c>
      <c r="P211" s="72">
        <v>88157.7</v>
      </c>
      <c r="Q211" s="74">
        <f>BD_LUCRO[[#This Row],[Lucro Líq.]]/BD_LUCRO[[#This Row],[Sacas/Ton]]</f>
        <v>2.6999999999999997</v>
      </c>
    </row>
    <row r="212" spans="1:17">
      <c r="A212" s="97" t="s">
        <v>54</v>
      </c>
      <c r="B212" s="98"/>
      <c r="C212" s="99"/>
      <c r="D212" s="98"/>
      <c r="E212" s="98"/>
      <c r="F212" s="98"/>
      <c r="G212" s="98"/>
      <c r="H212" s="98"/>
      <c r="I212" s="100">
        <f>SUBTOTAL(109,BD_LUCRO[Peso Kg])</f>
        <v>36730180</v>
      </c>
      <c r="J212" s="100">
        <f>SUBTOTAL(109,BD_LUCRO[Sacas/Ton])</f>
        <v>612169.66666666686</v>
      </c>
      <c r="K212" s="101">
        <f>SUBTOTAL(109,BD_LUCRO[Lucro Bruto])</f>
        <v>8797015.3100000005</v>
      </c>
      <c r="L212" s="101">
        <f>SUBTOTAL(109,BD_LUCRO[Total Frete])</f>
        <v>3422858.7999999993</v>
      </c>
      <c r="M212" s="101">
        <f>SUBTOTAL(109,BD_LUCRO[Impostos])</f>
        <v>73243.419999999984</v>
      </c>
      <c r="N212" s="101">
        <f>SUBTOTAL(109,BD_LUCRO[Comissão])</f>
        <v>2018865.0299999996</v>
      </c>
      <c r="O212" s="101">
        <f>SUBTOTAL(109,BD_LUCRO[Outros])</f>
        <v>5650.4000000000005</v>
      </c>
      <c r="P212" s="101">
        <f>SUBTOTAL(109,BD_LUCRO[Lucro Líq.])</f>
        <v>5627736.5999999978</v>
      </c>
      <c r="Q212" s="102">
        <f>SUBTOTAL(109,BD_LUCRO[Lucro Sc/Tn])</f>
        <v>43.56020470747788</v>
      </c>
    </row>
  </sheetData>
  <phoneticPr fontId="32" type="noConversion"/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0"/>
  <sheetViews>
    <sheetView showGridLines="0" zoomScaleNormal="100" workbookViewId="0"/>
  </sheetViews>
  <sheetFormatPr defaultColWidth="8.625" defaultRowHeight="14.25"/>
  <cols>
    <col min="1" max="1" width="11.25" bestFit="1" customWidth="1"/>
    <col min="2" max="2" width="7.625" bestFit="1" customWidth="1"/>
    <col min="3" max="3" width="7.875" bestFit="1" customWidth="1"/>
    <col min="4" max="4" width="39.375" bestFit="1" customWidth="1"/>
    <col min="5" max="5" width="15.625" bestFit="1" customWidth="1"/>
  </cols>
  <sheetData>
    <row r="1" spans="1:5" ht="18" customHeight="1">
      <c r="A1" s="111" t="s">
        <v>34</v>
      </c>
      <c r="B1" s="112" t="s">
        <v>35</v>
      </c>
      <c r="C1" s="113" t="s">
        <v>16</v>
      </c>
      <c r="D1" s="114" t="s">
        <v>55</v>
      </c>
      <c r="E1" s="115" t="s">
        <v>56</v>
      </c>
    </row>
    <row r="2" spans="1:5" ht="15" customHeight="1">
      <c r="A2" s="91" t="s">
        <v>51</v>
      </c>
      <c r="B2" s="92">
        <v>2025</v>
      </c>
      <c r="C2" s="93">
        <v>45658</v>
      </c>
      <c r="D2" s="91" t="s">
        <v>59</v>
      </c>
      <c r="E2" s="116">
        <v>26408.69</v>
      </c>
    </row>
    <row r="3" spans="1:5" ht="15" customHeight="1">
      <c r="A3" s="91" t="s">
        <v>51</v>
      </c>
      <c r="B3" s="92">
        <v>2025</v>
      </c>
      <c r="C3" s="93">
        <v>45658</v>
      </c>
      <c r="D3" s="91" t="s">
        <v>76</v>
      </c>
      <c r="E3" s="116">
        <v>118.5</v>
      </c>
    </row>
    <row r="4" spans="1:5" ht="15" customHeight="1">
      <c r="A4" s="91" t="s">
        <v>51</v>
      </c>
      <c r="B4" s="92">
        <v>2025</v>
      </c>
      <c r="C4" s="93">
        <v>45658</v>
      </c>
      <c r="D4" s="91" t="s">
        <v>60</v>
      </c>
      <c r="E4" s="116">
        <v>890.23</v>
      </c>
    </row>
    <row r="5" spans="1:5" ht="15" customHeight="1">
      <c r="A5" s="91" t="s">
        <v>51</v>
      </c>
      <c r="B5" s="92">
        <v>2025</v>
      </c>
      <c r="C5" s="93">
        <v>45658</v>
      </c>
      <c r="D5" s="91" t="s">
        <v>61</v>
      </c>
      <c r="E5" s="116">
        <v>1518</v>
      </c>
    </row>
    <row r="6" spans="1:5" ht="15" customHeight="1">
      <c r="A6" s="91" t="s">
        <v>51</v>
      </c>
      <c r="B6" s="92">
        <v>2025</v>
      </c>
      <c r="C6" s="93">
        <v>45658</v>
      </c>
      <c r="D6" s="91" t="s">
        <v>63</v>
      </c>
      <c r="E6" s="116">
        <v>84</v>
      </c>
    </row>
    <row r="7" spans="1:5" ht="15" customHeight="1">
      <c r="A7" s="91" t="s">
        <v>51</v>
      </c>
      <c r="B7" s="92">
        <v>2025</v>
      </c>
      <c r="C7" s="93">
        <v>45658</v>
      </c>
      <c r="D7" s="91" t="s">
        <v>64</v>
      </c>
      <c r="E7" s="116">
        <v>813.97</v>
      </c>
    </row>
    <row r="8" spans="1:5" ht="15" customHeight="1">
      <c r="A8" s="91" t="s">
        <v>51</v>
      </c>
      <c r="B8" s="92">
        <v>2025</v>
      </c>
      <c r="C8" s="93">
        <v>45658</v>
      </c>
      <c r="D8" s="91" t="s">
        <v>65</v>
      </c>
      <c r="E8" s="116">
        <v>179.9</v>
      </c>
    </row>
    <row r="9" spans="1:5" ht="15" customHeight="1">
      <c r="A9" s="91" t="s">
        <v>51</v>
      </c>
      <c r="B9" s="92">
        <v>2025</v>
      </c>
      <c r="C9" s="93">
        <v>45658</v>
      </c>
      <c r="D9" s="91" t="s">
        <v>66</v>
      </c>
      <c r="E9" s="116">
        <v>191.89</v>
      </c>
    </row>
    <row r="10" spans="1:5" ht="15" customHeight="1">
      <c r="A10" s="91" t="s">
        <v>51</v>
      </c>
      <c r="B10" s="92">
        <v>2025</v>
      </c>
      <c r="C10" s="93">
        <v>45658</v>
      </c>
      <c r="D10" s="91" t="s">
        <v>67</v>
      </c>
      <c r="E10" s="116">
        <v>52501.37</v>
      </c>
    </row>
    <row r="11" spans="1:5" ht="15" customHeight="1">
      <c r="A11" s="91" t="s">
        <v>51</v>
      </c>
      <c r="B11" s="92">
        <v>2025</v>
      </c>
      <c r="C11" s="93">
        <v>45658</v>
      </c>
      <c r="D11" s="91" t="s">
        <v>68</v>
      </c>
      <c r="E11" s="116">
        <v>2887.53</v>
      </c>
    </row>
    <row r="12" spans="1:5" ht="15" customHeight="1">
      <c r="A12" s="91" t="s">
        <v>51</v>
      </c>
      <c r="B12" s="92">
        <v>2025</v>
      </c>
      <c r="C12" s="93">
        <v>45658</v>
      </c>
      <c r="D12" s="91" t="s">
        <v>69</v>
      </c>
      <c r="E12" s="116">
        <v>10422.030000000001</v>
      </c>
    </row>
    <row r="13" spans="1:5" ht="15" customHeight="1">
      <c r="A13" s="91" t="s">
        <v>51</v>
      </c>
      <c r="B13" s="92">
        <v>2025</v>
      </c>
      <c r="C13" s="93">
        <v>45658</v>
      </c>
      <c r="D13" s="91" t="s">
        <v>70</v>
      </c>
      <c r="E13" s="116">
        <v>112</v>
      </c>
    </row>
    <row r="14" spans="1:5" ht="15" customHeight="1">
      <c r="A14" s="91" t="s">
        <v>51</v>
      </c>
      <c r="B14" s="92">
        <v>2025</v>
      </c>
      <c r="C14" s="93">
        <v>45658</v>
      </c>
      <c r="D14" s="91" t="s">
        <v>71</v>
      </c>
      <c r="E14" s="116">
        <v>34166.47</v>
      </c>
    </row>
    <row r="15" spans="1:5" ht="15" customHeight="1">
      <c r="A15" s="91" t="s">
        <v>51</v>
      </c>
      <c r="B15" s="92">
        <v>2025</v>
      </c>
      <c r="C15" s="93">
        <v>45658</v>
      </c>
      <c r="D15" s="91" t="s">
        <v>77</v>
      </c>
      <c r="E15" s="116">
        <v>3375</v>
      </c>
    </row>
    <row r="16" spans="1:5" ht="15" customHeight="1">
      <c r="A16" s="91" t="s">
        <v>51</v>
      </c>
      <c r="B16" s="92">
        <v>2025</v>
      </c>
      <c r="C16" s="93">
        <v>45658</v>
      </c>
      <c r="D16" s="91" t="s">
        <v>73</v>
      </c>
      <c r="E16" s="116">
        <v>588.79999999999995</v>
      </c>
    </row>
    <row r="17" spans="1:5" ht="15" customHeight="1">
      <c r="A17" s="91" t="s">
        <v>51</v>
      </c>
      <c r="B17" s="92">
        <v>2025</v>
      </c>
      <c r="C17" s="93">
        <v>45658</v>
      </c>
      <c r="D17" s="91" t="s">
        <v>74</v>
      </c>
      <c r="E17" s="116">
        <v>171.2</v>
      </c>
    </row>
    <row r="18" spans="1:5" ht="15" customHeight="1">
      <c r="A18" s="91" t="s">
        <v>51</v>
      </c>
      <c r="B18" s="92">
        <v>2025</v>
      </c>
      <c r="C18" s="93">
        <v>45689</v>
      </c>
      <c r="D18" s="91" t="s">
        <v>60</v>
      </c>
      <c r="E18" s="116">
        <v>520.74</v>
      </c>
    </row>
    <row r="19" spans="1:5" ht="15" customHeight="1">
      <c r="A19" s="91" t="s">
        <v>51</v>
      </c>
      <c r="B19" s="92">
        <v>2025</v>
      </c>
      <c r="C19" s="93">
        <v>45689</v>
      </c>
      <c r="D19" s="91" t="s">
        <v>61</v>
      </c>
      <c r="E19" s="116">
        <v>1518</v>
      </c>
    </row>
    <row r="20" spans="1:5" ht="15" customHeight="1">
      <c r="A20" s="91" t="s">
        <v>51</v>
      </c>
      <c r="B20" s="92">
        <v>2025</v>
      </c>
      <c r="C20" s="93">
        <v>45689</v>
      </c>
      <c r="D20" s="91" t="s">
        <v>63</v>
      </c>
      <c r="E20" s="116">
        <v>84</v>
      </c>
    </row>
    <row r="21" spans="1:5" ht="15" customHeight="1">
      <c r="A21" s="91" t="s">
        <v>51</v>
      </c>
      <c r="B21" s="92">
        <v>2025</v>
      </c>
      <c r="C21" s="93">
        <v>45689</v>
      </c>
      <c r="D21" s="91" t="s">
        <v>64</v>
      </c>
      <c r="E21" s="116">
        <v>806</v>
      </c>
    </row>
    <row r="22" spans="1:5" ht="15" customHeight="1">
      <c r="A22" s="91" t="s">
        <v>51</v>
      </c>
      <c r="B22" s="92">
        <v>2025</v>
      </c>
      <c r="C22" s="93">
        <v>45689</v>
      </c>
      <c r="D22" s="91" t="s">
        <v>65</v>
      </c>
      <c r="E22" s="116">
        <v>179.9</v>
      </c>
    </row>
    <row r="23" spans="1:5" ht="15" customHeight="1">
      <c r="A23" s="91" t="s">
        <v>51</v>
      </c>
      <c r="B23" s="92">
        <v>2025</v>
      </c>
      <c r="C23" s="93">
        <v>45689</v>
      </c>
      <c r="D23" s="91" t="s">
        <v>66</v>
      </c>
      <c r="E23" s="116">
        <v>104.04</v>
      </c>
    </row>
    <row r="24" spans="1:5" ht="15" customHeight="1">
      <c r="A24" s="91" t="s">
        <v>51</v>
      </c>
      <c r="B24" s="92">
        <v>2025</v>
      </c>
      <c r="C24" s="93">
        <v>45689</v>
      </c>
      <c r="D24" s="91" t="s">
        <v>68</v>
      </c>
      <c r="E24" s="116">
        <v>9.02</v>
      </c>
    </row>
    <row r="25" spans="1:5" ht="15" customHeight="1">
      <c r="A25" s="91" t="s">
        <v>51</v>
      </c>
      <c r="B25" s="92">
        <v>2025</v>
      </c>
      <c r="C25" s="93">
        <v>45689</v>
      </c>
      <c r="D25" s="91" t="s">
        <v>69</v>
      </c>
      <c r="E25" s="116">
        <v>9677.6</v>
      </c>
    </row>
    <row r="26" spans="1:5" ht="15" customHeight="1">
      <c r="A26" s="91" t="s">
        <v>51</v>
      </c>
      <c r="B26" s="92">
        <v>2025</v>
      </c>
      <c r="C26" s="93">
        <v>45689</v>
      </c>
      <c r="D26" s="91" t="s">
        <v>70</v>
      </c>
      <c r="E26" s="116">
        <v>1968.8</v>
      </c>
    </row>
    <row r="27" spans="1:5" ht="15" customHeight="1">
      <c r="A27" s="91" t="s">
        <v>51</v>
      </c>
      <c r="B27" s="92">
        <v>2025</v>
      </c>
      <c r="C27" s="93">
        <v>45689</v>
      </c>
      <c r="D27" s="91" t="s">
        <v>71</v>
      </c>
      <c r="E27" s="116">
        <v>37440.71</v>
      </c>
    </row>
    <row r="28" spans="1:5" ht="15" customHeight="1">
      <c r="A28" s="91" t="s">
        <v>51</v>
      </c>
      <c r="B28" s="92">
        <v>2025</v>
      </c>
      <c r="C28" s="93">
        <v>45689</v>
      </c>
      <c r="D28" s="91" t="s">
        <v>73</v>
      </c>
      <c r="E28" s="116">
        <v>633.01</v>
      </c>
    </row>
    <row r="29" spans="1:5" ht="15" customHeight="1">
      <c r="A29" s="91" t="s">
        <v>51</v>
      </c>
      <c r="B29" s="92">
        <v>2025</v>
      </c>
      <c r="C29" s="93">
        <v>45689</v>
      </c>
      <c r="D29" s="91" t="s">
        <v>74</v>
      </c>
      <c r="E29" s="116">
        <v>171.2</v>
      </c>
    </row>
    <row r="30" spans="1:5" ht="15" customHeight="1">
      <c r="A30" s="91" t="s">
        <v>51</v>
      </c>
      <c r="B30" s="92">
        <v>2025</v>
      </c>
      <c r="C30" s="93">
        <v>45717</v>
      </c>
      <c r="D30" s="91" t="s">
        <v>75</v>
      </c>
      <c r="E30" s="116">
        <v>360</v>
      </c>
    </row>
    <row r="31" spans="1:5" ht="15" customHeight="1">
      <c r="A31" s="91" t="s">
        <v>51</v>
      </c>
      <c r="B31" s="92">
        <v>2025</v>
      </c>
      <c r="C31" s="93">
        <v>45717</v>
      </c>
      <c r="D31" s="91" t="s">
        <v>58</v>
      </c>
      <c r="E31" s="116">
        <v>3416.71</v>
      </c>
    </row>
    <row r="32" spans="1:5" ht="15" customHeight="1">
      <c r="A32" s="91" t="s">
        <v>51</v>
      </c>
      <c r="B32" s="92">
        <v>2025</v>
      </c>
      <c r="C32" s="93">
        <v>45717</v>
      </c>
      <c r="D32" s="91" t="s">
        <v>57</v>
      </c>
      <c r="E32" s="116">
        <v>5675.5</v>
      </c>
    </row>
    <row r="33" spans="1:5" ht="15" customHeight="1">
      <c r="A33" s="91" t="s">
        <v>51</v>
      </c>
      <c r="B33" s="92">
        <v>2025</v>
      </c>
      <c r="C33" s="93">
        <v>45717</v>
      </c>
      <c r="D33" s="91" t="s">
        <v>60</v>
      </c>
      <c r="E33" s="116">
        <v>447.28</v>
      </c>
    </row>
    <row r="34" spans="1:5" ht="15" customHeight="1">
      <c r="A34" s="91" t="s">
        <v>51</v>
      </c>
      <c r="B34" s="92">
        <v>2025</v>
      </c>
      <c r="C34" s="93">
        <v>45717</v>
      </c>
      <c r="D34" s="91" t="s">
        <v>61</v>
      </c>
      <c r="E34" s="116">
        <v>1518</v>
      </c>
    </row>
    <row r="35" spans="1:5" ht="15" customHeight="1">
      <c r="A35" s="91" t="s">
        <v>51</v>
      </c>
      <c r="B35" s="92">
        <v>2025</v>
      </c>
      <c r="C35" s="93">
        <v>45717</v>
      </c>
      <c r="D35" s="91" t="s">
        <v>63</v>
      </c>
      <c r="E35" s="116">
        <v>84</v>
      </c>
    </row>
    <row r="36" spans="1:5" ht="15" customHeight="1">
      <c r="A36" s="91" t="s">
        <v>51</v>
      </c>
      <c r="B36" s="92">
        <v>2025</v>
      </c>
      <c r="C36" s="93">
        <v>45717</v>
      </c>
      <c r="D36" s="91" t="s">
        <v>65</v>
      </c>
      <c r="E36" s="116">
        <v>179.9</v>
      </c>
    </row>
    <row r="37" spans="1:5" ht="15" customHeight="1">
      <c r="A37" s="91" t="s">
        <v>51</v>
      </c>
      <c r="B37" s="92">
        <v>2025</v>
      </c>
      <c r="C37" s="93">
        <v>45717</v>
      </c>
      <c r="D37" s="91" t="s">
        <v>66</v>
      </c>
      <c r="E37" s="116">
        <v>185.7</v>
      </c>
    </row>
    <row r="38" spans="1:5" ht="15" customHeight="1">
      <c r="A38" s="91" t="s">
        <v>51</v>
      </c>
      <c r="B38" s="92">
        <v>2025</v>
      </c>
      <c r="C38" s="93">
        <v>45717</v>
      </c>
      <c r="D38" s="91" t="s">
        <v>68</v>
      </c>
      <c r="E38" s="116">
        <v>298.81</v>
      </c>
    </row>
    <row r="39" spans="1:5" ht="15" customHeight="1">
      <c r="A39" s="91" t="s">
        <v>51</v>
      </c>
      <c r="B39" s="92">
        <v>2025</v>
      </c>
      <c r="C39" s="93">
        <v>45717</v>
      </c>
      <c r="D39" s="91" t="s">
        <v>69</v>
      </c>
      <c r="E39" s="116">
        <v>8068.67</v>
      </c>
    </row>
    <row r="40" spans="1:5" ht="15" customHeight="1">
      <c r="A40" s="91" t="s">
        <v>51</v>
      </c>
      <c r="B40" s="92">
        <v>2025</v>
      </c>
      <c r="C40" s="93">
        <v>45717</v>
      </c>
      <c r="D40" s="91" t="s">
        <v>70</v>
      </c>
      <c r="E40" s="116">
        <v>753.84</v>
      </c>
    </row>
    <row r="41" spans="1:5" ht="15" customHeight="1">
      <c r="A41" s="91" t="s">
        <v>51</v>
      </c>
      <c r="B41" s="92">
        <v>2025</v>
      </c>
      <c r="C41" s="93">
        <v>45717</v>
      </c>
      <c r="D41" s="91" t="s">
        <v>71</v>
      </c>
      <c r="E41" s="116">
        <v>15264</v>
      </c>
    </row>
    <row r="42" spans="1:5" ht="15" customHeight="1">
      <c r="A42" s="91" t="s">
        <v>51</v>
      </c>
      <c r="B42" s="92">
        <v>2025</v>
      </c>
      <c r="C42" s="93">
        <v>45717</v>
      </c>
      <c r="D42" s="91" t="s">
        <v>72</v>
      </c>
      <c r="E42" s="116">
        <v>209.95</v>
      </c>
    </row>
    <row r="43" spans="1:5" ht="15" customHeight="1">
      <c r="A43" s="91" t="s">
        <v>51</v>
      </c>
      <c r="B43" s="92">
        <v>2025</v>
      </c>
      <c r="C43" s="93">
        <v>45717</v>
      </c>
      <c r="D43" s="91" t="s">
        <v>73</v>
      </c>
      <c r="E43" s="116">
        <v>633.01</v>
      </c>
    </row>
    <row r="44" spans="1:5" ht="15" customHeight="1">
      <c r="A44" s="91" t="s">
        <v>51</v>
      </c>
      <c r="B44" s="92">
        <v>2025</v>
      </c>
      <c r="C44" s="93">
        <v>45717</v>
      </c>
      <c r="D44" s="91" t="s">
        <v>74</v>
      </c>
      <c r="E44" s="116">
        <v>174.9</v>
      </c>
    </row>
    <row r="45" spans="1:5" ht="15" customHeight="1">
      <c r="A45" s="91" t="s">
        <v>51</v>
      </c>
      <c r="B45" s="92">
        <v>2025</v>
      </c>
      <c r="C45" s="93">
        <v>45748</v>
      </c>
      <c r="D45" s="91" t="s">
        <v>59</v>
      </c>
      <c r="E45" s="116">
        <v>48613.88</v>
      </c>
    </row>
    <row r="46" spans="1:5" ht="15" customHeight="1">
      <c r="A46" s="91" t="s">
        <v>51</v>
      </c>
      <c r="B46" s="92">
        <v>2025</v>
      </c>
      <c r="C46" s="93">
        <v>45748</v>
      </c>
      <c r="D46" s="91" t="s">
        <v>76</v>
      </c>
      <c r="E46" s="116">
        <v>891.96</v>
      </c>
    </row>
    <row r="47" spans="1:5" ht="15" customHeight="1">
      <c r="A47" s="91" t="s">
        <v>51</v>
      </c>
      <c r="B47" s="92">
        <v>2025</v>
      </c>
      <c r="C47" s="93">
        <v>45748</v>
      </c>
      <c r="D47" s="91" t="s">
        <v>60</v>
      </c>
      <c r="E47" s="116">
        <v>151.88</v>
      </c>
    </row>
    <row r="48" spans="1:5" ht="15" customHeight="1">
      <c r="A48" s="91" t="s">
        <v>51</v>
      </c>
      <c r="B48" s="92">
        <v>2025</v>
      </c>
      <c r="C48" s="93">
        <v>45748</v>
      </c>
      <c r="D48" s="91" t="s">
        <v>61</v>
      </c>
      <c r="E48" s="116">
        <v>1518</v>
      </c>
    </row>
    <row r="49" spans="1:5" ht="15" customHeight="1">
      <c r="A49" s="91" t="s">
        <v>51</v>
      </c>
      <c r="B49" s="92">
        <v>2025</v>
      </c>
      <c r="C49" s="93">
        <v>45748</v>
      </c>
      <c r="D49" s="91" t="s">
        <v>63</v>
      </c>
      <c r="E49" s="116">
        <v>84</v>
      </c>
    </row>
    <row r="50" spans="1:5" ht="15" customHeight="1">
      <c r="A50" s="91" t="s">
        <v>51</v>
      </c>
      <c r="B50" s="92">
        <v>2025</v>
      </c>
      <c r="C50" s="93">
        <v>45748</v>
      </c>
      <c r="D50" s="91" t="s">
        <v>64</v>
      </c>
      <c r="E50" s="116">
        <v>872.73</v>
      </c>
    </row>
    <row r="51" spans="1:5" ht="15" customHeight="1">
      <c r="A51" s="91" t="s">
        <v>51</v>
      </c>
      <c r="B51" s="92">
        <v>2025</v>
      </c>
      <c r="C51" s="93">
        <v>45748</v>
      </c>
      <c r="D51" s="91" t="s">
        <v>65</v>
      </c>
      <c r="E51" s="116">
        <v>179.9</v>
      </c>
    </row>
    <row r="52" spans="1:5" ht="15" customHeight="1">
      <c r="A52" s="91" t="s">
        <v>51</v>
      </c>
      <c r="B52" s="92">
        <v>2025</v>
      </c>
      <c r="C52" s="93">
        <v>45748</v>
      </c>
      <c r="D52" s="91" t="s">
        <v>66</v>
      </c>
      <c r="E52" s="116">
        <v>587.78</v>
      </c>
    </row>
    <row r="53" spans="1:5" ht="15" customHeight="1">
      <c r="A53" s="91" t="s">
        <v>51</v>
      </c>
      <c r="B53" s="92">
        <v>2025</v>
      </c>
      <c r="C53" s="93">
        <v>45748</v>
      </c>
      <c r="D53" s="91" t="s">
        <v>67</v>
      </c>
      <c r="E53" s="116">
        <v>125584.65</v>
      </c>
    </row>
    <row r="54" spans="1:5" ht="15" customHeight="1">
      <c r="A54" s="91" t="s">
        <v>51</v>
      </c>
      <c r="B54" s="92">
        <v>2025</v>
      </c>
      <c r="C54" s="93">
        <v>45748</v>
      </c>
      <c r="D54" s="91" t="s">
        <v>68</v>
      </c>
      <c r="E54" s="116">
        <v>1802.05</v>
      </c>
    </row>
    <row r="55" spans="1:5" ht="15" customHeight="1">
      <c r="A55" s="91" t="s">
        <v>51</v>
      </c>
      <c r="B55" s="92">
        <v>2025</v>
      </c>
      <c r="C55" s="93">
        <v>45748</v>
      </c>
      <c r="D55" s="91" t="s">
        <v>166</v>
      </c>
      <c r="E55" s="116">
        <v>8599.5</v>
      </c>
    </row>
    <row r="56" spans="1:5" ht="15" customHeight="1">
      <c r="A56" s="91" t="s">
        <v>51</v>
      </c>
      <c r="B56" s="92">
        <v>2025</v>
      </c>
      <c r="C56" s="93">
        <v>45748</v>
      </c>
      <c r="D56" s="91" t="s">
        <v>69</v>
      </c>
      <c r="E56" s="116">
        <v>8188.74</v>
      </c>
    </row>
    <row r="57" spans="1:5" ht="15" customHeight="1">
      <c r="A57" s="91" t="s">
        <v>51</v>
      </c>
      <c r="B57" s="92">
        <v>2025</v>
      </c>
      <c r="C57" s="93">
        <v>45748</v>
      </c>
      <c r="D57" s="91" t="s">
        <v>78</v>
      </c>
      <c r="E57" s="116">
        <v>12.05</v>
      </c>
    </row>
    <row r="58" spans="1:5" ht="15" customHeight="1">
      <c r="A58" s="91" t="s">
        <v>51</v>
      </c>
      <c r="B58" s="92">
        <v>2025</v>
      </c>
      <c r="C58" s="93">
        <v>45748</v>
      </c>
      <c r="D58" s="91" t="s">
        <v>70</v>
      </c>
      <c r="E58" s="116">
        <v>210</v>
      </c>
    </row>
    <row r="59" spans="1:5" ht="15" customHeight="1">
      <c r="A59" s="91" t="s">
        <v>51</v>
      </c>
      <c r="B59" s="92">
        <v>2025</v>
      </c>
      <c r="C59" s="93">
        <v>45748</v>
      </c>
      <c r="D59" s="91" t="s">
        <v>71</v>
      </c>
      <c r="E59" s="116">
        <v>66314</v>
      </c>
    </row>
    <row r="60" spans="1:5" ht="15" customHeight="1">
      <c r="A60" s="91" t="s">
        <v>51</v>
      </c>
      <c r="B60" s="92">
        <v>2025</v>
      </c>
      <c r="C60" s="93">
        <v>45748</v>
      </c>
      <c r="D60" s="91" t="s">
        <v>77</v>
      </c>
      <c r="E60" s="116">
        <v>3375</v>
      </c>
    </row>
    <row r="61" spans="1:5" ht="15" customHeight="1">
      <c r="A61" s="91" t="s">
        <v>51</v>
      </c>
      <c r="B61" s="92">
        <v>2025</v>
      </c>
      <c r="C61" s="93">
        <v>45748</v>
      </c>
      <c r="D61" s="91" t="s">
        <v>73</v>
      </c>
      <c r="E61" s="116">
        <v>633.01</v>
      </c>
    </row>
    <row r="62" spans="1:5" ht="15" customHeight="1">
      <c r="A62" s="91" t="s">
        <v>51</v>
      </c>
      <c r="B62" s="92">
        <v>2025</v>
      </c>
      <c r="C62" s="93">
        <v>45748</v>
      </c>
      <c r="D62" s="91" t="s">
        <v>74</v>
      </c>
      <c r="E62" s="116">
        <v>294.89999999999998</v>
      </c>
    </row>
    <row r="63" spans="1:5" ht="15" customHeight="1">
      <c r="A63" s="91" t="s">
        <v>51</v>
      </c>
      <c r="B63" s="92">
        <v>2025</v>
      </c>
      <c r="C63" s="93">
        <v>45778</v>
      </c>
      <c r="D63" s="91" t="s">
        <v>75</v>
      </c>
      <c r="E63" s="116">
        <v>377</v>
      </c>
    </row>
    <row r="64" spans="1:5" ht="15" customHeight="1">
      <c r="A64" s="91" t="s">
        <v>51</v>
      </c>
      <c r="B64" s="92">
        <v>2025</v>
      </c>
      <c r="C64" s="93">
        <v>45778</v>
      </c>
      <c r="D64" s="91" t="s">
        <v>58</v>
      </c>
      <c r="E64" s="116">
        <v>5156.79</v>
      </c>
    </row>
    <row r="65" spans="1:5" ht="15" customHeight="1">
      <c r="A65" s="91" t="s">
        <v>51</v>
      </c>
      <c r="B65" s="92">
        <v>2025</v>
      </c>
      <c r="C65" s="93">
        <v>45778</v>
      </c>
      <c r="D65" s="91" t="s">
        <v>76</v>
      </c>
      <c r="E65" s="116">
        <v>412.95</v>
      </c>
    </row>
    <row r="66" spans="1:5" ht="15" customHeight="1">
      <c r="A66" s="91" t="s">
        <v>51</v>
      </c>
      <c r="B66" s="92">
        <v>2025</v>
      </c>
      <c r="C66" s="93">
        <v>45778</v>
      </c>
      <c r="D66" s="91" t="s">
        <v>57</v>
      </c>
      <c r="E66" s="116">
        <v>9720</v>
      </c>
    </row>
    <row r="67" spans="1:5" ht="15" customHeight="1">
      <c r="A67" s="91" t="s">
        <v>51</v>
      </c>
      <c r="B67" s="92">
        <v>2025</v>
      </c>
      <c r="C67" s="93">
        <v>45778</v>
      </c>
      <c r="D67" s="91" t="s">
        <v>60</v>
      </c>
      <c r="E67" s="116">
        <v>103.67</v>
      </c>
    </row>
    <row r="68" spans="1:5" ht="15" customHeight="1">
      <c r="A68" s="91" t="s">
        <v>51</v>
      </c>
      <c r="B68" s="92">
        <v>2025</v>
      </c>
      <c r="C68" s="93">
        <v>45778</v>
      </c>
      <c r="D68" s="91" t="s">
        <v>61</v>
      </c>
      <c r="E68" s="116">
        <v>2198</v>
      </c>
    </row>
    <row r="69" spans="1:5" ht="15" customHeight="1">
      <c r="A69" s="91" t="s">
        <v>51</v>
      </c>
      <c r="B69" s="92">
        <v>2025</v>
      </c>
      <c r="C69" s="93">
        <v>45778</v>
      </c>
      <c r="D69" s="91" t="s">
        <v>62</v>
      </c>
      <c r="E69" s="116">
        <v>394</v>
      </c>
    </row>
    <row r="70" spans="1:5" ht="15" customHeight="1">
      <c r="A70" s="91" t="s">
        <v>51</v>
      </c>
      <c r="B70" s="92">
        <v>2025</v>
      </c>
      <c r="C70" s="93">
        <v>45778</v>
      </c>
      <c r="D70" s="91" t="s">
        <v>63</v>
      </c>
      <c r="E70" s="116">
        <v>84</v>
      </c>
    </row>
    <row r="71" spans="1:5" ht="15" customHeight="1">
      <c r="A71" s="91" t="s">
        <v>51</v>
      </c>
      <c r="B71" s="92">
        <v>2025</v>
      </c>
      <c r="C71" s="93">
        <v>45778</v>
      </c>
      <c r="D71" s="91" t="s">
        <v>64</v>
      </c>
      <c r="E71" s="116">
        <v>805.95</v>
      </c>
    </row>
    <row r="72" spans="1:5" ht="15" customHeight="1">
      <c r="A72" s="91" t="s">
        <v>51</v>
      </c>
      <c r="B72" s="92">
        <v>2025</v>
      </c>
      <c r="C72" s="93">
        <v>45778</v>
      </c>
      <c r="D72" s="91" t="s">
        <v>65</v>
      </c>
      <c r="E72" s="116">
        <v>179.9</v>
      </c>
    </row>
    <row r="73" spans="1:5" ht="15" customHeight="1">
      <c r="A73" s="91" t="s">
        <v>51</v>
      </c>
      <c r="B73" s="92">
        <v>2025</v>
      </c>
      <c r="C73" s="93">
        <v>45778</v>
      </c>
      <c r="D73" s="91" t="s">
        <v>66</v>
      </c>
      <c r="E73" s="116">
        <v>9088.23</v>
      </c>
    </row>
    <row r="74" spans="1:5" ht="15" customHeight="1">
      <c r="A74" s="91" t="s">
        <v>51</v>
      </c>
      <c r="B74" s="92">
        <v>2025</v>
      </c>
      <c r="C74" s="93">
        <v>45778</v>
      </c>
      <c r="D74" s="91" t="s">
        <v>68</v>
      </c>
      <c r="E74" s="116">
        <v>6266.8</v>
      </c>
    </row>
    <row r="75" spans="1:5" ht="15" customHeight="1">
      <c r="A75" s="91" t="s">
        <v>51</v>
      </c>
      <c r="B75" s="92">
        <v>2025</v>
      </c>
      <c r="C75" s="93">
        <v>45778</v>
      </c>
      <c r="D75" s="91" t="s">
        <v>69</v>
      </c>
      <c r="E75" s="116">
        <v>7204.17</v>
      </c>
    </row>
    <row r="76" spans="1:5" ht="15" customHeight="1">
      <c r="A76" s="91" t="s">
        <v>51</v>
      </c>
      <c r="B76" s="92">
        <v>2025</v>
      </c>
      <c r="C76" s="93">
        <v>45778</v>
      </c>
      <c r="D76" s="91" t="s">
        <v>70</v>
      </c>
      <c r="E76" s="116">
        <v>24</v>
      </c>
    </row>
    <row r="77" spans="1:5" ht="15" customHeight="1">
      <c r="A77" s="91" t="s">
        <v>51</v>
      </c>
      <c r="B77" s="92">
        <v>2025</v>
      </c>
      <c r="C77" s="93">
        <v>45778</v>
      </c>
      <c r="D77" s="91" t="s">
        <v>71</v>
      </c>
      <c r="E77" s="116">
        <v>5314</v>
      </c>
    </row>
    <row r="78" spans="1:5" ht="15" customHeight="1">
      <c r="A78" s="91" t="s">
        <v>51</v>
      </c>
      <c r="B78" s="92">
        <v>2025</v>
      </c>
      <c r="C78" s="93">
        <v>45778</v>
      </c>
      <c r="D78" s="91" t="s">
        <v>72</v>
      </c>
      <c r="E78" s="116">
        <v>909.99</v>
      </c>
    </row>
    <row r="79" spans="1:5" ht="15" customHeight="1">
      <c r="A79" s="91" t="s">
        <v>51</v>
      </c>
      <c r="B79" s="92">
        <v>2025</v>
      </c>
      <c r="C79" s="93">
        <v>45778</v>
      </c>
      <c r="D79" s="91" t="s">
        <v>73</v>
      </c>
      <c r="E79" s="116">
        <v>633.01</v>
      </c>
    </row>
    <row r="80" spans="1:5" ht="15" customHeight="1">
      <c r="A80" s="91" t="s">
        <v>51</v>
      </c>
      <c r="B80" s="92">
        <v>2025</v>
      </c>
      <c r="C80" s="93">
        <v>45778</v>
      </c>
      <c r="D80" s="91" t="s">
        <v>74</v>
      </c>
      <c r="E80" s="116">
        <v>380.9</v>
      </c>
    </row>
    <row r="81" spans="1:5" ht="15" customHeight="1">
      <c r="A81" s="91" t="s">
        <v>51</v>
      </c>
      <c r="B81" s="92">
        <v>2025</v>
      </c>
      <c r="C81" s="93">
        <v>45809</v>
      </c>
      <c r="D81" s="91" t="s">
        <v>58</v>
      </c>
      <c r="E81" s="116">
        <v>3450.94</v>
      </c>
    </row>
    <row r="82" spans="1:5" ht="15" customHeight="1">
      <c r="A82" s="91" t="s">
        <v>51</v>
      </c>
      <c r="B82" s="92">
        <v>2025</v>
      </c>
      <c r="C82" s="93">
        <v>45809</v>
      </c>
      <c r="D82" s="91" t="s">
        <v>57</v>
      </c>
      <c r="E82" s="116">
        <v>987.75</v>
      </c>
    </row>
    <row r="83" spans="1:5" ht="15" customHeight="1">
      <c r="A83" s="91" t="s">
        <v>51</v>
      </c>
      <c r="B83" s="92">
        <v>2025</v>
      </c>
      <c r="C83" s="93">
        <v>45809</v>
      </c>
      <c r="D83" s="91" t="s">
        <v>60</v>
      </c>
      <c r="E83" s="116">
        <v>56.18</v>
      </c>
    </row>
    <row r="84" spans="1:5" ht="15" customHeight="1">
      <c r="A84" s="91" t="s">
        <v>51</v>
      </c>
      <c r="B84" s="92">
        <v>2025</v>
      </c>
      <c r="C84" s="93">
        <v>45809</v>
      </c>
      <c r="D84" s="91" t="s">
        <v>61</v>
      </c>
      <c r="E84" s="116">
        <v>1518</v>
      </c>
    </row>
    <row r="85" spans="1:5" ht="15" customHeight="1">
      <c r="A85" s="91" t="s">
        <v>51</v>
      </c>
      <c r="B85" s="92">
        <v>2025</v>
      </c>
      <c r="C85" s="93">
        <v>45809</v>
      </c>
      <c r="D85" s="91" t="s">
        <v>63</v>
      </c>
      <c r="E85" s="116">
        <v>209</v>
      </c>
    </row>
    <row r="86" spans="1:5" ht="15" customHeight="1">
      <c r="A86" s="91" t="s">
        <v>51</v>
      </c>
      <c r="B86" s="92">
        <v>2025</v>
      </c>
      <c r="C86" s="93">
        <v>45809</v>
      </c>
      <c r="D86" s="91" t="s">
        <v>64</v>
      </c>
      <c r="E86" s="116">
        <v>805.95</v>
      </c>
    </row>
    <row r="87" spans="1:5" ht="15" customHeight="1">
      <c r="A87" s="91" t="s">
        <v>51</v>
      </c>
      <c r="B87" s="92">
        <v>2025</v>
      </c>
      <c r="C87" s="93">
        <v>45809</v>
      </c>
      <c r="D87" s="91" t="s">
        <v>65</v>
      </c>
      <c r="E87" s="116">
        <v>179.9</v>
      </c>
    </row>
    <row r="88" spans="1:5" ht="15" customHeight="1">
      <c r="A88" s="91" t="s">
        <v>51</v>
      </c>
      <c r="B88" s="92">
        <v>2025</v>
      </c>
      <c r="C88" s="93">
        <v>45809</v>
      </c>
      <c r="D88" s="91" t="s">
        <v>66</v>
      </c>
      <c r="E88" s="116">
        <v>124.55</v>
      </c>
    </row>
    <row r="89" spans="1:5" ht="15" customHeight="1">
      <c r="A89" s="91" t="s">
        <v>51</v>
      </c>
      <c r="B89" s="92">
        <v>2025</v>
      </c>
      <c r="C89" s="93">
        <v>45809</v>
      </c>
      <c r="D89" s="91" t="s">
        <v>68</v>
      </c>
      <c r="E89" s="116">
        <v>1688.44</v>
      </c>
    </row>
    <row r="90" spans="1:5" ht="15" customHeight="1">
      <c r="A90" s="91" t="s">
        <v>51</v>
      </c>
      <c r="B90" s="92">
        <v>2025</v>
      </c>
      <c r="C90" s="93">
        <v>45809</v>
      </c>
      <c r="D90" s="91" t="s">
        <v>69</v>
      </c>
      <c r="E90" s="116">
        <v>6834.65</v>
      </c>
    </row>
    <row r="91" spans="1:5" ht="15" customHeight="1">
      <c r="A91" s="91" t="s">
        <v>51</v>
      </c>
      <c r="B91" s="92">
        <v>2025</v>
      </c>
      <c r="C91" s="93">
        <v>45809</v>
      </c>
      <c r="D91" s="91" t="s">
        <v>180</v>
      </c>
      <c r="E91" s="116">
        <v>3303.92</v>
      </c>
    </row>
    <row r="92" spans="1:5" ht="15" customHeight="1">
      <c r="A92" s="91" t="s">
        <v>51</v>
      </c>
      <c r="B92" s="92">
        <v>2025</v>
      </c>
      <c r="C92" s="93">
        <v>45809</v>
      </c>
      <c r="D92" s="91" t="s">
        <v>71</v>
      </c>
      <c r="E92" s="116">
        <v>13028</v>
      </c>
    </row>
    <row r="93" spans="1:5" ht="15" customHeight="1">
      <c r="A93" s="91" t="s">
        <v>51</v>
      </c>
      <c r="B93" s="92">
        <v>2025</v>
      </c>
      <c r="C93" s="93">
        <v>45809</v>
      </c>
      <c r="D93" s="91" t="s">
        <v>72</v>
      </c>
      <c r="E93" s="116">
        <v>1072.04</v>
      </c>
    </row>
    <row r="94" spans="1:5" ht="15" customHeight="1">
      <c r="A94" s="91" t="s">
        <v>51</v>
      </c>
      <c r="B94" s="92">
        <v>2025</v>
      </c>
      <c r="C94" s="93">
        <v>45809</v>
      </c>
      <c r="D94" s="91" t="s">
        <v>73</v>
      </c>
      <c r="E94" s="116">
        <v>633.01</v>
      </c>
    </row>
    <row r="95" spans="1:5" ht="15" customHeight="1">
      <c r="A95" s="91" t="s">
        <v>51</v>
      </c>
      <c r="B95" s="92">
        <v>2025</v>
      </c>
      <c r="C95" s="93">
        <v>45809</v>
      </c>
      <c r="D95" s="91" t="s">
        <v>74</v>
      </c>
      <c r="E95" s="116">
        <v>181</v>
      </c>
    </row>
    <row r="96" spans="1:5" ht="15" customHeight="1">
      <c r="A96" s="91" t="s">
        <v>51</v>
      </c>
      <c r="B96" s="92">
        <v>2025</v>
      </c>
      <c r="C96" s="93">
        <v>45839</v>
      </c>
      <c r="D96" s="91" t="s">
        <v>58</v>
      </c>
      <c r="E96" s="116">
        <v>2826.23</v>
      </c>
    </row>
    <row r="97" spans="1:5" ht="15" customHeight="1">
      <c r="A97" s="91" t="s">
        <v>51</v>
      </c>
      <c r="B97" s="92">
        <v>2025</v>
      </c>
      <c r="C97" s="93">
        <v>45839</v>
      </c>
      <c r="D97" s="91" t="s">
        <v>181</v>
      </c>
      <c r="E97" s="116">
        <v>194467.98</v>
      </c>
    </row>
    <row r="98" spans="1:5" ht="15" customHeight="1">
      <c r="A98" s="91" t="s">
        <v>51</v>
      </c>
      <c r="B98" s="92">
        <v>2025</v>
      </c>
      <c r="C98" s="93">
        <v>45839</v>
      </c>
      <c r="D98" s="91" t="s">
        <v>59</v>
      </c>
      <c r="E98" s="116">
        <v>25996.84</v>
      </c>
    </row>
    <row r="99" spans="1:5" ht="15" customHeight="1">
      <c r="A99" s="91" t="s">
        <v>51</v>
      </c>
      <c r="B99" s="92">
        <v>2025</v>
      </c>
      <c r="C99" s="93">
        <v>45839</v>
      </c>
      <c r="D99" s="91" t="s">
        <v>57</v>
      </c>
      <c r="E99" s="116">
        <v>1739.25</v>
      </c>
    </row>
    <row r="100" spans="1:5" ht="15" customHeight="1">
      <c r="A100" s="91" t="s">
        <v>51</v>
      </c>
      <c r="B100" s="92">
        <v>2025</v>
      </c>
      <c r="C100" s="93">
        <v>45839</v>
      </c>
      <c r="D100" s="91" t="s">
        <v>60</v>
      </c>
      <c r="E100" s="116">
        <v>87.37</v>
      </c>
    </row>
    <row r="101" spans="1:5" ht="15" customHeight="1">
      <c r="A101" s="91" t="s">
        <v>51</v>
      </c>
      <c r="B101" s="92">
        <v>2025</v>
      </c>
      <c r="C101" s="93">
        <v>45839</v>
      </c>
      <c r="D101" s="91" t="s">
        <v>182</v>
      </c>
      <c r="E101" s="116">
        <v>187.56</v>
      </c>
    </row>
    <row r="102" spans="1:5" ht="15" customHeight="1">
      <c r="A102" s="91" t="s">
        <v>51</v>
      </c>
      <c r="B102" s="92">
        <v>2025</v>
      </c>
      <c r="C102" s="93">
        <v>45839</v>
      </c>
      <c r="D102" s="91" t="s">
        <v>61</v>
      </c>
      <c r="E102" s="116">
        <v>1518</v>
      </c>
    </row>
    <row r="103" spans="1:5" ht="15" customHeight="1">
      <c r="A103" s="91" t="s">
        <v>51</v>
      </c>
      <c r="B103" s="92">
        <v>2025</v>
      </c>
      <c r="C103" s="93">
        <v>45839</v>
      </c>
      <c r="D103" s="91" t="s">
        <v>62</v>
      </c>
      <c r="E103" s="116">
        <v>871</v>
      </c>
    </row>
    <row r="104" spans="1:5" ht="15" customHeight="1">
      <c r="A104" s="91" t="s">
        <v>51</v>
      </c>
      <c r="B104" s="92">
        <v>2025</v>
      </c>
      <c r="C104" s="93">
        <v>45839</v>
      </c>
      <c r="D104" s="91" t="s">
        <v>63</v>
      </c>
      <c r="E104" s="116">
        <v>209</v>
      </c>
    </row>
    <row r="105" spans="1:5" ht="15" customHeight="1">
      <c r="A105" s="91" t="s">
        <v>51</v>
      </c>
      <c r="B105" s="92">
        <v>2025</v>
      </c>
      <c r="C105" s="93">
        <v>45839</v>
      </c>
      <c r="D105" s="91" t="s">
        <v>64</v>
      </c>
      <c r="E105" s="116">
        <v>805.99</v>
      </c>
    </row>
    <row r="106" spans="1:5" ht="15" customHeight="1">
      <c r="A106" s="91" t="s">
        <v>51</v>
      </c>
      <c r="B106" s="92">
        <v>2025</v>
      </c>
      <c r="C106" s="93">
        <v>45839</v>
      </c>
      <c r="D106" s="91" t="s">
        <v>65</v>
      </c>
      <c r="E106" s="116">
        <v>179.9</v>
      </c>
    </row>
    <row r="107" spans="1:5" ht="15" customHeight="1">
      <c r="A107" s="91" t="s">
        <v>51</v>
      </c>
      <c r="B107" s="92">
        <v>2025</v>
      </c>
      <c r="C107" s="93">
        <v>45839</v>
      </c>
      <c r="D107" s="91" t="s">
        <v>66</v>
      </c>
      <c r="E107" s="116">
        <v>14.08</v>
      </c>
    </row>
    <row r="108" spans="1:5" ht="15" customHeight="1">
      <c r="A108" s="91" t="s">
        <v>51</v>
      </c>
      <c r="B108" s="92">
        <v>2025</v>
      </c>
      <c r="C108" s="93">
        <v>45839</v>
      </c>
      <c r="D108" s="91" t="s">
        <v>67</v>
      </c>
      <c r="E108" s="116">
        <v>136907.74</v>
      </c>
    </row>
    <row r="109" spans="1:5" ht="15" customHeight="1">
      <c r="A109" s="91" t="s">
        <v>51</v>
      </c>
      <c r="B109" s="92">
        <v>2025</v>
      </c>
      <c r="C109" s="93">
        <v>45839</v>
      </c>
      <c r="D109" s="91" t="s">
        <v>68</v>
      </c>
      <c r="E109" s="116">
        <v>14552.05</v>
      </c>
    </row>
    <row r="110" spans="1:5" ht="15" customHeight="1">
      <c r="A110" s="91" t="s">
        <v>51</v>
      </c>
      <c r="B110" s="92">
        <v>2025</v>
      </c>
      <c r="C110" s="93">
        <v>45839</v>
      </c>
      <c r="D110" s="91" t="s">
        <v>69</v>
      </c>
      <c r="E110" s="116">
        <v>5944.39</v>
      </c>
    </row>
    <row r="111" spans="1:5" ht="15" customHeight="1">
      <c r="A111" s="91" t="s">
        <v>51</v>
      </c>
      <c r="B111" s="92">
        <v>2025</v>
      </c>
      <c r="C111" s="93">
        <v>45839</v>
      </c>
      <c r="D111" s="91" t="s">
        <v>78</v>
      </c>
      <c r="E111" s="116">
        <v>0.09</v>
      </c>
    </row>
    <row r="112" spans="1:5" ht="15" customHeight="1">
      <c r="A112" s="91" t="s">
        <v>51</v>
      </c>
      <c r="B112" s="92">
        <v>2025</v>
      </c>
      <c r="C112" s="93">
        <v>45839</v>
      </c>
      <c r="D112" s="91" t="s">
        <v>180</v>
      </c>
      <c r="E112" s="116">
        <v>9016.4</v>
      </c>
    </row>
    <row r="113" spans="1:5" ht="15" customHeight="1">
      <c r="A113" s="91" t="s">
        <v>51</v>
      </c>
      <c r="B113" s="92">
        <v>2025</v>
      </c>
      <c r="C113" s="93">
        <v>45839</v>
      </c>
      <c r="D113" s="91" t="s">
        <v>71</v>
      </c>
      <c r="E113" s="116">
        <v>8314</v>
      </c>
    </row>
    <row r="114" spans="1:5" ht="15" customHeight="1">
      <c r="A114" s="91" t="s">
        <v>51</v>
      </c>
      <c r="B114" s="92">
        <v>2025</v>
      </c>
      <c r="C114" s="93">
        <v>45839</v>
      </c>
      <c r="D114" s="91" t="s">
        <v>72</v>
      </c>
      <c r="E114" s="116">
        <v>1283.68</v>
      </c>
    </row>
    <row r="115" spans="1:5" ht="15" customHeight="1">
      <c r="A115" s="91" t="s">
        <v>51</v>
      </c>
      <c r="B115" s="92">
        <v>2025</v>
      </c>
      <c r="C115" s="93">
        <v>45839</v>
      </c>
      <c r="D115" s="91" t="s">
        <v>73</v>
      </c>
      <c r="E115" s="116">
        <v>633.01</v>
      </c>
    </row>
    <row r="116" spans="1:5" ht="15" customHeight="1">
      <c r="A116" s="91" t="s">
        <v>51</v>
      </c>
      <c r="B116" s="92">
        <v>2025</v>
      </c>
      <c r="C116" s="93">
        <v>45839</v>
      </c>
      <c r="D116" s="91" t="s">
        <v>74</v>
      </c>
      <c r="E116" s="116">
        <v>95</v>
      </c>
    </row>
    <row r="117" spans="1:5" ht="15" customHeight="1">
      <c r="A117" s="91" t="s">
        <v>51</v>
      </c>
      <c r="B117" s="92">
        <v>2025</v>
      </c>
      <c r="C117" s="93">
        <v>45870</v>
      </c>
      <c r="D117" s="91" t="s">
        <v>191</v>
      </c>
      <c r="E117" s="116">
        <v>390</v>
      </c>
    </row>
    <row r="118" spans="1:5" ht="15" customHeight="1">
      <c r="A118" s="91" t="s">
        <v>51</v>
      </c>
      <c r="B118" s="92">
        <v>2025</v>
      </c>
      <c r="C118" s="93">
        <v>45870</v>
      </c>
      <c r="D118" s="91" t="s">
        <v>192</v>
      </c>
      <c r="E118" s="116">
        <v>146374.68</v>
      </c>
    </row>
    <row r="119" spans="1:5" ht="15" customHeight="1">
      <c r="A119" s="91" t="s">
        <v>51</v>
      </c>
      <c r="B119" s="92">
        <v>2025</v>
      </c>
      <c r="C119" s="93">
        <v>45870</v>
      </c>
      <c r="D119" s="91" t="s">
        <v>60</v>
      </c>
      <c r="E119" s="116">
        <v>86.19</v>
      </c>
    </row>
    <row r="120" spans="1:5" ht="15" customHeight="1">
      <c r="A120" s="91" t="s">
        <v>51</v>
      </c>
      <c r="B120" s="92">
        <v>2025</v>
      </c>
      <c r="C120" s="93">
        <v>45870</v>
      </c>
      <c r="D120" s="91" t="s">
        <v>193</v>
      </c>
      <c r="E120" s="116">
        <v>7500</v>
      </c>
    </row>
    <row r="121" spans="1:5" ht="15" customHeight="1">
      <c r="A121" s="91" t="s">
        <v>51</v>
      </c>
      <c r="B121" s="92">
        <v>2025</v>
      </c>
      <c r="C121" s="93">
        <v>45870</v>
      </c>
      <c r="D121" s="91" t="s">
        <v>61</v>
      </c>
      <c r="E121" s="116">
        <v>1518</v>
      </c>
    </row>
    <row r="122" spans="1:5" ht="15" customHeight="1">
      <c r="A122" s="91" t="s">
        <v>51</v>
      </c>
      <c r="B122" s="92">
        <v>2025</v>
      </c>
      <c r="C122" s="93">
        <v>45870</v>
      </c>
      <c r="D122" s="91" t="s">
        <v>63</v>
      </c>
      <c r="E122" s="116">
        <v>219.37</v>
      </c>
    </row>
    <row r="123" spans="1:5" ht="15" customHeight="1">
      <c r="A123" s="91" t="s">
        <v>51</v>
      </c>
      <c r="B123" s="92">
        <v>2025</v>
      </c>
      <c r="C123" s="93">
        <v>45870</v>
      </c>
      <c r="D123" s="91" t="s">
        <v>64</v>
      </c>
      <c r="E123" s="116">
        <v>806</v>
      </c>
    </row>
    <row r="124" spans="1:5" ht="15" customHeight="1">
      <c r="A124" s="91" t="s">
        <v>51</v>
      </c>
      <c r="B124" s="92">
        <v>2025</v>
      </c>
      <c r="C124" s="93">
        <v>45870</v>
      </c>
      <c r="D124" s="91" t="s">
        <v>65</v>
      </c>
      <c r="E124" s="116">
        <v>179.9</v>
      </c>
    </row>
    <row r="125" spans="1:5" ht="15" customHeight="1">
      <c r="A125" s="91" t="s">
        <v>51</v>
      </c>
      <c r="B125" s="92">
        <v>2025</v>
      </c>
      <c r="C125" s="93">
        <v>45870</v>
      </c>
      <c r="D125" s="91" t="s">
        <v>66</v>
      </c>
      <c r="E125" s="116">
        <v>101.76</v>
      </c>
    </row>
    <row r="126" spans="1:5" ht="15" customHeight="1">
      <c r="A126" s="91" t="s">
        <v>51</v>
      </c>
      <c r="B126" s="92">
        <v>2025</v>
      </c>
      <c r="C126" s="93">
        <v>45870</v>
      </c>
      <c r="D126" s="91" t="s">
        <v>67</v>
      </c>
      <c r="E126" s="116">
        <v>1643.66</v>
      </c>
    </row>
    <row r="127" spans="1:5" ht="15" customHeight="1">
      <c r="A127" s="91" t="s">
        <v>51</v>
      </c>
      <c r="B127" s="92">
        <v>2025</v>
      </c>
      <c r="C127" s="93">
        <v>45870</v>
      </c>
      <c r="D127" s="91" t="s">
        <v>68</v>
      </c>
      <c r="E127" s="116">
        <v>2965.84</v>
      </c>
    </row>
    <row r="128" spans="1:5" ht="15" customHeight="1">
      <c r="A128" s="91" t="s">
        <v>51</v>
      </c>
      <c r="B128" s="92">
        <v>2025</v>
      </c>
      <c r="C128" s="93">
        <v>45870</v>
      </c>
      <c r="D128" s="91" t="s">
        <v>69</v>
      </c>
      <c r="E128" s="116">
        <v>5389.8</v>
      </c>
    </row>
    <row r="129" spans="1:5" ht="15" customHeight="1">
      <c r="A129" s="91" t="s">
        <v>51</v>
      </c>
      <c r="B129" s="92">
        <v>2025</v>
      </c>
      <c r="C129" s="93">
        <v>45870</v>
      </c>
      <c r="D129" s="91" t="s">
        <v>78</v>
      </c>
      <c r="E129" s="116">
        <v>0.04</v>
      </c>
    </row>
    <row r="130" spans="1:5" ht="15" customHeight="1">
      <c r="A130" s="91" t="s">
        <v>51</v>
      </c>
      <c r="B130" s="92">
        <v>2025</v>
      </c>
      <c r="C130" s="93">
        <v>45870</v>
      </c>
      <c r="D130" s="91" t="s">
        <v>180</v>
      </c>
      <c r="E130" s="116">
        <v>2403.9</v>
      </c>
    </row>
    <row r="131" spans="1:5" ht="15" customHeight="1">
      <c r="A131" s="91" t="s">
        <v>51</v>
      </c>
      <c r="B131" s="92">
        <v>2025</v>
      </c>
      <c r="C131" s="93">
        <v>45870</v>
      </c>
      <c r="D131" s="91" t="s">
        <v>194</v>
      </c>
      <c r="E131" s="116">
        <v>490</v>
      </c>
    </row>
    <row r="132" spans="1:5" ht="15" customHeight="1">
      <c r="A132" s="91" t="s">
        <v>51</v>
      </c>
      <c r="B132" s="92">
        <v>2025</v>
      </c>
      <c r="C132" s="93">
        <v>45870</v>
      </c>
      <c r="D132" s="91" t="s">
        <v>71</v>
      </c>
      <c r="E132" s="116">
        <v>186314</v>
      </c>
    </row>
    <row r="133" spans="1:5" ht="15" customHeight="1">
      <c r="A133" s="91" t="s">
        <v>51</v>
      </c>
      <c r="B133" s="92">
        <v>2025</v>
      </c>
      <c r="C133" s="93">
        <v>45870</v>
      </c>
      <c r="D133" s="91" t="s">
        <v>73</v>
      </c>
      <c r="E133" s="116">
        <v>633.01</v>
      </c>
    </row>
    <row r="134" spans="1:5" ht="15" customHeight="1">
      <c r="A134" s="91" t="s">
        <v>51</v>
      </c>
      <c r="B134" s="92">
        <v>2025</v>
      </c>
      <c r="C134" s="93">
        <v>45870</v>
      </c>
      <c r="D134" s="91" t="s">
        <v>74</v>
      </c>
      <c r="E134" s="116">
        <v>95</v>
      </c>
    </row>
    <row r="135" spans="1:5" ht="15" customHeight="1">
      <c r="A135" s="91" t="s">
        <v>51</v>
      </c>
      <c r="B135" s="92">
        <v>2025</v>
      </c>
      <c r="C135" s="93">
        <v>45901</v>
      </c>
      <c r="D135" s="91" t="s">
        <v>58</v>
      </c>
      <c r="E135" s="116">
        <v>367.59</v>
      </c>
    </row>
    <row r="136" spans="1:5" ht="15" customHeight="1">
      <c r="A136" s="91" t="s">
        <v>51</v>
      </c>
      <c r="B136" s="92">
        <v>2025</v>
      </c>
      <c r="C136" s="93">
        <v>45901</v>
      </c>
      <c r="D136" s="91" t="s">
        <v>198</v>
      </c>
      <c r="E136" s="116">
        <v>78.5</v>
      </c>
    </row>
    <row r="137" spans="1:5" ht="17.25" customHeight="1">
      <c r="A137" s="91" t="s">
        <v>51</v>
      </c>
      <c r="B137" s="92">
        <v>2025</v>
      </c>
      <c r="C137" s="93">
        <v>45901</v>
      </c>
      <c r="D137" s="91" t="s">
        <v>76</v>
      </c>
      <c r="E137" s="116">
        <v>5880.1</v>
      </c>
    </row>
    <row r="138" spans="1:5" ht="15" customHeight="1">
      <c r="A138" s="91" t="s">
        <v>51</v>
      </c>
      <c r="B138" s="92">
        <v>2025</v>
      </c>
      <c r="C138" s="93">
        <v>45901</v>
      </c>
      <c r="D138" s="91" t="s">
        <v>199</v>
      </c>
      <c r="E138" s="116">
        <v>427.14</v>
      </c>
    </row>
    <row r="139" spans="1:5" ht="15" customHeight="1">
      <c r="A139" s="91" t="s">
        <v>51</v>
      </c>
      <c r="B139" s="92">
        <v>2025</v>
      </c>
      <c r="C139" s="93">
        <v>45901</v>
      </c>
      <c r="D139" s="91" t="s">
        <v>57</v>
      </c>
      <c r="E139" s="116">
        <v>130</v>
      </c>
    </row>
    <row r="140" spans="1:5" ht="15" customHeight="1">
      <c r="A140" s="91" t="s">
        <v>51</v>
      </c>
      <c r="B140" s="92">
        <v>2025</v>
      </c>
      <c r="C140" s="93">
        <v>45901</v>
      </c>
      <c r="D140" s="91" t="s">
        <v>60</v>
      </c>
      <c r="E140" s="116">
        <v>82.57</v>
      </c>
    </row>
    <row r="141" spans="1:5" ht="15" customHeight="1">
      <c r="A141" s="91" t="s">
        <v>51</v>
      </c>
      <c r="B141" s="92">
        <v>2025</v>
      </c>
      <c r="C141" s="93">
        <v>45901</v>
      </c>
      <c r="D141" s="91" t="s">
        <v>61</v>
      </c>
      <c r="E141" s="116">
        <v>1518</v>
      </c>
    </row>
    <row r="142" spans="1:5" ht="15" customHeight="1">
      <c r="A142" s="91" t="s">
        <v>51</v>
      </c>
      <c r="B142" s="92">
        <v>2025</v>
      </c>
      <c r="C142" s="93">
        <v>45901</v>
      </c>
      <c r="D142" s="91" t="s">
        <v>63</v>
      </c>
      <c r="E142" s="116">
        <v>223</v>
      </c>
    </row>
    <row r="143" spans="1:5" ht="15" customHeight="1">
      <c r="A143" s="91" t="s">
        <v>51</v>
      </c>
      <c r="B143" s="92">
        <v>2025</v>
      </c>
      <c r="C143" s="93">
        <v>45901</v>
      </c>
      <c r="D143" s="91" t="s">
        <v>64</v>
      </c>
      <c r="E143" s="116">
        <v>806</v>
      </c>
    </row>
    <row r="144" spans="1:5" ht="15" customHeight="1">
      <c r="A144" s="91" t="s">
        <v>51</v>
      </c>
      <c r="B144" s="92">
        <v>2025</v>
      </c>
      <c r="C144" s="93">
        <v>45901</v>
      </c>
      <c r="D144" s="91" t="s">
        <v>65</v>
      </c>
      <c r="E144" s="116">
        <v>179.9</v>
      </c>
    </row>
    <row r="145" spans="1:5" ht="15" customHeight="1">
      <c r="A145" s="91" t="s">
        <v>51</v>
      </c>
      <c r="B145" s="92">
        <v>2025</v>
      </c>
      <c r="C145" s="93">
        <v>45901</v>
      </c>
      <c r="D145" s="91" t="s">
        <v>66</v>
      </c>
      <c r="E145" s="116">
        <v>107.64</v>
      </c>
    </row>
    <row r="146" spans="1:5" ht="15" customHeight="1">
      <c r="A146" s="91" t="s">
        <v>51</v>
      </c>
      <c r="B146" s="92">
        <v>2025</v>
      </c>
      <c r="C146" s="93">
        <v>45901</v>
      </c>
      <c r="D146" s="91" t="s">
        <v>67</v>
      </c>
      <c r="E146" s="116">
        <v>427.01</v>
      </c>
    </row>
    <row r="147" spans="1:5" ht="15" customHeight="1">
      <c r="A147" s="91" t="s">
        <v>51</v>
      </c>
      <c r="B147" s="92">
        <v>2025</v>
      </c>
      <c r="C147" s="93">
        <v>45901</v>
      </c>
      <c r="D147" s="91" t="s">
        <v>68</v>
      </c>
      <c r="E147" s="116">
        <v>20191.53</v>
      </c>
    </row>
    <row r="148" spans="1:5" ht="15" customHeight="1">
      <c r="A148" s="91" t="s">
        <v>51</v>
      </c>
      <c r="B148" s="92">
        <v>2025</v>
      </c>
      <c r="C148" s="93">
        <v>45901</v>
      </c>
      <c r="D148" s="91" t="s">
        <v>69</v>
      </c>
      <c r="E148" s="116">
        <v>4653.62</v>
      </c>
    </row>
    <row r="149" spans="1:5" ht="15" customHeight="1">
      <c r="A149" s="91" t="s">
        <v>51</v>
      </c>
      <c r="B149" s="92">
        <v>2025</v>
      </c>
      <c r="C149" s="93">
        <v>45901</v>
      </c>
      <c r="D149" s="91" t="s">
        <v>180</v>
      </c>
      <c r="E149" s="116">
        <v>2266.33</v>
      </c>
    </row>
    <row r="150" spans="1:5" ht="15" customHeight="1">
      <c r="A150" s="91" t="s">
        <v>51</v>
      </c>
      <c r="B150" s="92">
        <v>2025</v>
      </c>
      <c r="C150" s="93">
        <v>45901</v>
      </c>
      <c r="D150" s="91" t="s">
        <v>71</v>
      </c>
      <c r="E150" s="116">
        <v>25314</v>
      </c>
    </row>
    <row r="151" spans="1:5" ht="15" customHeight="1">
      <c r="A151" s="91" t="s">
        <v>51</v>
      </c>
      <c r="B151" s="92">
        <v>2025</v>
      </c>
      <c r="C151" s="93">
        <v>45901</v>
      </c>
      <c r="D151" s="91" t="s">
        <v>72</v>
      </c>
      <c r="E151" s="116">
        <v>84.29</v>
      </c>
    </row>
    <row r="152" spans="1:5" ht="15" customHeight="1">
      <c r="A152" s="91" t="s">
        <v>51</v>
      </c>
      <c r="B152" s="92">
        <v>2025</v>
      </c>
      <c r="C152" s="93">
        <v>45901</v>
      </c>
      <c r="D152" s="91" t="s">
        <v>73</v>
      </c>
      <c r="E152" s="116">
        <v>633.01</v>
      </c>
    </row>
    <row r="153" spans="1:5" ht="15" customHeight="1">
      <c r="A153" s="91" t="s">
        <v>51</v>
      </c>
      <c r="B153" s="92">
        <v>2025</v>
      </c>
      <c r="C153" s="93">
        <v>45901</v>
      </c>
      <c r="D153" s="91" t="s">
        <v>74</v>
      </c>
      <c r="E153" s="116">
        <v>95</v>
      </c>
    </row>
    <row r="154" spans="1:5" ht="15" customHeight="1">
      <c r="A154" s="91" t="s">
        <v>51</v>
      </c>
      <c r="B154" s="92">
        <v>2025</v>
      </c>
      <c r="C154" s="93">
        <v>45931</v>
      </c>
      <c r="D154" s="91" t="s">
        <v>59</v>
      </c>
      <c r="E154" s="116">
        <v>4994.87</v>
      </c>
    </row>
    <row r="155" spans="1:5" ht="15" customHeight="1">
      <c r="A155" s="91" t="s">
        <v>51</v>
      </c>
      <c r="B155" s="92">
        <v>2025</v>
      </c>
      <c r="C155" s="93">
        <v>45931</v>
      </c>
      <c r="D155" s="91" t="s">
        <v>76</v>
      </c>
      <c r="E155" s="116">
        <v>62.21</v>
      </c>
    </row>
    <row r="156" spans="1:5" ht="15" customHeight="1">
      <c r="A156" s="91" t="s">
        <v>51</v>
      </c>
      <c r="B156" s="92">
        <v>2025</v>
      </c>
      <c r="C156" s="93">
        <v>45931</v>
      </c>
      <c r="D156" s="91" t="s">
        <v>60</v>
      </c>
      <c r="E156" s="116">
        <v>86.99</v>
      </c>
    </row>
    <row r="157" spans="1:5" ht="15" customHeight="1">
      <c r="A157" s="91" t="s">
        <v>51</v>
      </c>
      <c r="B157" s="92">
        <v>2025</v>
      </c>
      <c r="C157" s="93">
        <v>45931</v>
      </c>
      <c r="D157" s="91" t="s">
        <v>61</v>
      </c>
      <c r="E157" s="116">
        <v>1518</v>
      </c>
    </row>
    <row r="158" spans="1:5" ht="15" customHeight="1">
      <c r="A158" s="91" t="s">
        <v>51</v>
      </c>
      <c r="B158" s="92">
        <v>2025</v>
      </c>
      <c r="C158" s="93">
        <v>45931</v>
      </c>
      <c r="D158" s="91" t="s">
        <v>62</v>
      </c>
      <c r="E158" s="116">
        <v>700.4</v>
      </c>
    </row>
    <row r="159" spans="1:5" ht="15" customHeight="1">
      <c r="A159" s="91" t="s">
        <v>51</v>
      </c>
      <c r="B159" s="92">
        <v>2025</v>
      </c>
      <c r="C159" s="93">
        <v>45931</v>
      </c>
      <c r="D159" s="91" t="s">
        <v>63</v>
      </c>
      <c r="E159" s="116">
        <v>125</v>
      </c>
    </row>
    <row r="160" spans="1:5" ht="15" customHeight="1">
      <c r="A160" s="91" t="s">
        <v>51</v>
      </c>
      <c r="B160" s="92">
        <v>2025</v>
      </c>
      <c r="C160" s="93">
        <v>45931</v>
      </c>
      <c r="D160" s="91" t="s">
        <v>64</v>
      </c>
      <c r="E160" s="116">
        <v>806</v>
      </c>
    </row>
    <row r="161" spans="1:5" ht="15" customHeight="1">
      <c r="A161" s="91" t="s">
        <v>51</v>
      </c>
      <c r="B161" s="92">
        <v>2025</v>
      </c>
      <c r="C161" s="93">
        <v>45931</v>
      </c>
      <c r="D161" s="91" t="s">
        <v>65</v>
      </c>
      <c r="E161" s="116">
        <v>179.9</v>
      </c>
    </row>
    <row r="162" spans="1:5" ht="15" customHeight="1">
      <c r="A162" s="91" t="s">
        <v>51</v>
      </c>
      <c r="B162" s="92">
        <v>2025</v>
      </c>
      <c r="C162" s="93">
        <v>45931</v>
      </c>
      <c r="D162" s="91" t="s">
        <v>66</v>
      </c>
      <c r="E162" s="116">
        <v>110.97</v>
      </c>
    </row>
    <row r="163" spans="1:5" ht="15" customHeight="1">
      <c r="A163" s="91" t="s">
        <v>51</v>
      </c>
      <c r="B163" s="92">
        <v>2025</v>
      </c>
      <c r="C163" s="93">
        <v>45931</v>
      </c>
      <c r="D163" s="91" t="s">
        <v>67</v>
      </c>
      <c r="E163" s="116">
        <v>101839.5</v>
      </c>
    </row>
    <row r="164" spans="1:5" ht="15" customHeight="1">
      <c r="A164" s="91" t="s">
        <v>51</v>
      </c>
      <c r="B164" s="92">
        <v>2025</v>
      </c>
      <c r="C164" s="93">
        <v>45931</v>
      </c>
      <c r="D164" s="91" t="s">
        <v>68</v>
      </c>
      <c r="E164" s="116">
        <v>12130.96</v>
      </c>
    </row>
    <row r="165" spans="1:5" ht="15" customHeight="1">
      <c r="A165" s="91" t="s">
        <v>51</v>
      </c>
      <c r="B165" s="92">
        <v>2025</v>
      </c>
      <c r="C165" s="93">
        <v>45931</v>
      </c>
      <c r="D165" s="91" t="s">
        <v>69</v>
      </c>
      <c r="E165" s="116">
        <v>3780.63</v>
      </c>
    </row>
    <row r="166" spans="1:5" ht="15" customHeight="1">
      <c r="A166" s="91" t="s">
        <v>51</v>
      </c>
      <c r="B166" s="92">
        <v>2025</v>
      </c>
      <c r="C166" s="93">
        <v>45931</v>
      </c>
      <c r="D166" s="91" t="s">
        <v>180</v>
      </c>
      <c r="E166" s="116">
        <v>2243.1799999999998</v>
      </c>
    </row>
    <row r="167" spans="1:5" ht="15" customHeight="1">
      <c r="A167" s="91" t="s">
        <v>51</v>
      </c>
      <c r="B167" s="92">
        <v>2025</v>
      </c>
      <c r="C167" s="93">
        <v>45931</v>
      </c>
      <c r="D167" s="91" t="s">
        <v>71</v>
      </c>
      <c r="E167" s="116">
        <v>35314</v>
      </c>
    </row>
    <row r="168" spans="1:5" ht="15" customHeight="1">
      <c r="A168" s="91" t="s">
        <v>51</v>
      </c>
      <c r="B168" s="92">
        <v>2025</v>
      </c>
      <c r="C168" s="93">
        <v>45931</v>
      </c>
      <c r="D168" s="91" t="s">
        <v>73</v>
      </c>
      <c r="E168" s="116">
        <v>633.01</v>
      </c>
    </row>
    <row r="169" spans="1:5" ht="15" customHeight="1">
      <c r="A169" s="91" t="s">
        <v>51</v>
      </c>
      <c r="B169" s="92">
        <v>2025</v>
      </c>
      <c r="C169" s="93">
        <v>45931</v>
      </c>
      <c r="D169" s="91" t="s">
        <v>74</v>
      </c>
      <c r="E169" s="116">
        <v>95</v>
      </c>
    </row>
    <row r="170" spans="1:5" ht="15" customHeight="1">
      <c r="A170" s="91" t="s">
        <v>51</v>
      </c>
      <c r="B170" s="92">
        <v>2025</v>
      </c>
      <c r="C170" s="93">
        <v>45962</v>
      </c>
      <c r="D170" s="91" t="s">
        <v>76</v>
      </c>
      <c r="E170" s="116">
        <v>518.77</v>
      </c>
    </row>
    <row r="171" spans="1:5" ht="15" customHeight="1">
      <c r="A171" s="91" t="s">
        <v>51</v>
      </c>
      <c r="B171" s="92">
        <v>2025</v>
      </c>
      <c r="C171" s="93">
        <v>45962</v>
      </c>
      <c r="D171" s="91" t="s">
        <v>60</v>
      </c>
      <c r="E171" s="116">
        <v>121.94</v>
      </c>
    </row>
    <row r="172" spans="1:5" ht="15" customHeight="1">
      <c r="A172" s="91" t="s">
        <v>51</v>
      </c>
      <c r="B172" s="92">
        <v>2025</v>
      </c>
      <c r="C172" s="93">
        <v>45962</v>
      </c>
      <c r="D172" s="91" t="s">
        <v>61</v>
      </c>
      <c r="E172" s="116">
        <v>1518</v>
      </c>
    </row>
    <row r="173" spans="1:5" ht="15" customHeight="1">
      <c r="A173" s="91" t="s">
        <v>51</v>
      </c>
      <c r="B173" s="92">
        <v>2025</v>
      </c>
      <c r="C173" s="93">
        <v>45962</v>
      </c>
      <c r="D173" s="91" t="s">
        <v>63</v>
      </c>
      <c r="E173" s="116">
        <v>321</v>
      </c>
    </row>
    <row r="174" spans="1:5" ht="15" customHeight="1">
      <c r="A174" s="91" t="s">
        <v>51</v>
      </c>
      <c r="B174" s="92">
        <v>2025</v>
      </c>
      <c r="C174" s="93">
        <v>45962</v>
      </c>
      <c r="D174" s="91" t="s">
        <v>64</v>
      </c>
      <c r="E174" s="116">
        <v>806</v>
      </c>
    </row>
    <row r="175" spans="1:5" ht="15" customHeight="1">
      <c r="A175" s="91" t="s">
        <v>51</v>
      </c>
      <c r="B175" s="92">
        <v>2025</v>
      </c>
      <c r="C175" s="93">
        <v>45962</v>
      </c>
      <c r="D175" s="91" t="s">
        <v>65</v>
      </c>
      <c r="E175" s="116">
        <v>179.9</v>
      </c>
    </row>
    <row r="176" spans="1:5" ht="15" customHeight="1">
      <c r="A176" s="91" t="s">
        <v>51</v>
      </c>
      <c r="B176" s="92">
        <v>2025</v>
      </c>
      <c r="C176" s="93">
        <v>45962</v>
      </c>
      <c r="D176" s="91" t="s">
        <v>66</v>
      </c>
      <c r="E176" s="116">
        <v>16.07</v>
      </c>
    </row>
    <row r="177" spans="1:5" ht="15" customHeight="1">
      <c r="A177" s="91" t="s">
        <v>51</v>
      </c>
      <c r="B177" s="92">
        <v>2025</v>
      </c>
      <c r="C177" s="93">
        <v>45962</v>
      </c>
      <c r="D177" s="91" t="s">
        <v>67</v>
      </c>
      <c r="E177" s="116">
        <v>395.85</v>
      </c>
    </row>
    <row r="178" spans="1:5" ht="15" customHeight="1">
      <c r="A178" s="91" t="s">
        <v>51</v>
      </c>
      <c r="B178" s="92">
        <v>2025</v>
      </c>
      <c r="C178" s="93">
        <v>45962</v>
      </c>
      <c r="D178" s="91" t="s">
        <v>68</v>
      </c>
      <c r="E178" s="116">
        <v>889.34</v>
      </c>
    </row>
    <row r="179" spans="1:5" ht="15" customHeight="1">
      <c r="A179" s="91" t="s">
        <v>51</v>
      </c>
      <c r="B179" s="92">
        <v>2025</v>
      </c>
      <c r="C179" s="93">
        <v>45962</v>
      </c>
      <c r="D179" s="91" t="s">
        <v>69</v>
      </c>
      <c r="E179" s="116">
        <v>3153.29</v>
      </c>
    </row>
    <row r="180" spans="1:5" ht="15" customHeight="1">
      <c r="A180" s="91" t="s">
        <v>51</v>
      </c>
      <c r="B180" s="92">
        <v>2025</v>
      </c>
      <c r="C180" s="93">
        <v>45962</v>
      </c>
      <c r="D180" s="91" t="s">
        <v>180</v>
      </c>
      <c r="E180" s="116">
        <v>2230.54</v>
      </c>
    </row>
    <row r="181" spans="1:5" ht="15" customHeight="1">
      <c r="A181" s="91" t="s">
        <v>51</v>
      </c>
      <c r="B181" s="92">
        <v>2025</v>
      </c>
      <c r="C181" s="93">
        <v>45962</v>
      </c>
      <c r="D181" s="91" t="s">
        <v>71</v>
      </c>
      <c r="E181" s="116">
        <v>23314</v>
      </c>
    </row>
    <row r="182" spans="1:5" ht="15" customHeight="1">
      <c r="A182" s="91" t="s">
        <v>51</v>
      </c>
      <c r="B182" s="92">
        <v>2025</v>
      </c>
      <c r="C182" s="93">
        <v>45962</v>
      </c>
      <c r="D182" s="91" t="s">
        <v>73</v>
      </c>
      <c r="E182" s="116">
        <v>633.01</v>
      </c>
    </row>
    <row r="183" spans="1:5" ht="15" customHeight="1">
      <c r="A183" s="91" t="s">
        <v>51</v>
      </c>
      <c r="B183" s="92">
        <v>2025</v>
      </c>
      <c r="C183" s="93">
        <v>45962</v>
      </c>
      <c r="D183" s="91" t="s">
        <v>74</v>
      </c>
      <c r="E183" s="116">
        <v>95</v>
      </c>
    </row>
    <row r="184" spans="1:5" ht="15" customHeight="1">
      <c r="A184" s="91" t="s">
        <v>51</v>
      </c>
      <c r="B184" s="92">
        <v>2025</v>
      </c>
      <c r="C184" s="93">
        <v>45992</v>
      </c>
      <c r="D184" s="91" t="s">
        <v>60</v>
      </c>
      <c r="E184" s="116">
        <v>58.73</v>
      </c>
    </row>
    <row r="185" spans="1:5" ht="15" customHeight="1">
      <c r="A185" s="91" t="s">
        <v>51</v>
      </c>
      <c r="B185" s="92">
        <v>2025</v>
      </c>
      <c r="C185" s="93">
        <v>45992</v>
      </c>
      <c r="D185" s="91" t="s">
        <v>61</v>
      </c>
      <c r="E185" s="116">
        <v>51518</v>
      </c>
    </row>
    <row r="186" spans="1:5" ht="15" customHeight="1">
      <c r="A186" s="91" t="s">
        <v>51</v>
      </c>
      <c r="B186" s="92">
        <v>2025</v>
      </c>
      <c r="C186" s="93">
        <v>45992</v>
      </c>
      <c r="D186" s="91" t="s">
        <v>63</v>
      </c>
      <c r="E186" s="116">
        <v>223</v>
      </c>
    </row>
    <row r="187" spans="1:5" ht="15" customHeight="1">
      <c r="A187" s="91" t="s">
        <v>51</v>
      </c>
      <c r="B187" s="92">
        <v>2025</v>
      </c>
      <c r="C187" s="93">
        <v>45992</v>
      </c>
      <c r="D187" s="91" t="s">
        <v>64</v>
      </c>
      <c r="E187" s="116">
        <v>806</v>
      </c>
    </row>
    <row r="188" spans="1:5">
      <c r="A188" s="91" t="s">
        <v>51</v>
      </c>
      <c r="B188" s="92">
        <v>2025</v>
      </c>
      <c r="C188" s="93">
        <v>45992</v>
      </c>
      <c r="D188" s="91" t="s">
        <v>65</v>
      </c>
      <c r="E188" s="116">
        <v>179.9</v>
      </c>
    </row>
    <row r="189" spans="1:5">
      <c r="A189" s="91" t="s">
        <v>51</v>
      </c>
      <c r="B189" s="92">
        <v>2025</v>
      </c>
      <c r="C189" s="93">
        <v>45992</v>
      </c>
      <c r="D189" s="91" t="s">
        <v>66</v>
      </c>
      <c r="E189" s="116">
        <v>30.12</v>
      </c>
    </row>
    <row r="190" spans="1:5">
      <c r="A190" s="91" t="s">
        <v>51</v>
      </c>
      <c r="B190" s="92">
        <v>2025</v>
      </c>
      <c r="C190" s="93">
        <v>45992</v>
      </c>
      <c r="D190" s="91" t="s">
        <v>67</v>
      </c>
      <c r="E190" s="116">
        <v>393.63</v>
      </c>
    </row>
    <row r="191" spans="1:5">
      <c r="A191" s="91" t="s">
        <v>51</v>
      </c>
      <c r="B191" s="92">
        <v>2025</v>
      </c>
      <c r="C191" s="93">
        <v>45992</v>
      </c>
      <c r="D191" s="91" t="s">
        <v>68</v>
      </c>
      <c r="E191" s="116">
        <v>11.31</v>
      </c>
    </row>
    <row r="192" spans="1:5">
      <c r="A192" s="91" t="s">
        <v>51</v>
      </c>
      <c r="B192" s="92">
        <v>2025</v>
      </c>
      <c r="C192" s="93">
        <v>45992</v>
      </c>
      <c r="D192" s="91" t="s">
        <v>69</v>
      </c>
      <c r="E192" s="116">
        <v>2351.5300000000002</v>
      </c>
    </row>
    <row r="193" spans="1:5">
      <c r="A193" s="91" t="s">
        <v>51</v>
      </c>
      <c r="B193" s="92">
        <v>2025</v>
      </c>
      <c r="C193" s="93">
        <v>45992</v>
      </c>
      <c r="D193" s="91" t="s">
        <v>78</v>
      </c>
      <c r="E193" s="116">
        <v>3</v>
      </c>
    </row>
    <row r="194" spans="1:5">
      <c r="A194" s="91" t="s">
        <v>51</v>
      </c>
      <c r="B194" s="92">
        <v>2025</v>
      </c>
      <c r="C194" s="93">
        <v>45992</v>
      </c>
      <c r="D194" s="91" t="s">
        <v>180</v>
      </c>
      <c r="E194" s="116">
        <v>2227.54</v>
      </c>
    </row>
    <row r="195" spans="1:5">
      <c r="A195" s="91" t="s">
        <v>51</v>
      </c>
      <c r="B195" s="92">
        <v>2025</v>
      </c>
      <c r="C195" s="93">
        <v>45992</v>
      </c>
      <c r="D195" s="91" t="s">
        <v>71</v>
      </c>
      <c r="E195" s="116">
        <v>10314</v>
      </c>
    </row>
    <row r="196" spans="1:5">
      <c r="A196" s="91" t="s">
        <v>51</v>
      </c>
      <c r="B196" s="92">
        <v>2025</v>
      </c>
      <c r="C196" s="93">
        <v>45992</v>
      </c>
      <c r="D196" s="91" t="s">
        <v>73</v>
      </c>
      <c r="E196" s="116">
        <v>633.01</v>
      </c>
    </row>
    <row r="197" spans="1:5">
      <c r="A197" s="91" t="s">
        <v>51</v>
      </c>
      <c r="B197" s="92">
        <v>2025</v>
      </c>
      <c r="C197" s="93">
        <v>45992</v>
      </c>
      <c r="D197" s="91" t="s">
        <v>74</v>
      </c>
      <c r="E197" s="116">
        <v>236.6</v>
      </c>
    </row>
    <row r="198" spans="1:5">
      <c r="A198" s="91" t="s">
        <v>216</v>
      </c>
      <c r="B198" s="92">
        <v>2025</v>
      </c>
      <c r="C198" s="93">
        <v>45658</v>
      </c>
      <c r="D198" s="91" t="s">
        <v>217</v>
      </c>
      <c r="E198" s="104">
        <v>103.74</v>
      </c>
    </row>
    <row r="199" spans="1:5" ht="15" customHeight="1">
      <c r="A199" s="91" t="s">
        <v>216</v>
      </c>
      <c r="B199" s="92">
        <v>2025</v>
      </c>
      <c r="C199" s="93">
        <v>45658</v>
      </c>
      <c r="D199" s="94" t="s">
        <v>218</v>
      </c>
      <c r="E199" s="95">
        <v>250</v>
      </c>
    </row>
    <row r="200" spans="1:5" ht="15" customHeight="1">
      <c r="A200" s="91" t="s">
        <v>216</v>
      </c>
      <c r="B200" s="92">
        <v>2025</v>
      </c>
      <c r="C200" s="93">
        <v>45658</v>
      </c>
      <c r="D200" s="94" t="s">
        <v>58</v>
      </c>
      <c r="E200" s="95">
        <v>1644.83</v>
      </c>
    </row>
    <row r="201" spans="1:5" ht="15" customHeight="1">
      <c r="A201" s="91" t="s">
        <v>216</v>
      </c>
      <c r="B201" s="92">
        <v>2025</v>
      </c>
      <c r="C201" s="93">
        <v>45658</v>
      </c>
      <c r="D201" s="94" t="s">
        <v>59</v>
      </c>
      <c r="E201" s="95">
        <v>25.24</v>
      </c>
    </row>
    <row r="202" spans="1:5" ht="15" customHeight="1">
      <c r="A202" s="91" t="s">
        <v>216</v>
      </c>
      <c r="B202" s="92">
        <v>2025</v>
      </c>
      <c r="C202" s="93">
        <v>45658</v>
      </c>
      <c r="D202" s="94" t="s">
        <v>182</v>
      </c>
      <c r="E202" s="95">
        <v>623.41999999999996</v>
      </c>
    </row>
    <row r="203" spans="1:5" ht="15" customHeight="1">
      <c r="A203" s="91" t="s">
        <v>216</v>
      </c>
      <c r="B203" s="92">
        <v>2025</v>
      </c>
      <c r="C203" s="93">
        <v>45658</v>
      </c>
      <c r="D203" s="94" t="s">
        <v>219</v>
      </c>
      <c r="E203" s="95">
        <v>364</v>
      </c>
    </row>
    <row r="204" spans="1:5" ht="15" customHeight="1">
      <c r="A204" s="91" t="s">
        <v>216</v>
      </c>
      <c r="B204" s="92">
        <v>2025</v>
      </c>
      <c r="C204" s="93">
        <v>45658</v>
      </c>
      <c r="D204" s="94" t="s">
        <v>62</v>
      </c>
      <c r="E204" s="95">
        <v>1510</v>
      </c>
    </row>
    <row r="205" spans="1:5" ht="15" customHeight="1">
      <c r="A205" s="91" t="s">
        <v>216</v>
      </c>
      <c r="B205" s="92">
        <v>2025</v>
      </c>
      <c r="C205" s="93">
        <v>45658</v>
      </c>
      <c r="D205" s="94" t="s">
        <v>63</v>
      </c>
      <c r="E205" s="95">
        <v>821.95</v>
      </c>
    </row>
    <row r="206" spans="1:5" ht="15" customHeight="1">
      <c r="A206" s="91" t="s">
        <v>216</v>
      </c>
      <c r="B206" s="92">
        <v>2025</v>
      </c>
      <c r="C206" s="93">
        <v>45658</v>
      </c>
      <c r="D206" s="94" t="s">
        <v>64</v>
      </c>
      <c r="E206" s="95">
        <v>863.64</v>
      </c>
    </row>
    <row r="207" spans="1:5" ht="15" customHeight="1">
      <c r="A207" s="91" t="s">
        <v>216</v>
      </c>
      <c r="B207" s="92">
        <v>2025</v>
      </c>
      <c r="C207" s="93">
        <v>45658</v>
      </c>
      <c r="D207" s="94" t="s">
        <v>65</v>
      </c>
      <c r="E207" s="95">
        <v>183.78</v>
      </c>
    </row>
    <row r="208" spans="1:5" ht="15" customHeight="1">
      <c r="A208" s="91" t="s">
        <v>216</v>
      </c>
      <c r="B208" s="92">
        <v>2025</v>
      </c>
      <c r="C208" s="93">
        <v>45658</v>
      </c>
      <c r="D208" s="94" t="s">
        <v>66</v>
      </c>
      <c r="E208" s="95">
        <v>36231.67</v>
      </c>
    </row>
    <row r="209" spans="1:5" ht="15" customHeight="1">
      <c r="A209" s="91" t="s">
        <v>216</v>
      </c>
      <c r="B209" s="92">
        <v>2025</v>
      </c>
      <c r="C209" s="93">
        <v>45658</v>
      </c>
      <c r="D209" s="94" t="s">
        <v>67</v>
      </c>
      <c r="E209" s="95">
        <v>24.55</v>
      </c>
    </row>
    <row r="210" spans="1:5" ht="15" customHeight="1">
      <c r="A210" s="91" t="s">
        <v>216</v>
      </c>
      <c r="B210" s="92">
        <v>2025</v>
      </c>
      <c r="C210" s="93">
        <v>45658</v>
      </c>
      <c r="D210" s="94" t="s">
        <v>68</v>
      </c>
      <c r="E210" s="95">
        <v>6049.01</v>
      </c>
    </row>
    <row r="211" spans="1:5" ht="15" customHeight="1">
      <c r="A211" s="91" t="s">
        <v>216</v>
      </c>
      <c r="B211" s="92">
        <v>2025</v>
      </c>
      <c r="C211" s="93">
        <v>45658</v>
      </c>
      <c r="D211" s="94" t="s">
        <v>69</v>
      </c>
      <c r="E211" s="95">
        <v>16900.61</v>
      </c>
    </row>
    <row r="212" spans="1:5" ht="15" customHeight="1">
      <c r="A212" s="91" t="s">
        <v>216</v>
      </c>
      <c r="B212" s="92">
        <v>2025</v>
      </c>
      <c r="C212" s="93">
        <v>45658</v>
      </c>
      <c r="D212" s="94" t="s">
        <v>70</v>
      </c>
      <c r="E212" s="95">
        <v>385.29</v>
      </c>
    </row>
    <row r="213" spans="1:5" ht="15" customHeight="1">
      <c r="A213" s="91" t="s">
        <v>216</v>
      </c>
      <c r="B213" s="92">
        <v>2025</v>
      </c>
      <c r="C213" s="93">
        <v>45658</v>
      </c>
      <c r="D213" s="94" t="s">
        <v>220</v>
      </c>
      <c r="E213" s="95">
        <v>2870.05</v>
      </c>
    </row>
    <row r="214" spans="1:5" ht="15" customHeight="1">
      <c r="A214" s="91" t="s">
        <v>216</v>
      </c>
      <c r="B214" s="92">
        <v>2025</v>
      </c>
      <c r="C214" s="93">
        <v>45658</v>
      </c>
      <c r="D214" s="94" t="s">
        <v>221</v>
      </c>
      <c r="E214" s="95">
        <v>14511.14</v>
      </c>
    </row>
    <row r="215" spans="1:5" ht="15" customHeight="1">
      <c r="A215" s="91" t="s">
        <v>216</v>
      </c>
      <c r="B215" s="92">
        <v>2025</v>
      </c>
      <c r="C215" s="93">
        <v>45658</v>
      </c>
      <c r="D215" s="94" t="s">
        <v>222</v>
      </c>
      <c r="E215" s="95">
        <v>180</v>
      </c>
    </row>
    <row r="216" spans="1:5" ht="15" customHeight="1">
      <c r="A216" s="91" t="s">
        <v>216</v>
      </c>
      <c r="B216" s="92">
        <v>2025</v>
      </c>
      <c r="C216" s="93">
        <v>45658</v>
      </c>
      <c r="D216" s="94" t="s">
        <v>71</v>
      </c>
      <c r="E216" s="95">
        <v>2314</v>
      </c>
    </row>
    <row r="217" spans="1:5" ht="15" customHeight="1">
      <c r="A217" s="91" t="s">
        <v>216</v>
      </c>
      <c r="B217" s="92">
        <v>2025</v>
      </c>
      <c r="C217" s="93">
        <v>45658</v>
      </c>
      <c r="D217" s="94" t="s">
        <v>77</v>
      </c>
      <c r="E217" s="95">
        <v>5625</v>
      </c>
    </row>
    <row r="218" spans="1:5" ht="15" customHeight="1">
      <c r="A218" s="91" t="s">
        <v>216</v>
      </c>
      <c r="B218" s="92">
        <v>2025</v>
      </c>
      <c r="C218" s="93">
        <v>45658</v>
      </c>
      <c r="D218" s="94" t="s">
        <v>72</v>
      </c>
      <c r="E218" s="95">
        <v>1294.71</v>
      </c>
    </row>
    <row r="219" spans="1:5" ht="15" customHeight="1">
      <c r="A219" s="91" t="s">
        <v>216</v>
      </c>
      <c r="B219" s="92">
        <v>2025</v>
      </c>
      <c r="C219" s="93">
        <v>45658</v>
      </c>
      <c r="D219" s="94" t="s">
        <v>223</v>
      </c>
      <c r="E219" s="95">
        <v>1792.22</v>
      </c>
    </row>
    <row r="220" spans="1:5" ht="15" customHeight="1">
      <c r="A220" s="91" t="s">
        <v>216</v>
      </c>
      <c r="B220" s="92">
        <v>2025</v>
      </c>
      <c r="C220" s="93">
        <v>45658</v>
      </c>
      <c r="D220" s="94" t="s">
        <v>73</v>
      </c>
      <c r="E220" s="95">
        <v>588.79999999999995</v>
      </c>
    </row>
    <row r="221" spans="1:5" ht="15" customHeight="1">
      <c r="A221" s="91" t="s">
        <v>216</v>
      </c>
      <c r="B221" s="92">
        <v>2025</v>
      </c>
      <c r="C221" s="93">
        <v>45658</v>
      </c>
      <c r="D221" s="94" t="s">
        <v>74</v>
      </c>
      <c r="E221" s="95">
        <v>345.6</v>
      </c>
    </row>
    <row r="222" spans="1:5" ht="15" customHeight="1">
      <c r="A222" s="91" t="s">
        <v>216</v>
      </c>
      <c r="B222" s="92">
        <v>2025</v>
      </c>
      <c r="C222" s="93">
        <v>45658</v>
      </c>
      <c r="D222" s="94" t="s">
        <v>224</v>
      </c>
      <c r="E222" s="95">
        <v>650</v>
      </c>
    </row>
    <row r="223" spans="1:5" ht="15" customHeight="1">
      <c r="A223" s="91" t="s">
        <v>216</v>
      </c>
      <c r="B223" s="92">
        <v>2025</v>
      </c>
      <c r="C223" s="93">
        <v>45658</v>
      </c>
      <c r="D223" s="94" t="s">
        <v>225</v>
      </c>
      <c r="E223" s="95">
        <v>36600</v>
      </c>
    </row>
    <row r="224" spans="1:5" ht="15" customHeight="1">
      <c r="A224" s="91" t="s">
        <v>216</v>
      </c>
      <c r="B224" s="92">
        <v>2025</v>
      </c>
      <c r="C224" s="93">
        <v>45658</v>
      </c>
      <c r="D224" s="94" t="s">
        <v>226</v>
      </c>
      <c r="E224" s="95">
        <v>134.94</v>
      </c>
    </row>
    <row r="225" spans="1:5" ht="15" customHeight="1">
      <c r="A225" s="91" t="s">
        <v>216</v>
      </c>
      <c r="B225" s="92">
        <v>2025</v>
      </c>
      <c r="C225" s="93">
        <v>45689</v>
      </c>
      <c r="D225" s="94" t="s">
        <v>217</v>
      </c>
      <c r="E225" s="95">
        <v>102.75</v>
      </c>
    </row>
    <row r="226" spans="1:5" ht="15" customHeight="1">
      <c r="A226" s="91" t="s">
        <v>216</v>
      </c>
      <c r="B226" s="92">
        <v>2025</v>
      </c>
      <c r="C226" s="93">
        <v>45689</v>
      </c>
      <c r="D226" s="94" t="s">
        <v>75</v>
      </c>
      <c r="E226" s="95">
        <v>180</v>
      </c>
    </row>
    <row r="227" spans="1:5" ht="15" customHeight="1">
      <c r="A227" s="91" t="s">
        <v>216</v>
      </c>
      <c r="B227" s="92">
        <v>2025</v>
      </c>
      <c r="C227" s="93">
        <v>45689</v>
      </c>
      <c r="D227" s="94" t="s">
        <v>231</v>
      </c>
      <c r="E227" s="95">
        <v>750.5</v>
      </c>
    </row>
    <row r="228" spans="1:5" ht="15" customHeight="1">
      <c r="A228" s="91" t="s">
        <v>216</v>
      </c>
      <c r="B228" s="92">
        <v>2025</v>
      </c>
      <c r="C228" s="93">
        <v>45689</v>
      </c>
      <c r="D228" s="94" t="s">
        <v>61</v>
      </c>
      <c r="E228" s="95">
        <v>3036</v>
      </c>
    </row>
    <row r="229" spans="1:5" ht="15" customHeight="1">
      <c r="A229" s="91" t="s">
        <v>216</v>
      </c>
      <c r="B229" s="92">
        <v>2025</v>
      </c>
      <c r="C229" s="93">
        <v>45689</v>
      </c>
      <c r="D229" s="94" t="s">
        <v>219</v>
      </c>
      <c r="E229" s="95">
        <v>1441.38</v>
      </c>
    </row>
    <row r="230" spans="1:5" ht="15" customHeight="1">
      <c r="A230" s="91" t="s">
        <v>216</v>
      </c>
      <c r="B230" s="92">
        <v>2025</v>
      </c>
      <c r="C230" s="93">
        <v>45689</v>
      </c>
      <c r="D230" s="94" t="s">
        <v>62</v>
      </c>
      <c r="E230" s="95">
        <v>3484</v>
      </c>
    </row>
    <row r="231" spans="1:5" ht="15" customHeight="1">
      <c r="A231" s="91" t="s">
        <v>216</v>
      </c>
      <c r="B231" s="92">
        <v>2025</v>
      </c>
      <c r="C231" s="93">
        <v>45689</v>
      </c>
      <c r="D231" s="94" t="s">
        <v>63</v>
      </c>
      <c r="E231" s="95">
        <v>821.95</v>
      </c>
    </row>
    <row r="232" spans="1:5" ht="15" customHeight="1">
      <c r="A232" s="91" t="s">
        <v>216</v>
      </c>
      <c r="B232" s="92">
        <v>2025</v>
      </c>
      <c r="C232" s="93">
        <v>45689</v>
      </c>
      <c r="D232" s="94" t="s">
        <v>64</v>
      </c>
      <c r="E232" s="95">
        <v>806</v>
      </c>
    </row>
    <row r="233" spans="1:5" ht="15" customHeight="1">
      <c r="A233" s="91" t="s">
        <v>216</v>
      </c>
      <c r="B233" s="92">
        <v>2025</v>
      </c>
      <c r="C233" s="93">
        <v>45689</v>
      </c>
      <c r="D233" s="94" t="s">
        <v>65</v>
      </c>
      <c r="E233" s="95">
        <v>181.04</v>
      </c>
    </row>
    <row r="234" spans="1:5" ht="15" customHeight="1">
      <c r="A234" s="91" t="s">
        <v>216</v>
      </c>
      <c r="B234" s="92">
        <v>2025</v>
      </c>
      <c r="C234" s="93">
        <v>45689</v>
      </c>
      <c r="D234" s="94" t="s">
        <v>66</v>
      </c>
      <c r="E234" s="95">
        <v>841.71</v>
      </c>
    </row>
    <row r="235" spans="1:5" ht="15" customHeight="1">
      <c r="A235" s="91" t="s">
        <v>216</v>
      </c>
      <c r="B235" s="92">
        <v>2025</v>
      </c>
      <c r="C235" s="93">
        <v>45689</v>
      </c>
      <c r="D235" s="94" t="s">
        <v>68</v>
      </c>
      <c r="E235" s="95">
        <v>1608.91</v>
      </c>
    </row>
    <row r="236" spans="1:5" ht="15" customHeight="1">
      <c r="A236" s="91" t="s">
        <v>216</v>
      </c>
      <c r="B236" s="92">
        <v>2025</v>
      </c>
      <c r="C236" s="93">
        <v>45689</v>
      </c>
      <c r="D236" s="94" t="s">
        <v>69</v>
      </c>
      <c r="E236" s="95">
        <v>51871.14</v>
      </c>
    </row>
    <row r="237" spans="1:5" ht="15" customHeight="1">
      <c r="A237" s="91" t="s">
        <v>216</v>
      </c>
      <c r="B237" s="92">
        <v>2025</v>
      </c>
      <c r="C237" s="93">
        <v>45689</v>
      </c>
      <c r="D237" s="94" t="s">
        <v>78</v>
      </c>
      <c r="E237" s="95">
        <v>130.84</v>
      </c>
    </row>
    <row r="238" spans="1:5" ht="15" customHeight="1">
      <c r="A238" s="91" t="s">
        <v>216</v>
      </c>
      <c r="B238" s="92">
        <v>2025</v>
      </c>
      <c r="C238" s="93">
        <v>45689</v>
      </c>
      <c r="D238" s="94" t="s">
        <v>232</v>
      </c>
      <c r="E238" s="95">
        <v>2336</v>
      </c>
    </row>
    <row r="239" spans="1:5" ht="15" customHeight="1">
      <c r="A239" s="91" t="s">
        <v>216</v>
      </c>
      <c r="B239" s="92">
        <v>2025</v>
      </c>
      <c r="C239" s="93">
        <v>45689</v>
      </c>
      <c r="D239" s="94" t="s">
        <v>220</v>
      </c>
      <c r="E239" s="95">
        <v>2885.8</v>
      </c>
    </row>
    <row r="240" spans="1:5" ht="15" customHeight="1">
      <c r="A240" s="91" t="s">
        <v>216</v>
      </c>
      <c r="B240" s="92">
        <v>2025</v>
      </c>
      <c r="C240" s="93">
        <v>45689</v>
      </c>
      <c r="D240" s="94" t="s">
        <v>71</v>
      </c>
      <c r="E240" s="95">
        <v>12314</v>
      </c>
    </row>
    <row r="241" spans="1:5" ht="15" customHeight="1">
      <c r="A241" s="91" t="s">
        <v>216</v>
      </c>
      <c r="B241" s="92">
        <v>2025</v>
      </c>
      <c r="C241" s="93">
        <v>45689</v>
      </c>
      <c r="D241" s="94" t="s">
        <v>77</v>
      </c>
      <c r="E241" s="95">
        <v>3450</v>
      </c>
    </row>
    <row r="242" spans="1:5" ht="15" customHeight="1">
      <c r="A242" s="91" t="s">
        <v>216</v>
      </c>
      <c r="B242" s="92">
        <v>2025</v>
      </c>
      <c r="C242" s="93">
        <v>45689</v>
      </c>
      <c r="D242" s="94" t="s">
        <v>72</v>
      </c>
      <c r="E242" s="95">
        <v>186.68</v>
      </c>
    </row>
    <row r="243" spans="1:5" ht="15" customHeight="1">
      <c r="A243" s="91" t="s">
        <v>216</v>
      </c>
      <c r="B243" s="92">
        <v>2025</v>
      </c>
      <c r="C243" s="93">
        <v>45689</v>
      </c>
      <c r="D243" s="94" t="s">
        <v>223</v>
      </c>
      <c r="E243" s="95">
        <v>2147.6</v>
      </c>
    </row>
    <row r="244" spans="1:5" ht="15" customHeight="1">
      <c r="A244" s="91" t="s">
        <v>216</v>
      </c>
      <c r="B244" s="92">
        <v>2025</v>
      </c>
      <c r="C244" s="93">
        <v>45689</v>
      </c>
      <c r="D244" s="94" t="s">
        <v>73</v>
      </c>
      <c r="E244" s="95">
        <v>633.01</v>
      </c>
    </row>
    <row r="245" spans="1:5" ht="15" customHeight="1">
      <c r="A245" s="91" t="s">
        <v>216</v>
      </c>
      <c r="B245" s="92">
        <v>2025</v>
      </c>
      <c r="C245" s="93">
        <v>45689</v>
      </c>
      <c r="D245" s="94" t="s">
        <v>74</v>
      </c>
      <c r="E245" s="95">
        <v>517.6</v>
      </c>
    </row>
    <row r="246" spans="1:5" ht="15" customHeight="1">
      <c r="A246" s="91" t="s">
        <v>216</v>
      </c>
      <c r="B246" s="92">
        <v>2025</v>
      </c>
      <c r="C246" s="93">
        <v>45689</v>
      </c>
      <c r="D246" s="94" t="s">
        <v>226</v>
      </c>
      <c r="E246" s="95">
        <v>134.94</v>
      </c>
    </row>
    <row r="247" spans="1:5" ht="15" customHeight="1">
      <c r="A247" s="91" t="s">
        <v>216</v>
      </c>
      <c r="B247" s="92">
        <v>2025</v>
      </c>
      <c r="C247" s="93">
        <v>45717</v>
      </c>
      <c r="D247" s="94" t="s">
        <v>217</v>
      </c>
      <c r="E247" s="95">
        <v>102.75</v>
      </c>
    </row>
    <row r="248" spans="1:5" ht="15" customHeight="1">
      <c r="A248" s="91" t="s">
        <v>216</v>
      </c>
      <c r="B248" s="92">
        <v>2025</v>
      </c>
      <c r="C248" s="93">
        <v>45717</v>
      </c>
      <c r="D248" s="94" t="s">
        <v>233</v>
      </c>
      <c r="E248" s="95">
        <v>1518.94</v>
      </c>
    </row>
    <row r="249" spans="1:5" ht="15" customHeight="1">
      <c r="A249" s="91" t="s">
        <v>216</v>
      </c>
      <c r="B249" s="92">
        <v>2025</v>
      </c>
      <c r="C249" s="93">
        <v>45717</v>
      </c>
      <c r="D249" s="94" t="s">
        <v>57</v>
      </c>
      <c r="E249" s="95">
        <v>4039.2</v>
      </c>
    </row>
    <row r="250" spans="1:5" ht="15" customHeight="1">
      <c r="A250" s="91" t="s">
        <v>216</v>
      </c>
      <c r="B250" s="92">
        <v>2025</v>
      </c>
      <c r="C250" s="93">
        <v>45717</v>
      </c>
      <c r="D250" s="94" t="s">
        <v>193</v>
      </c>
      <c r="E250" s="95">
        <v>20808.16</v>
      </c>
    </row>
    <row r="251" spans="1:5" ht="15" customHeight="1">
      <c r="A251" s="91" t="s">
        <v>216</v>
      </c>
      <c r="B251" s="92">
        <v>2025</v>
      </c>
      <c r="C251" s="93">
        <v>45717</v>
      </c>
      <c r="D251" s="94" t="s">
        <v>61</v>
      </c>
      <c r="E251" s="95">
        <v>1518</v>
      </c>
    </row>
    <row r="252" spans="1:5" ht="15" customHeight="1">
      <c r="A252" s="91" t="s">
        <v>216</v>
      </c>
      <c r="B252" s="92">
        <v>2025</v>
      </c>
      <c r="C252" s="93">
        <v>45717</v>
      </c>
      <c r="D252" s="94" t="s">
        <v>219</v>
      </c>
      <c r="E252" s="95">
        <v>1465.31</v>
      </c>
    </row>
    <row r="253" spans="1:5" ht="15" customHeight="1">
      <c r="A253" s="91" t="s">
        <v>216</v>
      </c>
      <c r="B253" s="92">
        <v>2025</v>
      </c>
      <c r="C253" s="93">
        <v>45717</v>
      </c>
      <c r="D253" s="94" t="s">
        <v>62</v>
      </c>
      <c r="E253" s="95">
        <v>25412.33</v>
      </c>
    </row>
    <row r="254" spans="1:5" ht="15" customHeight="1">
      <c r="A254" s="91" t="s">
        <v>216</v>
      </c>
      <c r="B254" s="92">
        <v>2025</v>
      </c>
      <c r="C254" s="93">
        <v>45717</v>
      </c>
      <c r="D254" s="94" t="s">
        <v>63</v>
      </c>
      <c r="E254" s="95">
        <v>821.95</v>
      </c>
    </row>
    <row r="255" spans="1:5" ht="15" customHeight="1">
      <c r="A255" s="91" t="s">
        <v>216</v>
      </c>
      <c r="B255" s="92">
        <v>2025</v>
      </c>
      <c r="C255" s="93">
        <v>45717</v>
      </c>
      <c r="D255" s="94" t="s">
        <v>64</v>
      </c>
      <c r="E255" s="95">
        <v>64.7</v>
      </c>
    </row>
    <row r="256" spans="1:5" ht="15" customHeight="1">
      <c r="A256" s="91" t="s">
        <v>216</v>
      </c>
      <c r="B256" s="92">
        <v>2025</v>
      </c>
      <c r="C256" s="93">
        <v>45717</v>
      </c>
      <c r="D256" s="94" t="s">
        <v>66</v>
      </c>
      <c r="E256" s="95">
        <v>950.37</v>
      </c>
    </row>
    <row r="257" spans="1:5" ht="15" customHeight="1">
      <c r="A257" s="91" t="s">
        <v>216</v>
      </c>
      <c r="B257" s="92">
        <v>2025</v>
      </c>
      <c r="C257" s="93">
        <v>45717</v>
      </c>
      <c r="D257" s="94" t="s">
        <v>68</v>
      </c>
      <c r="E257" s="95">
        <v>1542.67</v>
      </c>
    </row>
    <row r="258" spans="1:5" ht="15" customHeight="1">
      <c r="A258" s="91" t="s">
        <v>216</v>
      </c>
      <c r="B258" s="92">
        <v>2025</v>
      </c>
      <c r="C258" s="93">
        <v>45717</v>
      </c>
      <c r="D258" s="94" t="s">
        <v>69</v>
      </c>
      <c r="E258" s="95">
        <v>45644.04</v>
      </c>
    </row>
    <row r="259" spans="1:5" ht="15" customHeight="1">
      <c r="A259" s="91" t="s">
        <v>216</v>
      </c>
      <c r="B259" s="92">
        <v>2025</v>
      </c>
      <c r="C259" s="93">
        <v>45717</v>
      </c>
      <c r="D259" s="94" t="s">
        <v>232</v>
      </c>
      <c r="E259" s="95">
        <v>800</v>
      </c>
    </row>
    <row r="260" spans="1:5" ht="15" customHeight="1">
      <c r="A260" s="91" t="s">
        <v>216</v>
      </c>
      <c r="B260" s="92">
        <v>2025</v>
      </c>
      <c r="C260" s="93">
        <v>45717</v>
      </c>
      <c r="D260" s="94" t="s">
        <v>70</v>
      </c>
      <c r="E260" s="95">
        <v>49.03</v>
      </c>
    </row>
    <row r="261" spans="1:5" ht="15" customHeight="1">
      <c r="A261" s="91" t="s">
        <v>216</v>
      </c>
      <c r="B261" s="92">
        <v>2025</v>
      </c>
      <c r="C261" s="93">
        <v>45717</v>
      </c>
      <c r="D261" s="94" t="s">
        <v>220</v>
      </c>
      <c r="E261" s="95">
        <v>2901.23</v>
      </c>
    </row>
    <row r="262" spans="1:5" ht="15" customHeight="1">
      <c r="A262" s="91" t="s">
        <v>216</v>
      </c>
      <c r="B262" s="92">
        <v>2025</v>
      </c>
      <c r="C262" s="93">
        <v>45717</v>
      </c>
      <c r="D262" s="94" t="s">
        <v>71</v>
      </c>
      <c r="E262" s="95">
        <v>30369.75</v>
      </c>
    </row>
    <row r="263" spans="1:5" ht="15" customHeight="1">
      <c r="A263" s="91" t="s">
        <v>216</v>
      </c>
      <c r="B263" s="92">
        <v>2025</v>
      </c>
      <c r="C263" s="93">
        <v>45717</v>
      </c>
      <c r="D263" s="94" t="s">
        <v>77</v>
      </c>
      <c r="E263" s="95">
        <v>1200</v>
      </c>
    </row>
    <row r="264" spans="1:5" ht="15" customHeight="1">
      <c r="A264" s="91" t="s">
        <v>216</v>
      </c>
      <c r="B264" s="92">
        <v>2025</v>
      </c>
      <c r="C264" s="93">
        <v>45717</v>
      </c>
      <c r="D264" s="94" t="s">
        <v>223</v>
      </c>
      <c r="E264" s="95">
        <v>2147.6</v>
      </c>
    </row>
    <row r="265" spans="1:5" ht="15" customHeight="1">
      <c r="A265" s="91" t="s">
        <v>216</v>
      </c>
      <c r="B265" s="92">
        <v>2025</v>
      </c>
      <c r="C265" s="93">
        <v>45717</v>
      </c>
      <c r="D265" s="94" t="s">
        <v>73</v>
      </c>
      <c r="E265" s="95">
        <v>633.01</v>
      </c>
    </row>
    <row r="266" spans="1:5" ht="15" customHeight="1">
      <c r="A266" s="91" t="s">
        <v>216</v>
      </c>
      <c r="B266" s="92">
        <v>2025</v>
      </c>
      <c r="C266" s="93">
        <v>45717</v>
      </c>
      <c r="D266" s="94" t="s">
        <v>74</v>
      </c>
      <c r="E266" s="95">
        <v>469.6</v>
      </c>
    </row>
    <row r="267" spans="1:5" ht="15" customHeight="1">
      <c r="A267" s="91" t="s">
        <v>216</v>
      </c>
      <c r="B267" s="92">
        <v>2025</v>
      </c>
      <c r="C267" s="93">
        <v>45717</v>
      </c>
      <c r="D267" s="94" t="s">
        <v>226</v>
      </c>
      <c r="E267" s="95">
        <v>314.92</v>
      </c>
    </row>
    <row r="268" spans="1:5" ht="15" customHeight="1">
      <c r="A268" s="91" t="s">
        <v>216</v>
      </c>
      <c r="B268" s="92">
        <v>2025</v>
      </c>
      <c r="C268" s="93">
        <v>45748</v>
      </c>
      <c r="D268" s="94" t="s">
        <v>217</v>
      </c>
      <c r="E268" s="95">
        <v>102.75</v>
      </c>
    </row>
    <row r="269" spans="1:5" ht="15" customHeight="1">
      <c r="A269" s="91" t="s">
        <v>216</v>
      </c>
      <c r="B269" s="92">
        <v>2025</v>
      </c>
      <c r="C269" s="93">
        <v>45748</v>
      </c>
      <c r="D269" s="94" t="s">
        <v>251</v>
      </c>
      <c r="E269" s="95">
        <v>411.53</v>
      </c>
    </row>
    <row r="270" spans="1:5" ht="15" customHeight="1">
      <c r="A270" s="91" t="s">
        <v>216</v>
      </c>
      <c r="B270" s="92">
        <v>2025</v>
      </c>
      <c r="C270" s="93">
        <v>45748</v>
      </c>
      <c r="D270" s="94" t="s">
        <v>57</v>
      </c>
      <c r="E270" s="95">
        <v>162.82</v>
      </c>
    </row>
    <row r="271" spans="1:5" ht="15" customHeight="1">
      <c r="A271" s="91" t="s">
        <v>216</v>
      </c>
      <c r="B271" s="92">
        <v>2025</v>
      </c>
      <c r="C271" s="93">
        <v>45748</v>
      </c>
      <c r="D271" s="94" t="s">
        <v>219</v>
      </c>
      <c r="E271" s="95">
        <v>1465.31</v>
      </c>
    </row>
    <row r="272" spans="1:5" ht="15" customHeight="1">
      <c r="A272" s="91" t="s">
        <v>216</v>
      </c>
      <c r="B272" s="92">
        <v>2025</v>
      </c>
      <c r="C272" s="93">
        <v>45748</v>
      </c>
      <c r="D272" s="94" t="s">
        <v>63</v>
      </c>
      <c r="E272" s="95">
        <v>821.95</v>
      </c>
    </row>
    <row r="273" spans="1:5" ht="15" customHeight="1">
      <c r="A273" s="91" t="s">
        <v>216</v>
      </c>
      <c r="B273" s="92">
        <v>2025</v>
      </c>
      <c r="C273" s="93">
        <v>45748</v>
      </c>
      <c r="D273" s="94" t="s">
        <v>64</v>
      </c>
      <c r="E273" s="95">
        <v>812</v>
      </c>
    </row>
    <row r="274" spans="1:5" ht="15" customHeight="1">
      <c r="A274" s="91" t="s">
        <v>216</v>
      </c>
      <c r="B274" s="92">
        <v>2025</v>
      </c>
      <c r="C274" s="93">
        <v>45748</v>
      </c>
      <c r="D274" s="94" t="s">
        <v>65</v>
      </c>
      <c r="E274" s="95">
        <v>179.98</v>
      </c>
    </row>
    <row r="275" spans="1:5" ht="15" customHeight="1">
      <c r="A275" s="91" t="s">
        <v>216</v>
      </c>
      <c r="B275" s="92">
        <v>2025</v>
      </c>
      <c r="C275" s="93">
        <v>45748</v>
      </c>
      <c r="D275" s="94" t="s">
        <v>69</v>
      </c>
      <c r="E275" s="95">
        <v>47961.58</v>
      </c>
    </row>
    <row r="276" spans="1:5" ht="15" customHeight="1">
      <c r="A276" s="91" t="s">
        <v>216</v>
      </c>
      <c r="B276" s="92">
        <v>2025</v>
      </c>
      <c r="C276" s="93">
        <v>45748</v>
      </c>
      <c r="D276" s="94" t="s">
        <v>78</v>
      </c>
      <c r="E276" s="95">
        <v>14.97</v>
      </c>
    </row>
    <row r="277" spans="1:5" ht="15" customHeight="1">
      <c r="A277" s="91" t="s">
        <v>216</v>
      </c>
      <c r="B277" s="92">
        <v>2025</v>
      </c>
      <c r="C277" s="93">
        <v>45748</v>
      </c>
      <c r="D277" s="94" t="s">
        <v>71</v>
      </c>
      <c r="E277" s="95">
        <v>30000</v>
      </c>
    </row>
    <row r="278" spans="1:5" ht="15" customHeight="1">
      <c r="A278" s="91" t="s">
        <v>216</v>
      </c>
      <c r="B278" s="92">
        <v>2025</v>
      </c>
      <c r="C278" s="93">
        <v>45748</v>
      </c>
      <c r="D278" s="94" t="s">
        <v>77</v>
      </c>
      <c r="E278" s="95">
        <v>3375</v>
      </c>
    </row>
    <row r="279" spans="1:5" ht="15" customHeight="1">
      <c r="A279" s="91" t="s">
        <v>216</v>
      </c>
      <c r="B279" s="92">
        <v>2025</v>
      </c>
      <c r="C279" s="93">
        <v>45748</v>
      </c>
      <c r="D279" s="94" t="s">
        <v>73</v>
      </c>
      <c r="E279" s="95">
        <v>633.01</v>
      </c>
    </row>
    <row r="280" spans="1:5" ht="15" customHeight="1">
      <c r="A280" s="91" t="s">
        <v>216</v>
      </c>
      <c r="B280" s="92">
        <v>2025</v>
      </c>
      <c r="C280" s="93">
        <v>45748</v>
      </c>
      <c r="D280" s="94" t="s">
        <v>74</v>
      </c>
      <c r="E280" s="95">
        <v>430.1</v>
      </c>
    </row>
    <row r="281" spans="1:5" ht="15" customHeight="1">
      <c r="A281" s="91" t="s">
        <v>216</v>
      </c>
      <c r="B281" s="92">
        <v>2025</v>
      </c>
      <c r="C281" s="93">
        <v>45748</v>
      </c>
      <c r="D281" s="94" t="s">
        <v>226</v>
      </c>
      <c r="E281" s="95">
        <v>144.36000000000001</v>
      </c>
    </row>
    <row r="282" spans="1:5" ht="15" customHeight="1">
      <c r="A282" s="91" t="s">
        <v>216</v>
      </c>
      <c r="B282" s="92">
        <v>2025</v>
      </c>
      <c r="C282" s="93">
        <v>45778</v>
      </c>
      <c r="D282" s="94" t="s">
        <v>217</v>
      </c>
      <c r="E282" s="95">
        <v>102.75</v>
      </c>
    </row>
    <row r="283" spans="1:5" ht="15" customHeight="1">
      <c r="A283" s="91" t="s">
        <v>216</v>
      </c>
      <c r="B283" s="92">
        <v>2025</v>
      </c>
      <c r="C283" s="93">
        <v>45778</v>
      </c>
      <c r="D283" s="94" t="s">
        <v>251</v>
      </c>
      <c r="E283" s="95">
        <v>12.5</v>
      </c>
    </row>
    <row r="284" spans="1:5" ht="15" customHeight="1">
      <c r="A284" s="91" t="s">
        <v>216</v>
      </c>
      <c r="B284" s="92">
        <v>2025</v>
      </c>
      <c r="C284" s="93">
        <v>45778</v>
      </c>
      <c r="D284" s="94" t="s">
        <v>198</v>
      </c>
      <c r="E284" s="95">
        <v>184.9</v>
      </c>
    </row>
    <row r="285" spans="1:5" ht="15" customHeight="1">
      <c r="A285" s="91" t="s">
        <v>216</v>
      </c>
      <c r="B285" s="92">
        <v>2025</v>
      </c>
      <c r="C285" s="93">
        <v>45778</v>
      </c>
      <c r="D285" s="94" t="s">
        <v>76</v>
      </c>
      <c r="E285" s="95">
        <v>200</v>
      </c>
    </row>
    <row r="286" spans="1:5" ht="15" customHeight="1">
      <c r="A286" s="91" t="s">
        <v>216</v>
      </c>
      <c r="B286" s="92">
        <v>2025</v>
      </c>
      <c r="C286" s="93">
        <v>45778</v>
      </c>
      <c r="D286" s="94" t="s">
        <v>61</v>
      </c>
      <c r="E286" s="95">
        <v>2018</v>
      </c>
    </row>
    <row r="287" spans="1:5" ht="15" customHeight="1">
      <c r="A287" s="91" t="s">
        <v>216</v>
      </c>
      <c r="B287" s="92">
        <v>2025</v>
      </c>
      <c r="C287" s="93">
        <v>45778</v>
      </c>
      <c r="D287" s="94" t="s">
        <v>219</v>
      </c>
      <c r="E287" s="95">
        <v>3842.31</v>
      </c>
    </row>
    <row r="288" spans="1:5" ht="15" customHeight="1">
      <c r="A288" s="91" t="s">
        <v>216</v>
      </c>
      <c r="B288" s="92">
        <v>2025</v>
      </c>
      <c r="C288" s="93">
        <v>45778</v>
      </c>
      <c r="D288" s="94" t="s">
        <v>62</v>
      </c>
      <c r="E288" s="95">
        <v>3880.8</v>
      </c>
    </row>
    <row r="289" spans="1:5" ht="15" customHeight="1">
      <c r="A289" s="91" t="s">
        <v>216</v>
      </c>
      <c r="B289" s="92">
        <v>2025</v>
      </c>
      <c r="C289" s="93">
        <v>45778</v>
      </c>
      <c r="D289" s="94" t="s">
        <v>259</v>
      </c>
      <c r="E289" s="95">
        <v>3793.46</v>
      </c>
    </row>
    <row r="290" spans="1:5" ht="15" customHeight="1">
      <c r="A290" s="91" t="s">
        <v>216</v>
      </c>
      <c r="B290" s="92">
        <v>2025</v>
      </c>
      <c r="C290" s="93">
        <v>45778</v>
      </c>
      <c r="D290" s="94" t="s">
        <v>63</v>
      </c>
      <c r="E290" s="95">
        <v>1021.95</v>
      </c>
    </row>
    <row r="291" spans="1:5" ht="15" customHeight="1">
      <c r="A291" s="91" t="s">
        <v>216</v>
      </c>
      <c r="B291" s="92">
        <v>2025</v>
      </c>
      <c r="C291" s="93">
        <v>45778</v>
      </c>
      <c r="D291" s="94" t="s">
        <v>64</v>
      </c>
      <c r="E291" s="95">
        <v>819.02</v>
      </c>
    </row>
    <row r="292" spans="1:5" ht="15" customHeight="1">
      <c r="A292" s="91" t="s">
        <v>216</v>
      </c>
      <c r="B292" s="92">
        <v>2025</v>
      </c>
      <c r="C292" s="93">
        <v>45778</v>
      </c>
      <c r="D292" s="94" t="s">
        <v>65</v>
      </c>
      <c r="E292" s="95">
        <v>179.98</v>
      </c>
    </row>
    <row r="293" spans="1:5" ht="15" customHeight="1">
      <c r="A293" s="91" t="s">
        <v>216</v>
      </c>
      <c r="B293" s="92">
        <v>2025</v>
      </c>
      <c r="C293" s="93">
        <v>45778</v>
      </c>
      <c r="D293" s="94" t="s">
        <v>66</v>
      </c>
      <c r="E293" s="95">
        <v>8731.76</v>
      </c>
    </row>
    <row r="294" spans="1:5" ht="15" customHeight="1">
      <c r="A294" s="91" t="s">
        <v>216</v>
      </c>
      <c r="B294" s="92">
        <v>2025</v>
      </c>
      <c r="C294" s="93">
        <v>45778</v>
      </c>
      <c r="D294" s="94" t="s">
        <v>68</v>
      </c>
      <c r="E294" s="95">
        <v>8007.13</v>
      </c>
    </row>
    <row r="295" spans="1:5" ht="15" customHeight="1">
      <c r="A295" s="91" t="s">
        <v>216</v>
      </c>
      <c r="B295" s="92">
        <v>2025</v>
      </c>
      <c r="C295" s="93">
        <v>45778</v>
      </c>
      <c r="D295" s="94" t="s">
        <v>69</v>
      </c>
      <c r="E295" s="95">
        <v>45819.96</v>
      </c>
    </row>
    <row r="296" spans="1:5" ht="15" customHeight="1">
      <c r="A296" s="91" t="s">
        <v>216</v>
      </c>
      <c r="B296" s="92">
        <v>2025</v>
      </c>
      <c r="C296" s="93">
        <v>45778</v>
      </c>
      <c r="D296" s="94" t="s">
        <v>260</v>
      </c>
      <c r="E296" s="95">
        <v>540</v>
      </c>
    </row>
    <row r="297" spans="1:5" ht="15" customHeight="1">
      <c r="A297" s="91" t="s">
        <v>216</v>
      </c>
      <c r="B297" s="92">
        <v>2025</v>
      </c>
      <c r="C297" s="93">
        <v>45778</v>
      </c>
      <c r="D297" s="94" t="s">
        <v>232</v>
      </c>
      <c r="E297" s="95">
        <v>436.25</v>
      </c>
    </row>
    <row r="298" spans="1:5" ht="15" customHeight="1">
      <c r="A298" s="91" t="s">
        <v>216</v>
      </c>
      <c r="B298" s="92">
        <v>2025</v>
      </c>
      <c r="C298" s="93">
        <v>45778</v>
      </c>
      <c r="D298" s="94" t="s">
        <v>70</v>
      </c>
      <c r="E298" s="95">
        <v>333.9</v>
      </c>
    </row>
    <row r="299" spans="1:5" ht="15" customHeight="1">
      <c r="A299" s="91" t="s">
        <v>216</v>
      </c>
      <c r="B299" s="92">
        <v>2025</v>
      </c>
      <c r="C299" s="93">
        <v>45778</v>
      </c>
      <c r="D299" s="94" t="s">
        <v>220</v>
      </c>
      <c r="E299" s="95">
        <v>2932.73</v>
      </c>
    </row>
    <row r="300" spans="1:5" ht="15" customHeight="1">
      <c r="A300" s="91" t="s">
        <v>216</v>
      </c>
      <c r="B300" s="92">
        <v>2025</v>
      </c>
      <c r="C300" s="93">
        <v>45778</v>
      </c>
      <c r="D300" s="94" t="s">
        <v>71</v>
      </c>
      <c r="E300" s="95">
        <v>2415.91</v>
      </c>
    </row>
    <row r="301" spans="1:5" ht="15" customHeight="1">
      <c r="A301" s="91" t="s">
        <v>216</v>
      </c>
      <c r="B301" s="92">
        <v>2025</v>
      </c>
      <c r="C301" s="93">
        <v>45778</v>
      </c>
      <c r="D301" s="94" t="s">
        <v>72</v>
      </c>
      <c r="E301" s="95">
        <v>11</v>
      </c>
    </row>
    <row r="302" spans="1:5" ht="15" customHeight="1">
      <c r="A302" s="91" t="s">
        <v>216</v>
      </c>
      <c r="B302" s="92">
        <v>2025</v>
      </c>
      <c r="C302" s="93">
        <v>45778</v>
      </c>
      <c r="D302" s="94" t="s">
        <v>223</v>
      </c>
      <c r="E302" s="95">
        <v>2077.6</v>
      </c>
    </row>
    <row r="303" spans="1:5" ht="15" customHeight="1">
      <c r="A303" s="91" t="s">
        <v>216</v>
      </c>
      <c r="B303" s="92">
        <v>2025</v>
      </c>
      <c r="C303" s="93">
        <v>45778</v>
      </c>
      <c r="D303" s="94" t="s">
        <v>73</v>
      </c>
      <c r="E303" s="95">
        <v>633.01</v>
      </c>
    </row>
    <row r="304" spans="1:5" ht="15" customHeight="1">
      <c r="A304" s="91" t="s">
        <v>216</v>
      </c>
      <c r="B304" s="92">
        <v>2025</v>
      </c>
      <c r="C304" s="93">
        <v>45778</v>
      </c>
      <c r="D304" s="94" t="s">
        <v>74</v>
      </c>
      <c r="E304" s="95">
        <v>438.94</v>
      </c>
    </row>
    <row r="305" spans="1:5" ht="15" customHeight="1">
      <c r="A305" s="91" t="s">
        <v>216</v>
      </c>
      <c r="B305" s="92">
        <v>2025</v>
      </c>
      <c r="C305" s="93">
        <v>45778</v>
      </c>
      <c r="D305" s="94" t="s">
        <v>226</v>
      </c>
      <c r="E305" s="95">
        <v>144.36000000000001</v>
      </c>
    </row>
    <row r="306" spans="1:5" ht="15" customHeight="1">
      <c r="A306" s="91" t="s">
        <v>216</v>
      </c>
      <c r="B306" s="92">
        <v>2025</v>
      </c>
      <c r="C306" s="93">
        <v>45809</v>
      </c>
      <c r="D306" s="94" t="s">
        <v>217</v>
      </c>
      <c r="E306" s="95">
        <v>102.75</v>
      </c>
    </row>
    <row r="307" spans="1:5" ht="15" customHeight="1">
      <c r="A307" s="91" t="s">
        <v>216</v>
      </c>
      <c r="B307" s="92">
        <v>2025</v>
      </c>
      <c r="C307" s="93">
        <v>45809</v>
      </c>
      <c r="D307" s="94" t="s">
        <v>191</v>
      </c>
      <c r="E307" s="95">
        <v>661</v>
      </c>
    </row>
    <row r="308" spans="1:5" ht="15" customHeight="1">
      <c r="A308" s="91" t="s">
        <v>216</v>
      </c>
      <c r="B308" s="92">
        <v>2025</v>
      </c>
      <c r="C308" s="93">
        <v>45809</v>
      </c>
      <c r="D308" s="94" t="s">
        <v>75</v>
      </c>
      <c r="E308" s="95">
        <v>700</v>
      </c>
    </row>
    <row r="309" spans="1:5" ht="15" customHeight="1">
      <c r="A309" s="91" t="s">
        <v>216</v>
      </c>
      <c r="B309" s="92">
        <v>2025</v>
      </c>
      <c r="C309" s="93">
        <v>45809</v>
      </c>
      <c r="D309" s="94" t="s">
        <v>192</v>
      </c>
      <c r="E309" s="95">
        <v>22528.799999999999</v>
      </c>
    </row>
    <row r="310" spans="1:5" ht="15" customHeight="1">
      <c r="A310" s="91" t="s">
        <v>216</v>
      </c>
      <c r="B310" s="92">
        <v>2025</v>
      </c>
      <c r="C310" s="93">
        <v>45809</v>
      </c>
      <c r="D310" s="94" t="s">
        <v>58</v>
      </c>
      <c r="E310" s="95">
        <v>1297.19</v>
      </c>
    </row>
    <row r="311" spans="1:5" ht="15" customHeight="1">
      <c r="A311" s="91" t="s">
        <v>216</v>
      </c>
      <c r="B311" s="92">
        <v>2025</v>
      </c>
      <c r="C311" s="93">
        <v>45809</v>
      </c>
      <c r="D311" s="94" t="s">
        <v>251</v>
      </c>
      <c r="E311" s="95">
        <v>193.64</v>
      </c>
    </row>
    <row r="312" spans="1:5" ht="15" customHeight="1">
      <c r="A312" s="91" t="s">
        <v>216</v>
      </c>
      <c r="B312" s="92">
        <v>2025</v>
      </c>
      <c r="C312" s="93">
        <v>45809</v>
      </c>
      <c r="D312" s="94" t="s">
        <v>61</v>
      </c>
      <c r="E312" s="95">
        <v>1698</v>
      </c>
    </row>
    <row r="313" spans="1:5" ht="15" customHeight="1">
      <c r="A313" s="91" t="s">
        <v>216</v>
      </c>
      <c r="B313" s="92">
        <v>2025</v>
      </c>
      <c r="C313" s="93">
        <v>45809</v>
      </c>
      <c r="D313" s="94" t="s">
        <v>219</v>
      </c>
      <c r="E313" s="95">
        <v>235.31</v>
      </c>
    </row>
    <row r="314" spans="1:5" ht="15" customHeight="1">
      <c r="A314" s="91" t="s">
        <v>216</v>
      </c>
      <c r="B314" s="92">
        <v>2025</v>
      </c>
      <c r="C314" s="93">
        <v>45809</v>
      </c>
      <c r="D314" s="94" t="s">
        <v>62</v>
      </c>
      <c r="E314" s="95">
        <v>1123</v>
      </c>
    </row>
    <row r="315" spans="1:5" ht="15" customHeight="1">
      <c r="A315" s="91" t="s">
        <v>216</v>
      </c>
      <c r="B315" s="92">
        <v>2025</v>
      </c>
      <c r="C315" s="93">
        <v>45809</v>
      </c>
      <c r="D315" s="94" t="s">
        <v>259</v>
      </c>
      <c r="E315" s="95">
        <v>12417.85</v>
      </c>
    </row>
    <row r="316" spans="1:5" ht="15" customHeight="1">
      <c r="A316" s="91" t="s">
        <v>216</v>
      </c>
      <c r="B316" s="92">
        <v>2025</v>
      </c>
      <c r="C316" s="93">
        <v>45809</v>
      </c>
      <c r="D316" s="94" t="s">
        <v>63</v>
      </c>
      <c r="E316" s="95">
        <v>896.95</v>
      </c>
    </row>
    <row r="317" spans="1:5" ht="15" customHeight="1">
      <c r="A317" s="91" t="s">
        <v>216</v>
      </c>
      <c r="B317" s="92">
        <v>2025</v>
      </c>
      <c r="C317" s="93">
        <v>45809</v>
      </c>
      <c r="D317" s="94" t="s">
        <v>64</v>
      </c>
      <c r="E317" s="95">
        <v>895.89</v>
      </c>
    </row>
    <row r="318" spans="1:5" ht="15" customHeight="1">
      <c r="A318" s="91" t="s">
        <v>216</v>
      </c>
      <c r="B318" s="92">
        <v>2025</v>
      </c>
      <c r="C318" s="93">
        <v>45809</v>
      </c>
      <c r="D318" s="94" t="s">
        <v>65</v>
      </c>
      <c r="E318" s="95">
        <v>183</v>
      </c>
    </row>
    <row r="319" spans="1:5" ht="15" customHeight="1">
      <c r="A319" s="91" t="s">
        <v>216</v>
      </c>
      <c r="B319" s="92">
        <v>2025</v>
      </c>
      <c r="C319" s="93">
        <v>45809</v>
      </c>
      <c r="D319" s="94" t="s">
        <v>66</v>
      </c>
      <c r="E319" s="95">
        <v>137.71</v>
      </c>
    </row>
    <row r="320" spans="1:5" ht="15" customHeight="1">
      <c r="A320" s="91" t="s">
        <v>216</v>
      </c>
      <c r="B320" s="92">
        <v>2025</v>
      </c>
      <c r="C320" s="93">
        <v>45809</v>
      </c>
      <c r="D320" s="94" t="s">
        <v>68</v>
      </c>
      <c r="E320" s="95">
        <v>147.25</v>
      </c>
    </row>
    <row r="321" spans="1:5" ht="15" customHeight="1">
      <c r="A321" s="91" t="s">
        <v>216</v>
      </c>
      <c r="B321" s="92">
        <v>2025</v>
      </c>
      <c r="C321" s="93">
        <v>45809</v>
      </c>
      <c r="D321" s="94" t="s">
        <v>269</v>
      </c>
      <c r="E321" s="95">
        <v>3783.28</v>
      </c>
    </row>
    <row r="322" spans="1:5" ht="15" customHeight="1">
      <c r="A322" s="91" t="s">
        <v>216</v>
      </c>
      <c r="B322" s="92">
        <v>2025</v>
      </c>
      <c r="C322" s="93">
        <v>45809</v>
      </c>
      <c r="D322" s="94" t="s">
        <v>69</v>
      </c>
      <c r="E322" s="95">
        <v>46524.44</v>
      </c>
    </row>
    <row r="323" spans="1:5" ht="15" customHeight="1">
      <c r="A323" s="91" t="s">
        <v>216</v>
      </c>
      <c r="B323" s="92">
        <v>2025</v>
      </c>
      <c r="C323" s="93">
        <v>45809</v>
      </c>
      <c r="D323" s="94" t="s">
        <v>232</v>
      </c>
      <c r="E323" s="95">
        <v>1935</v>
      </c>
    </row>
    <row r="324" spans="1:5" ht="15" customHeight="1">
      <c r="A324" s="91" t="s">
        <v>216</v>
      </c>
      <c r="B324" s="92">
        <v>2025</v>
      </c>
      <c r="C324" s="93">
        <v>45809</v>
      </c>
      <c r="D324" s="94" t="s">
        <v>194</v>
      </c>
      <c r="E324" s="95">
        <v>2748.5</v>
      </c>
    </row>
    <row r="325" spans="1:5" ht="15" customHeight="1">
      <c r="A325" s="91" t="s">
        <v>216</v>
      </c>
      <c r="B325" s="92">
        <v>2025</v>
      </c>
      <c r="C325" s="93">
        <v>45809</v>
      </c>
      <c r="D325" s="94" t="s">
        <v>220</v>
      </c>
      <c r="E325" s="95">
        <v>94089.35</v>
      </c>
    </row>
    <row r="326" spans="1:5" ht="15" customHeight="1">
      <c r="A326" s="91" t="s">
        <v>216</v>
      </c>
      <c r="B326" s="92">
        <v>2025</v>
      </c>
      <c r="C326" s="93">
        <v>45809</v>
      </c>
      <c r="D326" s="94" t="s">
        <v>71</v>
      </c>
      <c r="E326" s="95">
        <v>25325.87</v>
      </c>
    </row>
    <row r="327" spans="1:5" ht="15" customHeight="1">
      <c r="A327" s="91" t="s">
        <v>216</v>
      </c>
      <c r="B327" s="92">
        <v>2025</v>
      </c>
      <c r="C327" s="93">
        <v>45809</v>
      </c>
      <c r="D327" s="94" t="s">
        <v>72</v>
      </c>
      <c r="E327" s="95">
        <v>174.82</v>
      </c>
    </row>
    <row r="328" spans="1:5" ht="15" customHeight="1">
      <c r="A328" s="91" t="s">
        <v>216</v>
      </c>
      <c r="B328" s="92">
        <v>2025</v>
      </c>
      <c r="C328" s="93">
        <v>45809</v>
      </c>
      <c r="D328" s="94" t="s">
        <v>223</v>
      </c>
      <c r="E328" s="95">
        <v>2147.6</v>
      </c>
    </row>
    <row r="329" spans="1:5" ht="15" customHeight="1">
      <c r="A329" s="91" t="s">
        <v>216</v>
      </c>
      <c r="B329" s="92">
        <v>2025</v>
      </c>
      <c r="C329" s="93">
        <v>45809</v>
      </c>
      <c r="D329" s="94" t="s">
        <v>73</v>
      </c>
      <c r="E329" s="95">
        <v>633.01</v>
      </c>
    </row>
    <row r="330" spans="1:5" ht="15" customHeight="1">
      <c r="A330" s="91" t="s">
        <v>216</v>
      </c>
      <c r="B330" s="92">
        <v>2025</v>
      </c>
      <c r="C330" s="93">
        <v>45809</v>
      </c>
      <c r="D330" s="94" t="s">
        <v>74</v>
      </c>
      <c r="E330" s="95">
        <v>474.4</v>
      </c>
    </row>
    <row r="331" spans="1:5" ht="15" customHeight="1">
      <c r="A331" s="91" t="s">
        <v>216</v>
      </c>
      <c r="B331" s="92">
        <v>2025</v>
      </c>
      <c r="C331" s="93">
        <v>45809</v>
      </c>
      <c r="D331" s="94" t="s">
        <v>226</v>
      </c>
      <c r="E331" s="95">
        <v>144.36000000000001</v>
      </c>
    </row>
    <row r="332" spans="1:5" ht="15" customHeight="1">
      <c r="A332" s="91" t="s">
        <v>216</v>
      </c>
      <c r="B332" s="92">
        <v>2025</v>
      </c>
      <c r="C332" s="93">
        <v>45839</v>
      </c>
      <c r="D332" s="94" t="s">
        <v>217</v>
      </c>
      <c r="E332" s="95">
        <v>102.75</v>
      </c>
    </row>
    <row r="333" spans="1:5" ht="15" customHeight="1">
      <c r="A333" s="91" t="s">
        <v>216</v>
      </c>
      <c r="B333" s="92">
        <v>2025</v>
      </c>
      <c r="C333" s="93">
        <v>45839</v>
      </c>
      <c r="D333" s="94" t="s">
        <v>191</v>
      </c>
      <c r="E333" s="95">
        <v>2560.1799999999998</v>
      </c>
    </row>
    <row r="334" spans="1:5" ht="15" customHeight="1">
      <c r="A334" s="91" t="s">
        <v>216</v>
      </c>
      <c r="B334" s="92">
        <v>2025</v>
      </c>
      <c r="C334" s="93">
        <v>45839</v>
      </c>
      <c r="D334" s="94" t="s">
        <v>75</v>
      </c>
      <c r="E334" s="95">
        <v>906.18</v>
      </c>
    </row>
    <row r="335" spans="1:5" ht="15" customHeight="1">
      <c r="A335" s="91" t="s">
        <v>216</v>
      </c>
      <c r="B335" s="92">
        <v>2025</v>
      </c>
      <c r="C335" s="93">
        <v>45839</v>
      </c>
      <c r="D335" s="94" t="s">
        <v>192</v>
      </c>
      <c r="E335" s="95">
        <v>58927.62</v>
      </c>
    </row>
    <row r="336" spans="1:5" ht="15" customHeight="1">
      <c r="A336" s="91" t="s">
        <v>216</v>
      </c>
      <c r="B336" s="92">
        <v>2025</v>
      </c>
      <c r="C336" s="93">
        <v>45839</v>
      </c>
      <c r="D336" s="94" t="s">
        <v>181</v>
      </c>
      <c r="E336" s="95">
        <v>28863.69</v>
      </c>
    </row>
    <row r="337" spans="1:5" ht="15" customHeight="1">
      <c r="A337" s="91" t="s">
        <v>216</v>
      </c>
      <c r="B337" s="92">
        <v>2025</v>
      </c>
      <c r="C337" s="93">
        <v>45839</v>
      </c>
      <c r="D337" s="94" t="s">
        <v>251</v>
      </c>
      <c r="E337" s="95">
        <v>956.68</v>
      </c>
    </row>
    <row r="338" spans="1:5" ht="15" customHeight="1">
      <c r="A338" s="91" t="s">
        <v>216</v>
      </c>
      <c r="B338" s="92">
        <v>2025</v>
      </c>
      <c r="C338" s="93">
        <v>45839</v>
      </c>
      <c r="D338" s="94" t="s">
        <v>198</v>
      </c>
      <c r="E338" s="95">
        <v>413.7</v>
      </c>
    </row>
    <row r="339" spans="1:5" ht="15" customHeight="1">
      <c r="A339" s="91" t="s">
        <v>216</v>
      </c>
      <c r="B339" s="92">
        <v>2025</v>
      </c>
      <c r="C339" s="93">
        <v>45839</v>
      </c>
      <c r="D339" s="94" t="s">
        <v>59</v>
      </c>
      <c r="E339" s="95">
        <v>386.43</v>
      </c>
    </row>
    <row r="340" spans="1:5" ht="15" customHeight="1">
      <c r="A340" s="91" t="s">
        <v>216</v>
      </c>
      <c r="B340" s="92">
        <v>2025</v>
      </c>
      <c r="C340" s="93">
        <v>45839</v>
      </c>
      <c r="D340" s="94" t="s">
        <v>231</v>
      </c>
      <c r="E340" s="95">
        <v>1083.5999999999999</v>
      </c>
    </row>
    <row r="341" spans="1:5" ht="15" customHeight="1">
      <c r="A341" s="91" t="s">
        <v>216</v>
      </c>
      <c r="B341" s="92">
        <v>2025</v>
      </c>
      <c r="C341" s="93">
        <v>45839</v>
      </c>
      <c r="D341" s="94" t="s">
        <v>61</v>
      </c>
      <c r="E341" s="95">
        <v>1518</v>
      </c>
    </row>
    <row r="342" spans="1:5" ht="15" customHeight="1">
      <c r="A342" s="91" t="s">
        <v>216</v>
      </c>
      <c r="B342" s="92">
        <v>2025</v>
      </c>
      <c r="C342" s="93">
        <v>45839</v>
      </c>
      <c r="D342" s="94" t="s">
        <v>219</v>
      </c>
      <c r="E342" s="95">
        <v>100.04</v>
      </c>
    </row>
    <row r="343" spans="1:5" ht="15" customHeight="1">
      <c r="A343" s="91" t="s">
        <v>216</v>
      </c>
      <c r="B343" s="92">
        <v>2025</v>
      </c>
      <c r="C343" s="93">
        <v>45839</v>
      </c>
      <c r="D343" s="94" t="s">
        <v>63</v>
      </c>
      <c r="E343" s="95">
        <v>896.95</v>
      </c>
    </row>
    <row r="344" spans="1:5" ht="15" customHeight="1">
      <c r="A344" s="91" t="s">
        <v>216</v>
      </c>
      <c r="B344" s="92">
        <v>2025</v>
      </c>
      <c r="C344" s="93">
        <v>45839</v>
      </c>
      <c r="D344" s="94" t="s">
        <v>64</v>
      </c>
      <c r="E344" s="95">
        <v>806</v>
      </c>
    </row>
    <row r="345" spans="1:5" ht="15" customHeight="1">
      <c r="A345" s="91" t="s">
        <v>216</v>
      </c>
      <c r="B345" s="92">
        <v>2025</v>
      </c>
      <c r="C345" s="93">
        <v>45839</v>
      </c>
      <c r="D345" s="94" t="s">
        <v>65</v>
      </c>
      <c r="E345" s="95">
        <v>182.8</v>
      </c>
    </row>
    <row r="346" spans="1:5" ht="15" customHeight="1">
      <c r="A346" s="91" t="s">
        <v>216</v>
      </c>
      <c r="B346" s="92">
        <v>2025</v>
      </c>
      <c r="C346" s="93">
        <v>45839</v>
      </c>
      <c r="D346" s="94" t="s">
        <v>66</v>
      </c>
      <c r="E346" s="95">
        <v>50.52</v>
      </c>
    </row>
    <row r="347" spans="1:5" ht="15" customHeight="1">
      <c r="A347" s="91" t="s">
        <v>216</v>
      </c>
      <c r="B347" s="92">
        <v>2025</v>
      </c>
      <c r="C347" s="93">
        <v>45839</v>
      </c>
      <c r="D347" s="94" t="s">
        <v>67</v>
      </c>
      <c r="E347" s="95">
        <v>262.17</v>
      </c>
    </row>
    <row r="348" spans="1:5" ht="15" customHeight="1">
      <c r="A348" s="91" t="s">
        <v>216</v>
      </c>
      <c r="B348" s="92">
        <v>2025</v>
      </c>
      <c r="C348" s="93">
        <v>45839</v>
      </c>
      <c r="D348" s="94" t="s">
        <v>68</v>
      </c>
      <c r="E348" s="95">
        <v>4412.16</v>
      </c>
    </row>
    <row r="349" spans="1:5" ht="15" customHeight="1">
      <c r="A349" s="91" t="s">
        <v>216</v>
      </c>
      <c r="B349" s="92">
        <v>2025</v>
      </c>
      <c r="C349" s="93">
        <v>45839</v>
      </c>
      <c r="D349" s="94" t="s">
        <v>69</v>
      </c>
      <c r="E349" s="95">
        <v>43730.1</v>
      </c>
    </row>
    <row r="350" spans="1:5" ht="15" customHeight="1">
      <c r="A350" s="91" t="s">
        <v>216</v>
      </c>
      <c r="B350" s="92">
        <v>2025</v>
      </c>
      <c r="C350" s="93">
        <v>45839</v>
      </c>
      <c r="D350" s="94" t="s">
        <v>78</v>
      </c>
      <c r="E350" s="95">
        <v>15.56</v>
      </c>
    </row>
    <row r="351" spans="1:5" ht="15" customHeight="1">
      <c r="A351" s="91" t="s">
        <v>216</v>
      </c>
      <c r="B351" s="92">
        <v>2025</v>
      </c>
      <c r="C351" s="93">
        <v>45839</v>
      </c>
      <c r="D351" s="94" t="s">
        <v>180</v>
      </c>
      <c r="E351" s="95">
        <v>6566.7</v>
      </c>
    </row>
    <row r="352" spans="1:5" ht="15" customHeight="1">
      <c r="A352" s="91" t="s">
        <v>216</v>
      </c>
      <c r="B352" s="92">
        <v>2025</v>
      </c>
      <c r="C352" s="93">
        <v>45839</v>
      </c>
      <c r="D352" s="94" t="s">
        <v>272</v>
      </c>
      <c r="E352" s="95">
        <v>7.0000000000000007E-2</v>
      </c>
    </row>
    <row r="353" spans="1:5" ht="15" customHeight="1">
      <c r="A353" s="91" t="s">
        <v>216</v>
      </c>
      <c r="B353" s="92">
        <v>2025</v>
      </c>
      <c r="C353" s="93">
        <v>45839</v>
      </c>
      <c r="D353" s="94" t="s">
        <v>232</v>
      </c>
      <c r="E353" s="95">
        <v>2285</v>
      </c>
    </row>
    <row r="354" spans="1:5" ht="15" customHeight="1">
      <c r="A354" s="91" t="s">
        <v>216</v>
      </c>
      <c r="B354" s="92">
        <v>2025</v>
      </c>
      <c r="C354" s="93">
        <v>45839</v>
      </c>
      <c r="D354" s="94" t="s">
        <v>70</v>
      </c>
      <c r="E354" s="95">
        <v>150.88999999999999</v>
      </c>
    </row>
    <row r="355" spans="1:5" ht="15" customHeight="1">
      <c r="A355" s="91" t="s">
        <v>216</v>
      </c>
      <c r="B355" s="92">
        <v>2025</v>
      </c>
      <c r="C355" s="93">
        <v>45839</v>
      </c>
      <c r="D355" s="94" t="s">
        <v>220</v>
      </c>
      <c r="E355" s="95">
        <v>2967.66</v>
      </c>
    </row>
    <row r="356" spans="1:5" ht="15" customHeight="1">
      <c r="A356" s="91" t="s">
        <v>216</v>
      </c>
      <c r="B356" s="92">
        <v>2025</v>
      </c>
      <c r="C356" s="93">
        <v>45839</v>
      </c>
      <c r="D356" s="94" t="s">
        <v>71</v>
      </c>
      <c r="E356" s="95">
        <v>49363.79</v>
      </c>
    </row>
    <row r="357" spans="1:5" ht="15" customHeight="1">
      <c r="A357" s="91" t="s">
        <v>216</v>
      </c>
      <c r="B357" s="92">
        <v>2025</v>
      </c>
      <c r="C357" s="93">
        <v>45839</v>
      </c>
      <c r="D357" s="94" t="s">
        <v>223</v>
      </c>
      <c r="E357" s="95">
        <v>1967.6</v>
      </c>
    </row>
    <row r="358" spans="1:5" ht="15" customHeight="1">
      <c r="A358" s="91" t="s">
        <v>216</v>
      </c>
      <c r="B358" s="92">
        <v>2025</v>
      </c>
      <c r="C358" s="93">
        <v>45839</v>
      </c>
      <c r="D358" s="94" t="s">
        <v>73</v>
      </c>
      <c r="E358" s="95">
        <v>633.01</v>
      </c>
    </row>
    <row r="359" spans="1:5" ht="15" customHeight="1">
      <c r="A359" s="91" t="s">
        <v>216</v>
      </c>
      <c r="B359" s="92">
        <v>2025</v>
      </c>
      <c r="C359" s="93">
        <v>45839</v>
      </c>
      <c r="D359" s="94" t="s">
        <v>74</v>
      </c>
      <c r="E359" s="95">
        <v>901</v>
      </c>
    </row>
    <row r="360" spans="1:5" ht="15" customHeight="1">
      <c r="A360" s="91" t="s">
        <v>216</v>
      </c>
      <c r="B360" s="92">
        <v>2025</v>
      </c>
      <c r="C360" s="93">
        <v>45839</v>
      </c>
      <c r="D360" s="94" t="s">
        <v>226</v>
      </c>
      <c r="E360" s="95">
        <v>144.36000000000001</v>
      </c>
    </row>
    <row r="361" spans="1:5" ht="15" customHeight="1">
      <c r="A361" s="91" t="s">
        <v>216</v>
      </c>
      <c r="B361" s="92">
        <v>2025</v>
      </c>
      <c r="C361" s="93">
        <v>45870</v>
      </c>
      <c r="D361" s="94" t="s">
        <v>251</v>
      </c>
      <c r="E361" s="95">
        <v>603.33000000000004</v>
      </c>
    </row>
    <row r="362" spans="1:5" ht="15" customHeight="1">
      <c r="A362" s="91" t="s">
        <v>216</v>
      </c>
      <c r="B362" s="92">
        <v>2025</v>
      </c>
      <c r="C362" s="93">
        <v>45870</v>
      </c>
      <c r="D362" s="94" t="s">
        <v>198</v>
      </c>
      <c r="E362" s="95">
        <v>450.78</v>
      </c>
    </row>
    <row r="363" spans="1:5" ht="15" customHeight="1">
      <c r="A363" s="91" t="s">
        <v>216</v>
      </c>
      <c r="B363" s="92">
        <v>2025</v>
      </c>
      <c r="C363" s="93">
        <v>45870</v>
      </c>
      <c r="D363" s="94" t="s">
        <v>231</v>
      </c>
      <c r="E363" s="95">
        <v>1083.5899999999999</v>
      </c>
    </row>
    <row r="364" spans="1:5" ht="15" customHeight="1">
      <c r="A364" s="91" t="s">
        <v>216</v>
      </c>
      <c r="B364" s="92">
        <v>2025</v>
      </c>
      <c r="C364" s="93">
        <v>45870</v>
      </c>
      <c r="D364" s="94" t="s">
        <v>76</v>
      </c>
      <c r="E364" s="95">
        <v>41.95</v>
      </c>
    </row>
    <row r="365" spans="1:5" ht="15" customHeight="1">
      <c r="A365" s="91" t="s">
        <v>216</v>
      </c>
      <c r="B365" s="92">
        <v>2025</v>
      </c>
      <c r="C365" s="93">
        <v>45870</v>
      </c>
      <c r="D365" s="94" t="s">
        <v>284</v>
      </c>
      <c r="E365" s="95">
        <v>1032.53</v>
      </c>
    </row>
    <row r="366" spans="1:5" ht="15" customHeight="1">
      <c r="A366" s="91" t="s">
        <v>216</v>
      </c>
      <c r="B366" s="92">
        <v>2025</v>
      </c>
      <c r="C366" s="93">
        <v>45870</v>
      </c>
      <c r="D366" s="94" t="s">
        <v>182</v>
      </c>
      <c r="E366" s="95">
        <v>3320.02</v>
      </c>
    </row>
    <row r="367" spans="1:5" ht="15" customHeight="1">
      <c r="A367" s="91" t="s">
        <v>216</v>
      </c>
      <c r="B367" s="92">
        <v>2025</v>
      </c>
      <c r="C367" s="93">
        <v>45870</v>
      </c>
      <c r="D367" s="94" t="s">
        <v>61</v>
      </c>
      <c r="E367" s="95">
        <v>1518</v>
      </c>
    </row>
    <row r="368" spans="1:5" ht="15" customHeight="1">
      <c r="A368" s="91" t="s">
        <v>216</v>
      </c>
      <c r="B368" s="92">
        <v>2025</v>
      </c>
      <c r="C368" s="93">
        <v>45870</v>
      </c>
      <c r="D368" s="94" t="s">
        <v>219</v>
      </c>
      <c r="E368" s="95">
        <v>150</v>
      </c>
    </row>
    <row r="369" spans="1:5" ht="15" customHeight="1">
      <c r="A369" s="91" t="s">
        <v>216</v>
      </c>
      <c r="B369" s="92">
        <v>2025</v>
      </c>
      <c r="C369" s="93">
        <v>45870</v>
      </c>
      <c r="D369" s="94" t="s">
        <v>63</v>
      </c>
      <c r="E369" s="95">
        <v>896.95</v>
      </c>
    </row>
    <row r="370" spans="1:5" ht="15" customHeight="1">
      <c r="A370" s="91" t="s">
        <v>216</v>
      </c>
      <c r="B370" s="92">
        <v>2025</v>
      </c>
      <c r="C370" s="93">
        <v>45870</v>
      </c>
      <c r="D370" s="94" t="s">
        <v>64</v>
      </c>
      <c r="E370" s="95">
        <v>806</v>
      </c>
    </row>
    <row r="371" spans="1:5" ht="15" customHeight="1">
      <c r="A371" s="91" t="s">
        <v>216</v>
      </c>
      <c r="B371" s="92">
        <v>2025</v>
      </c>
      <c r="C371" s="93">
        <v>45870</v>
      </c>
      <c r="D371" s="94" t="s">
        <v>285</v>
      </c>
      <c r="E371" s="95">
        <v>1500</v>
      </c>
    </row>
    <row r="372" spans="1:5" ht="15" customHeight="1">
      <c r="A372" s="91" t="s">
        <v>216</v>
      </c>
      <c r="B372" s="92">
        <v>2025</v>
      </c>
      <c r="C372" s="93">
        <v>45870</v>
      </c>
      <c r="D372" s="94" t="s">
        <v>65</v>
      </c>
      <c r="E372" s="95">
        <v>183</v>
      </c>
    </row>
    <row r="373" spans="1:5" ht="15" customHeight="1">
      <c r="A373" s="91" t="s">
        <v>216</v>
      </c>
      <c r="B373" s="92">
        <v>2025</v>
      </c>
      <c r="C373" s="93">
        <v>45870</v>
      </c>
      <c r="D373" s="94" t="s">
        <v>66</v>
      </c>
      <c r="E373" s="95">
        <v>4.57</v>
      </c>
    </row>
    <row r="374" spans="1:5" ht="15" customHeight="1">
      <c r="A374" s="91" t="s">
        <v>216</v>
      </c>
      <c r="B374" s="92">
        <v>2025</v>
      </c>
      <c r="C374" s="93">
        <v>45870</v>
      </c>
      <c r="D374" s="94" t="s">
        <v>67</v>
      </c>
      <c r="E374" s="95">
        <v>1410.01</v>
      </c>
    </row>
    <row r="375" spans="1:5" ht="15" customHeight="1">
      <c r="A375" s="91" t="s">
        <v>216</v>
      </c>
      <c r="B375" s="92">
        <v>2025</v>
      </c>
      <c r="C375" s="93">
        <v>45870</v>
      </c>
      <c r="D375" s="94" t="s">
        <v>68</v>
      </c>
      <c r="E375" s="95">
        <v>11807.83</v>
      </c>
    </row>
    <row r="376" spans="1:5" ht="15" customHeight="1">
      <c r="A376" s="91" t="s">
        <v>216</v>
      </c>
      <c r="B376" s="92">
        <v>2025</v>
      </c>
      <c r="C376" s="93">
        <v>45870</v>
      </c>
      <c r="D376" s="94" t="s">
        <v>269</v>
      </c>
      <c r="E376" s="95">
        <v>646.13</v>
      </c>
    </row>
    <row r="377" spans="1:5" ht="15" customHeight="1">
      <c r="A377" s="91" t="s">
        <v>216</v>
      </c>
      <c r="B377" s="92">
        <v>2025</v>
      </c>
      <c r="C377" s="93">
        <v>45870</v>
      </c>
      <c r="D377" s="94" t="s">
        <v>69</v>
      </c>
      <c r="E377" s="95">
        <v>43851.09</v>
      </c>
    </row>
    <row r="378" spans="1:5" ht="15" customHeight="1">
      <c r="A378" s="91" t="s">
        <v>216</v>
      </c>
      <c r="B378" s="92">
        <v>2025</v>
      </c>
      <c r="C378" s="93">
        <v>45870</v>
      </c>
      <c r="D378" s="94" t="s">
        <v>78</v>
      </c>
      <c r="E378" s="95">
        <v>652.63</v>
      </c>
    </row>
    <row r="379" spans="1:5" ht="15" customHeight="1">
      <c r="A379" s="91" t="s">
        <v>216</v>
      </c>
      <c r="B379" s="92">
        <v>2025</v>
      </c>
      <c r="C379" s="93">
        <v>45870</v>
      </c>
      <c r="D379" s="94" t="s">
        <v>180</v>
      </c>
      <c r="E379" s="95">
        <v>3262.37</v>
      </c>
    </row>
    <row r="380" spans="1:5" ht="15" customHeight="1">
      <c r="A380" s="91" t="s">
        <v>216</v>
      </c>
      <c r="B380" s="92">
        <v>2025</v>
      </c>
      <c r="C380" s="93">
        <v>45870</v>
      </c>
      <c r="D380" s="94" t="s">
        <v>232</v>
      </c>
      <c r="E380" s="95">
        <v>180</v>
      </c>
    </row>
    <row r="381" spans="1:5" ht="15" customHeight="1">
      <c r="A381" s="91" t="s">
        <v>216</v>
      </c>
      <c r="B381" s="92">
        <v>2025</v>
      </c>
      <c r="C381" s="93">
        <v>45870</v>
      </c>
      <c r="D381" s="94" t="s">
        <v>70</v>
      </c>
      <c r="E381" s="95">
        <v>6517.77</v>
      </c>
    </row>
    <row r="382" spans="1:5" ht="15" customHeight="1">
      <c r="A382" s="91" t="s">
        <v>216</v>
      </c>
      <c r="B382" s="92">
        <v>2025</v>
      </c>
      <c r="C382" s="93">
        <v>45870</v>
      </c>
      <c r="D382" s="94" t="s">
        <v>220</v>
      </c>
      <c r="E382" s="95">
        <v>2987.63</v>
      </c>
    </row>
    <row r="383" spans="1:5" ht="15" customHeight="1">
      <c r="A383" s="91" t="s">
        <v>216</v>
      </c>
      <c r="B383" s="92">
        <v>2025</v>
      </c>
      <c r="C383" s="93">
        <v>45870</v>
      </c>
      <c r="D383" s="94" t="s">
        <v>71</v>
      </c>
      <c r="E383" s="95">
        <v>16814</v>
      </c>
    </row>
    <row r="384" spans="1:5" ht="15" customHeight="1">
      <c r="A384" s="91" t="s">
        <v>216</v>
      </c>
      <c r="B384" s="92">
        <v>2025</v>
      </c>
      <c r="C384" s="93">
        <v>45870</v>
      </c>
      <c r="D384" s="94" t="s">
        <v>223</v>
      </c>
      <c r="E384" s="95">
        <v>617.6</v>
      </c>
    </row>
    <row r="385" spans="1:5" ht="15" customHeight="1">
      <c r="A385" s="91" t="s">
        <v>216</v>
      </c>
      <c r="B385" s="92">
        <v>2025</v>
      </c>
      <c r="C385" s="93">
        <v>45870</v>
      </c>
      <c r="D385" s="94" t="s">
        <v>286</v>
      </c>
      <c r="E385" s="95">
        <v>21645.42</v>
      </c>
    </row>
    <row r="386" spans="1:5" ht="15" customHeight="1">
      <c r="A386" s="91" t="s">
        <v>216</v>
      </c>
      <c r="B386" s="92">
        <v>2025</v>
      </c>
      <c r="C386" s="93">
        <v>45870</v>
      </c>
      <c r="D386" s="94" t="s">
        <v>73</v>
      </c>
      <c r="E386" s="95">
        <v>633.01</v>
      </c>
    </row>
    <row r="387" spans="1:5" ht="15" customHeight="1">
      <c r="A387" s="91" t="s">
        <v>216</v>
      </c>
      <c r="B387" s="92">
        <v>2025</v>
      </c>
      <c r="C387" s="93">
        <v>45870</v>
      </c>
      <c r="D387" s="94" t="s">
        <v>74</v>
      </c>
      <c r="E387" s="95">
        <v>785.26</v>
      </c>
    </row>
    <row r="388" spans="1:5" ht="15" customHeight="1">
      <c r="A388" s="91" t="s">
        <v>216</v>
      </c>
      <c r="B388" s="92">
        <v>2025</v>
      </c>
      <c r="C388" s="93">
        <v>45870</v>
      </c>
      <c r="D388" s="94" t="s">
        <v>226</v>
      </c>
      <c r="E388" s="95">
        <v>144.12</v>
      </c>
    </row>
    <row r="389" spans="1:5" ht="15" customHeight="1">
      <c r="A389" s="91" t="s">
        <v>216</v>
      </c>
      <c r="B389" s="92">
        <v>2025</v>
      </c>
      <c r="C389" s="93">
        <v>45901</v>
      </c>
      <c r="D389" s="94" t="s">
        <v>218</v>
      </c>
      <c r="E389" s="95">
        <v>126230</v>
      </c>
    </row>
    <row r="390" spans="1:5" ht="15" customHeight="1">
      <c r="A390" s="91" t="s">
        <v>216</v>
      </c>
      <c r="B390" s="92">
        <v>2025</v>
      </c>
      <c r="C390" s="93">
        <v>45901</v>
      </c>
      <c r="D390" s="94" t="s">
        <v>302</v>
      </c>
      <c r="E390" s="95">
        <v>2500</v>
      </c>
    </row>
    <row r="391" spans="1:5" ht="15" customHeight="1">
      <c r="A391" s="91" t="s">
        <v>216</v>
      </c>
      <c r="B391" s="92">
        <v>2025</v>
      </c>
      <c r="C391" s="93">
        <v>45901</v>
      </c>
      <c r="D391" s="94" t="s">
        <v>251</v>
      </c>
      <c r="E391" s="95">
        <v>659.39</v>
      </c>
    </row>
    <row r="392" spans="1:5" ht="15" customHeight="1">
      <c r="A392" s="91" t="s">
        <v>216</v>
      </c>
      <c r="B392" s="92">
        <v>2025</v>
      </c>
      <c r="C392" s="93">
        <v>45901</v>
      </c>
      <c r="D392" s="94" t="s">
        <v>76</v>
      </c>
      <c r="E392" s="95">
        <v>6258.06</v>
      </c>
    </row>
    <row r="393" spans="1:5" ht="15" customHeight="1">
      <c r="A393" s="91" t="s">
        <v>216</v>
      </c>
      <c r="B393" s="92">
        <v>2025</v>
      </c>
      <c r="C393" s="93">
        <v>45901</v>
      </c>
      <c r="D393" s="94" t="s">
        <v>182</v>
      </c>
      <c r="E393" s="95">
        <v>7853.72</v>
      </c>
    </row>
    <row r="394" spans="1:5" ht="15" customHeight="1">
      <c r="A394" s="91" t="s">
        <v>216</v>
      </c>
      <c r="B394" s="92">
        <v>2025</v>
      </c>
      <c r="C394" s="93">
        <v>45901</v>
      </c>
      <c r="D394" s="94" t="s">
        <v>193</v>
      </c>
      <c r="E394" s="95">
        <v>2000</v>
      </c>
    </row>
    <row r="395" spans="1:5" ht="15" customHeight="1">
      <c r="A395" s="91" t="s">
        <v>216</v>
      </c>
      <c r="B395" s="92">
        <v>2025</v>
      </c>
      <c r="C395" s="93">
        <v>45901</v>
      </c>
      <c r="D395" s="94" t="s">
        <v>61</v>
      </c>
      <c r="E395" s="95">
        <v>1518</v>
      </c>
    </row>
    <row r="396" spans="1:5" ht="15" customHeight="1">
      <c r="A396" s="91" t="s">
        <v>216</v>
      </c>
      <c r="B396" s="92">
        <v>2025</v>
      </c>
      <c r="C396" s="93">
        <v>45901</v>
      </c>
      <c r="D396" s="94" t="s">
        <v>259</v>
      </c>
      <c r="E396" s="95">
        <v>14962.61</v>
      </c>
    </row>
    <row r="397" spans="1:5" ht="15" customHeight="1">
      <c r="A397" s="91" t="s">
        <v>216</v>
      </c>
      <c r="B397" s="92">
        <v>2025</v>
      </c>
      <c r="C397" s="93">
        <v>45901</v>
      </c>
      <c r="D397" s="94" t="s">
        <v>63</v>
      </c>
      <c r="E397" s="95">
        <v>896.95</v>
      </c>
    </row>
    <row r="398" spans="1:5" ht="15" customHeight="1">
      <c r="A398" s="91" t="s">
        <v>216</v>
      </c>
      <c r="B398" s="92">
        <v>2025</v>
      </c>
      <c r="C398" s="93">
        <v>45901</v>
      </c>
      <c r="D398" s="94" t="s">
        <v>64</v>
      </c>
      <c r="E398" s="95">
        <v>854.27</v>
      </c>
    </row>
    <row r="399" spans="1:5" ht="15" customHeight="1">
      <c r="A399" s="91" t="s">
        <v>216</v>
      </c>
      <c r="B399" s="92">
        <v>2025</v>
      </c>
      <c r="C399" s="93">
        <v>45901</v>
      </c>
      <c r="D399" s="94" t="s">
        <v>285</v>
      </c>
      <c r="E399" s="95">
        <v>1500</v>
      </c>
    </row>
    <row r="400" spans="1:5" ht="15" customHeight="1">
      <c r="A400" s="91" t="s">
        <v>216</v>
      </c>
      <c r="B400" s="92">
        <v>2025</v>
      </c>
      <c r="C400" s="93">
        <v>45901</v>
      </c>
      <c r="D400" s="94" t="s">
        <v>65</v>
      </c>
      <c r="E400" s="95">
        <v>183</v>
      </c>
    </row>
    <row r="401" spans="1:5" ht="15" customHeight="1">
      <c r="A401" s="91" t="s">
        <v>216</v>
      </c>
      <c r="B401" s="92">
        <v>2025</v>
      </c>
      <c r="C401" s="93">
        <v>45901</v>
      </c>
      <c r="D401" s="94" t="s">
        <v>66</v>
      </c>
      <c r="E401" s="95">
        <v>155.97</v>
      </c>
    </row>
    <row r="402" spans="1:5" ht="15" customHeight="1">
      <c r="A402" s="91" t="s">
        <v>216</v>
      </c>
      <c r="B402" s="92">
        <v>2025</v>
      </c>
      <c r="C402" s="93">
        <v>45901</v>
      </c>
      <c r="D402" s="94" t="s">
        <v>303</v>
      </c>
      <c r="E402" s="95">
        <v>234.6</v>
      </c>
    </row>
    <row r="403" spans="1:5" ht="15" customHeight="1">
      <c r="A403" s="91" t="s">
        <v>216</v>
      </c>
      <c r="B403" s="92">
        <v>2025</v>
      </c>
      <c r="C403" s="93">
        <v>45901</v>
      </c>
      <c r="D403" s="94" t="s">
        <v>67</v>
      </c>
      <c r="E403" s="95">
        <v>595.07000000000005</v>
      </c>
    </row>
    <row r="404" spans="1:5" ht="15" customHeight="1">
      <c r="A404" s="91" t="s">
        <v>216</v>
      </c>
      <c r="B404" s="92">
        <v>2025</v>
      </c>
      <c r="C404" s="93">
        <v>45901</v>
      </c>
      <c r="D404" s="94" t="s">
        <v>68</v>
      </c>
      <c r="E404" s="95">
        <v>17565.919999999998</v>
      </c>
    </row>
    <row r="405" spans="1:5" ht="15" customHeight="1">
      <c r="A405" s="91" t="s">
        <v>216</v>
      </c>
      <c r="B405" s="92">
        <v>2025</v>
      </c>
      <c r="C405" s="93">
        <v>45901</v>
      </c>
      <c r="D405" s="94" t="s">
        <v>269</v>
      </c>
      <c r="E405" s="95">
        <v>1531.38</v>
      </c>
    </row>
    <row r="406" spans="1:5" ht="15" customHeight="1">
      <c r="A406" s="91" t="s">
        <v>216</v>
      </c>
      <c r="B406" s="92">
        <v>2025</v>
      </c>
      <c r="C406" s="93">
        <v>45901</v>
      </c>
      <c r="D406" s="94" t="s">
        <v>69</v>
      </c>
      <c r="E406" s="95">
        <v>41649.879999999997</v>
      </c>
    </row>
    <row r="407" spans="1:5" ht="15" customHeight="1">
      <c r="A407" s="91" t="s">
        <v>216</v>
      </c>
      <c r="B407" s="92">
        <v>2025</v>
      </c>
      <c r="C407" s="93">
        <v>45901</v>
      </c>
      <c r="D407" s="94" t="s">
        <v>180</v>
      </c>
      <c r="E407" s="95">
        <v>3250.03</v>
      </c>
    </row>
    <row r="408" spans="1:5" ht="15" customHeight="1">
      <c r="A408" s="91" t="s">
        <v>216</v>
      </c>
      <c r="B408" s="92">
        <v>2025</v>
      </c>
      <c r="C408" s="93">
        <v>45901</v>
      </c>
      <c r="D408" s="94" t="s">
        <v>272</v>
      </c>
      <c r="E408" s="95">
        <v>397.05</v>
      </c>
    </row>
    <row r="409" spans="1:5" ht="15" customHeight="1">
      <c r="A409" s="91" t="s">
        <v>216</v>
      </c>
      <c r="B409" s="92">
        <v>2025</v>
      </c>
      <c r="C409" s="93">
        <v>45901</v>
      </c>
      <c r="D409" s="94" t="s">
        <v>232</v>
      </c>
      <c r="E409" s="95">
        <v>500</v>
      </c>
    </row>
    <row r="410" spans="1:5" ht="15" customHeight="1">
      <c r="A410" s="91" t="s">
        <v>216</v>
      </c>
      <c r="B410" s="92">
        <v>2025</v>
      </c>
      <c r="C410" s="93">
        <v>45901</v>
      </c>
      <c r="D410" s="94" t="s">
        <v>194</v>
      </c>
      <c r="E410" s="95">
        <v>5152.5600000000004</v>
      </c>
    </row>
    <row r="411" spans="1:5" ht="15" customHeight="1">
      <c r="A411" s="91" t="s">
        <v>216</v>
      </c>
      <c r="B411" s="92">
        <v>2025</v>
      </c>
      <c r="C411" s="93">
        <v>45901</v>
      </c>
      <c r="D411" s="94" t="s">
        <v>70</v>
      </c>
      <c r="E411" s="95">
        <v>252.21</v>
      </c>
    </row>
    <row r="412" spans="1:5" ht="15" customHeight="1">
      <c r="A412" s="91" t="s">
        <v>216</v>
      </c>
      <c r="B412" s="92">
        <v>2025</v>
      </c>
      <c r="C412" s="93">
        <v>45901</v>
      </c>
      <c r="D412" s="94" t="s">
        <v>220</v>
      </c>
      <c r="E412" s="95">
        <v>3005.72</v>
      </c>
    </row>
    <row r="413" spans="1:5" ht="15" customHeight="1">
      <c r="A413" s="91" t="s">
        <v>216</v>
      </c>
      <c r="B413" s="92">
        <v>2025</v>
      </c>
      <c r="C413" s="93">
        <v>45901</v>
      </c>
      <c r="D413" s="94" t="s">
        <v>71</v>
      </c>
      <c r="E413" s="95">
        <v>24415.98</v>
      </c>
    </row>
    <row r="414" spans="1:5" ht="15" customHeight="1">
      <c r="A414" s="91" t="s">
        <v>216</v>
      </c>
      <c r="B414" s="92">
        <v>2025</v>
      </c>
      <c r="C414" s="93">
        <v>45901</v>
      </c>
      <c r="D414" s="94" t="s">
        <v>73</v>
      </c>
      <c r="E414" s="95">
        <v>633.01</v>
      </c>
    </row>
    <row r="415" spans="1:5" ht="15" customHeight="1">
      <c r="A415" s="91" t="s">
        <v>216</v>
      </c>
      <c r="B415" s="92">
        <v>2025</v>
      </c>
      <c r="C415" s="93">
        <v>45901</v>
      </c>
      <c r="D415" s="94" t="s">
        <v>74</v>
      </c>
      <c r="E415" s="95">
        <v>1319.54</v>
      </c>
    </row>
    <row r="416" spans="1:5" ht="15" customHeight="1">
      <c r="A416" s="91" t="s">
        <v>216</v>
      </c>
      <c r="B416" s="92">
        <v>2025</v>
      </c>
      <c r="C416" s="93">
        <v>45901</v>
      </c>
      <c r="D416" s="94" t="s">
        <v>224</v>
      </c>
      <c r="E416" s="95">
        <v>2266.36</v>
      </c>
    </row>
    <row r="417" spans="1:5" ht="15" customHeight="1">
      <c r="A417" s="91" t="s">
        <v>216</v>
      </c>
      <c r="B417" s="92">
        <v>2025</v>
      </c>
      <c r="C417" s="93">
        <v>45901</v>
      </c>
      <c r="D417" s="94" t="s">
        <v>226</v>
      </c>
      <c r="E417" s="95">
        <v>144.36000000000001</v>
      </c>
    </row>
    <row r="418" spans="1:5" ht="15" customHeight="1">
      <c r="A418" s="91" t="s">
        <v>216</v>
      </c>
      <c r="B418" s="92">
        <v>2025</v>
      </c>
      <c r="C418" s="93">
        <v>45931</v>
      </c>
      <c r="D418" s="94" t="s">
        <v>60</v>
      </c>
      <c r="E418" s="95">
        <v>40.28</v>
      </c>
    </row>
    <row r="419" spans="1:5" ht="15" customHeight="1">
      <c r="A419" s="91" t="s">
        <v>216</v>
      </c>
      <c r="B419" s="92">
        <v>2025</v>
      </c>
      <c r="C419" s="93">
        <v>45931</v>
      </c>
      <c r="D419" s="94" t="s">
        <v>182</v>
      </c>
      <c r="E419" s="95">
        <v>2883.24</v>
      </c>
    </row>
    <row r="420" spans="1:5" ht="15" customHeight="1">
      <c r="A420" s="91" t="s">
        <v>216</v>
      </c>
      <c r="B420" s="92">
        <v>2025</v>
      </c>
      <c r="C420" s="93">
        <v>45931</v>
      </c>
      <c r="D420" s="94" t="s">
        <v>71</v>
      </c>
      <c r="E420" s="95">
        <v>10000</v>
      </c>
    </row>
    <row r="421" spans="1:5" ht="15" customHeight="1">
      <c r="A421" s="91" t="s">
        <v>216</v>
      </c>
      <c r="B421" s="92">
        <v>2025</v>
      </c>
      <c r="C421" s="93">
        <v>45931</v>
      </c>
      <c r="D421" s="94" t="s">
        <v>73</v>
      </c>
      <c r="E421" s="95">
        <v>633.01</v>
      </c>
    </row>
    <row r="422" spans="1:5" ht="15" customHeight="1">
      <c r="A422" s="91" t="s">
        <v>216</v>
      </c>
      <c r="B422" s="92">
        <v>2025</v>
      </c>
      <c r="C422" s="93">
        <v>45931</v>
      </c>
      <c r="D422" s="94" t="s">
        <v>74</v>
      </c>
      <c r="E422" s="95">
        <v>276.64</v>
      </c>
    </row>
    <row r="423" spans="1:5" ht="15" customHeight="1">
      <c r="A423" s="91" t="s">
        <v>216</v>
      </c>
      <c r="B423" s="92">
        <v>2025</v>
      </c>
      <c r="C423" s="93">
        <v>45962</v>
      </c>
      <c r="D423" s="94" t="s">
        <v>217</v>
      </c>
      <c r="E423" s="95">
        <v>498.42</v>
      </c>
    </row>
    <row r="424" spans="1:5" ht="15" customHeight="1">
      <c r="A424" s="91" t="s">
        <v>216</v>
      </c>
      <c r="B424" s="92">
        <v>2025</v>
      </c>
      <c r="C424" s="93">
        <v>45962</v>
      </c>
      <c r="D424" s="94" t="s">
        <v>302</v>
      </c>
      <c r="E424" s="95">
        <v>2500</v>
      </c>
    </row>
    <row r="425" spans="1:5" ht="15" customHeight="1">
      <c r="A425" s="91" t="s">
        <v>216</v>
      </c>
      <c r="B425" s="92">
        <v>2025</v>
      </c>
      <c r="C425" s="93">
        <v>45962</v>
      </c>
      <c r="D425" s="94" t="s">
        <v>191</v>
      </c>
      <c r="E425" s="95">
        <v>1472</v>
      </c>
    </row>
    <row r="426" spans="1:5" ht="15" customHeight="1">
      <c r="A426" s="91" t="s">
        <v>216</v>
      </c>
      <c r="B426" s="92">
        <v>2025</v>
      </c>
      <c r="C426" s="93">
        <v>45962</v>
      </c>
      <c r="D426" s="94" t="s">
        <v>75</v>
      </c>
      <c r="E426" s="95">
        <v>190</v>
      </c>
    </row>
    <row r="427" spans="1:5" ht="15" customHeight="1">
      <c r="A427" s="91" t="s">
        <v>216</v>
      </c>
      <c r="B427" s="92">
        <v>2025</v>
      </c>
      <c r="C427" s="93">
        <v>45962</v>
      </c>
      <c r="D427" s="94" t="s">
        <v>192</v>
      </c>
      <c r="E427" s="95">
        <v>53978.5</v>
      </c>
    </row>
    <row r="428" spans="1:5" ht="15" customHeight="1">
      <c r="A428" s="91" t="s">
        <v>216</v>
      </c>
      <c r="B428" s="92">
        <v>2025</v>
      </c>
      <c r="C428" s="93">
        <v>45962</v>
      </c>
      <c r="D428" s="94" t="s">
        <v>58</v>
      </c>
      <c r="E428" s="95">
        <v>2411.27</v>
      </c>
    </row>
    <row r="429" spans="1:5" ht="15" customHeight="1">
      <c r="A429" s="91" t="s">
        <v>216</v>
      </c>
      <c r="B429" s="92">
        <v>2025</v>
      </c>
      <c r="C429" s="93">
        <v>45962</v>
      </c>
      <c r="D429" s="94" t="s">
        <v>251</v>
      </c>
      <c r="E429" s="95">
        <v>32.99</v>
      </c>
    </row>
    <row r="430" spans="1:5" ht="15" customHeight="1">
      <c r="A430" s="91" t="s">
        <v>216</v>
      </c>
      <c r="B430" s="92">
        <v>2025</v>
      </c>
      <c r="C430" s="93">
        <v>45962</v>
      </c>
      <c r="D430" s="94" t="s">
        <v>333</v>
      </c>
      <c r="E430" s="95">
        <v>563.1</v>
      </c>
    </row>
    <row r="431" spans="1:5" ht="15" customHeight="1">
      <c r="A431" s="91" t="s">
        <v>216</v>
      </c>
      <c r="B431" s="92">
        <v>2025</v>
      </c>
      <c r="C431" s="93">
        <v>45962</v>
      </c>
      <c r="D431" s="94" t="s">
        <v>198</v>
      </c>
      <c r="E431" s="95">
        <v>1735.43</v>
      </c>
    </row>
    <row r="432" spans="1:5" ht="15" customHeight="1">
      <c r="A432" s="91" t="s">
        <v>216</v>
      </c>
      <c r="B432" s="92">
        <v>2025</v>
      </c>
      <c r="C432" s="93">
        <v>45962</v>
      </c>
      <c r="D432" s="94" t="s">
        <v>76</v>
      </c>
      <c r="E432" s="95">
        <v>200</v>
      </c>
    </row>
    <row r="433" spans="1:5" ht="15" customHeight="1">
      <c r="A433" s="91" t="s">
        <v>216</v>
      </c>
      <c r="B433" s="92">
        <v>2025</v>
      </c>
      <c r="C433" s="93">
        <v>45962</v>
      </c>
      <c r="D433" s="94" t="s">
        <v>57</v>
      </c>
      <c r="E433" s="95">
        <v>1680</v>
      </c>
    </row>
    <row r="434" spans="1:5" ht="15" customHeight="1">
      <c r="A434" s="91" t="s">
        <v>216</v>
      </c>
      <c r="B434" s="92">
        <v>2025</v>
      </c>
      <c r="C434" s="93">
        <v>45962</v>
      </c>
      <c r="D434" s="94" t="s">
        <v>182</v>
      </c>
      <c r="E434" s="95">
        <v>11399.77</v>
      </c>
    </row>
    <row r="435" spans="1:5" ht="15" customHeight="1">
      <c r="A435" s="91" t="s">
        <v>216</v>
      </c>
      <c r="B435" s="92">
        <v>2025</v>
      </c>
      <c r="C435" s="93">
        <v>45962</v>
      </c>
      <c r="D435" s="94" t="s">
        <v>61</v>
      </c>
      <c r="E435" s="95">
        <v>41518</v>
      </c>
    </row>
    <row r="436" spans="1:5" ht="15" customHeight="1">
      <c r="A436" s="91" t="s">
        <v>216</v>
      </c>
      <c r="B436" s="92">
        <v>2025</v>
      </c>
      <c r="C436" s="93">
        <v>45962</v>
      </c>
      <c r="D436" s="94" t="s">
        <v>219</v>
      </c>
      <c r="E436" s="95">
        <v>7614.54</v>
      </c>
    </row>
    <row r="437" spans="1:5" ht="15" customHeight="1">
      <c r="A437" s="91" t="s">
        <v>216</v>
      </c>
      <c r="B437" s="92">
        <v>2025</v>
      </c>
      <c r="C437" s="93">
        <v>45962</v>
      </c>
      <c r="D437" s="94" t="s">
        <v>259</v>
      </c>
      <c r="E437" s="95">
        <v>6214.55</v>
      </c>
    </row>
    <row r="438" spans="1:5" ht="15" customHeight="1">
      <c r="A438" s="91" t="s">
        <v>216</v>
      </c>
      <c r="B438" s="92">
        <v>2025</v>
      </c>
      <c r="C438" s="93">
        <v>45962</v>
      </c>
      <c r="D438" s="94" t="s">
        <v>63</v>
      </c>
      <c r="E438" s="95">
        <v>896.95</v>
      </c>
    </row>
    <row r="439" spans="1:5" ht="15" customHeight="1">
      <c r="A439" s="91" t="s">
        <v>216</v>
      </c>
      <c r="B439" s="92">
        <v>2025</v>
      </c>
      <c r="C439" s="93">
        <v>45962</v>
      </c>
      <c r="D439" s="94" t="s">
        <v>64</v>
      </c>
      <c r="E439" s="95">
        <v>806</v>
      </c>
    </row>
    <row r="440" spans="1:5" ht="15" customHeight="1">
      <c r="A440" s="91" t="s">
        <v>216</v>
      </c>
      <c r="B440" s="92">
        <v>2025</v>
      </c>
      <c r="C440" s="93">
        <v>45962</v>
      </c>
      <c r="D440" s="94" t="s">
        <v>285</v>
      </c>
      <c r="E440" s="95">
        <v>4298.26</v>
      </c>
    </row>
    <row r="441" spans="1:5" ht="15" customHeight="1">
      <c r="A441" s="91" t="s">
        <v>216</v>
      </c>
      <c r="B441" s="92">
        <v>2025</v>
      </c>
      <c r="C441" s="93">
        <v>45962</v>
      </c>
      <c r="D441" s="94" t="s">
        <v>65</v>
      </c>
      <c r="E441" s="95">
        <v>183</v>
      </c>
    </row>
    <row r="442" spans="1:5" ht="15" customHeight="1">
      <c r="A442" s="91" t="s">
        <v>216</v>
      </c>
      <c r="B442" s="92">
        <v>2025</v>
      </c>
      <c r="C442" s="93">
        <v>45962</v>
      </c>
      <c r="D442" s="94" t="s">
        <v>66</v>
      </c>
      <c r="E442" s="95">
        <v>31716.87</v>
      </c>
    </row>
    <row r="443" spans="1:5" ht="15" customHeight="1">
      <c r="A443" s="91" t="s">
        <v>216</v>
      </c>
      <c r="B443" s="92">
        <v>2025</v>
      </c>
      <c r="C443" s="93">
        <v>45962</v>
      </c>
      <c r="D443" s="94" t="s">
        <v>67</v>
      </c>
      <c r="E443" s="95">
        <v>674.54</v>
      </c>
    </row>
    <row r="444" spans="1:5" ht="15" customHeight="1">
      <c r="A444" s="91" t="s">
        <v>216</v>
      </c>
      <c r="B444" s="92">
        <v>2025</v>
      </c>
      <c r="C444" s="93">
        <v>45962</v>
      </c>
      <c r="D444" s="94" t="s">
        <v>68</v>
      </c>
      <c r="E444" s="95">
        <v>5854.19</v>
      </c>
    </row>
    <row r="445" spans="1:5" ht="15" customHeight="1">
      <c r="A445" s="91" t="s">
        <v>216</v>
      </c>
      <c r="B445" s="92">
        <v>2025</v>
      </c>
      <c r="C445" s="93">
        <v>45962</v>
      </c>
      <c r="D445" s="94" t="s">
        <v>269</v>
      </c>
      <c r="E445" s="95">
        <v>374.31</v>
      </c>
    </row>
    <row r="446" spans="1:5" ht="15" customHeight="1">
      <c r="A446" s="91" t="s">
        <v>216</v>
      </c>
      <c r="B446" s="92">
        <v>2025</v>
      </c>
      <c r="C446" s="93">
        <v>45962</v>
      </c>
      <c r="D446" s="94" t="s">
        <v>69</v>
      </c>
      <c r="E446" s="95">
        <v>38097.33</v>
      </c>
    </row>
    <row r="447" spans="1:5" ht="15" customHeight="1">
      <c r="A447" s="91" t="s">
        <v>216</v>
      </c>
      <c r="B447" s="92">
        <v>2025</v>
      </c>
      <c r="C447" s="93">
        <v>45962</v>
      </c>
      <c r="D447" s="94" t="s">
        <v>180</v>
      </c>
      <c r="E447" s="95">
        <v>2918.25</v>
      </c>
    </row>
    <row r="448" spans="1:5" ht="15" customHeight="1">
      <c r="A448" s="91" t="s">
        <v>216</v>
      </c>
      <c r="B448" s="92">
        <v>2025</v>
      </c>
      <c r="C448" s="93">
        <v>45962</v>
      </c>
      <c r="D448" s="94" t="s">
        <v>232</v>
      </c>
      <c r="E448" s="95">
        <v>500</v>
      </c>
    </row>
    <row r="449" spans="1:5" ht="15" customHeight="1">
      <c r="A449" s="91" t="s">
        <v>216</v>
      </c>
      <c r="B449" s="92">
        <v>2025</v>
      </c>
      <c r="C449" s="93">
        <v>45962</v>
      </c>
      <c r="D449" s="94" t="s">
        <v>220</v>
      </c>
      <c r="E449" s="95">
        <v>3044.7</v>
      </c>
    </row>
    <row r="450" spans="1:5" ht="15" customHeight="1">
      <c r="A450" s="91" t="s">
        <v>216</v>
      </c>
      <c r="B450" s="92">
        <v>2025</v>
      </c>
      <c r="C450" s="93">
        <v>45962</v>
      </c>
      <c r="D450" s="94" t="s">
        <v>71</v>
      </c>
      <c r="E450" s="95">
        <v>44646.84</v>
      </c>
    </row>
    <row r="451" spans="1:5" ht="15" customHeight="1">
      <c r="A451" s="91" t="s">
        <v>216</v>
      </c>
      <c r="B451" s="92">
        <v>2025</v>
      </c>
      <c r="C451" s="93">
        <v>45962</v>
      </c>
      <c r="D451" s="94" t="s">
        <v>72</v>
      </c>
      <c r="E451" s="95">
        <v>76</v>
      </c>
    </row>
    <row r="452" spans="1:5" ht="15" customHeight="1">
      <c r="A452" s="91" t="s">
        <v>216</v>
      </c>
      <c r="B452" s="92">
        <v>2025</v>
      </c>
      <c r="C452" s="93">
        <v>45962</v>
      </c>
      <c r="D452" s="94" t="s">
        <v>223</v>
      </c>
      <c r="E452" s="95">
        <v>1067.5999999999999</v>
      </c>
    </row>
    <row r="453" spans="1:5" ht="15" customHeight="1">
      <c r="A453" s="91" t="s">
        <v>216</v>
      </c>
      <c r="B453" s="92">
        <v>2025</v>
      </c>
      <c r="C453" s="93">
        <v>45962</v>
      </c>
      <c r="D453" s="94" t="s">
        <v>334</v>
      </c>
      <c r="E453" s="95">
        <v>2547.5500000000002</v>
      </c>
    </row>
    <row r="454" spans="1:5" ht="15" customHeight="1">
      <c r="A454" s="91" t="s">
        <v>216</v>
      </c>
      <c r="B454" s="92">
        <v>2025</v>
      </c>
      <c r="C454" s="93">
        <v>45962</v>
      </c>
      <c r="D454" s="94" t="s">
        <v>73</v>
      </c>
      <c r="E454" s="95">
        <v>633.01</v>
      </c>
    </row>
    <row r="455" spans="1:5" ht="15" customHeight="1">
      <c r="A455" s="91" t="s">
        <v>216</v>
      </c>
      <c r="B455" s="92">
        <v>2025</v>
      </c>
      <c r="C455" s="93">
        <v>45962</v>
      </c>
      <c r="D455" s="94" t="s">
        <v>74</v>
      </c>
      <c r="E455" s="95">
        <v>19658.38</v>
      </c>
    </row>
    <row r="456" spans="1:5" ht="15" customHeight="1">
      <c r="A456" s="91" t="s">
        <v>216</v>
      </c>
      <c r="B456" s="92">
        <v>2025</v>
      </c>
      <c r="C456" s="93">
        <v>45962</v>
      </c>
      <c r="D456" s="94" t="s">
        <v>224</v>
      </c>
      <c r="E456" s="95">
        <v>1270</v>
      </c>
    </row>
    <row r="457" spans="1:5" ht="15" customHeight="1">
      <c r="A457" s="91" t="s">
        <v>216</v>
      </c>
      <c r="B457" s="92">
        <v>2025</v>
      </c>
      <c r="C457" s="93">
        <v>45992</v>
      </c>
      <c r="D457" s="94" t="s">
        <v>217</v>
      </c>
      <c r="E457" s="95">
        <v>314.7</v>
      </c>
    </row>
    <row r="458" spans="1:5" ht="15" customHeight="1">
      <c r="A458" s="91" t="s">
        <v>216</v>
      </c>
      <c r="B458" s="92">
        <v>2025</v>
      </c>
      <c r="C458" s="93">
        <v>45992</v>
      </c>
      <c r="D458" s="94" t="s">
        <v>218</v>
      </c>
      <c r="E458" s="95">
        <v>1890</v>
      </c>
    </row>
    <row r="459" spans="1:5" ht="15" customHeight="1">
      <c r="A459" s="91" t="s">
        <v>216</v>
      </c>
      <c r="B459" s="92">
        <v>2025</v>
      </c>
      <c r="C459" s="93">
        <v>45992</v>
      </c>
      <c r="D459" s="94" t="s">
        <v>302</v>
      </c>
      <c r="E459" s="95">
        <v>2500</v>
      </c>
    </row>
    <row r="460" spans="1:5" ht="15" customHeight="1">
      <c r="A460" s="91" t="s">
        <v>216</v>
      </c>
      <c r="B460" s="92">
        <v>2025</v>
      </c>
      <c r="C460" s="93">
        <v>45992</v>
      </c>
      <c r="D460" s="94" t="s">
        <v>191</v>
      </c>
      <c r="E460" s="95">
        <v>2078.63</v>
      </c>
    </row>
    <row r="461" spans="1:5" ht="15" customHeight="1">
      <c r="A461" s="91" t="s">
        <v>216</v>
      </c>
      <c r="B461" s="92">
        <v>2025</v>
      </c>
      <c r="C461" s="93">
        <v>45992</v>
      </c>
      <c r="D461" s="94" t="s">
        <v>58</v>
      </c>
      <c r="E461" s="95">
        <v>691.26</v>
      </c>
    </row>
    <row r="462" spans="1:5" ht="15" customHeight="1">
      <c r="A462" s="91" t="s">
        <v>216</v>
      </c>
      <c r="B462" s="92">
        <v>2025</v>
      </c>
      <c r="C462" s="93">
        <v>45992</v>
      </c>
      <c r="D462" s="94" t="s">
        <v>333</v>
      </c>
      <c r="E462" s="95">
        <v>2203.17</v>
      </c>
    </row>
    <row r="463" spans="1:5" ht="15" customHeight="1">
      <c r="A463" s="91" t="s">
        <v>216</v>
      </c>
      <c r="B463" s="92">
        <v>2025</v>
      </c>
      <c r="C463" s="93">
        <v>45992</v>
      </c>
      <c r="D463" s="94" t="s">
        <v>76</v>
      </c>
      <c r="E463" s="95">
        <v>4209.05</v>
      </c>
    </row>
    <row r="464" spans="1:5" ht="15" customHeight="1">
      <c r="A464" s="91" t="s">
        <v>216</v>
      </c>
      <c r="B464" s="92">
        <v>2025</v>
      </c>
      <c r="C464" s="93">
        <v>45992</v>
      </c>
      <c r="D464" s="94" t="s">
        <v>57</v>
      </c>
      <c r="E464" s="95">
        <v>25196.25</v>
      </c>
    </row>
    <row r="465" spans="1:5" ht="15" customHeight="1">
      <c r="A465" s="91" t="s">
        <v>216</v>
      </c>
      <c r="B465" s="92">
        <v>2025</v>
      </c>
      <c r="C465" s="93">
        <v>45992</v>
      </c>
      <c r="D465" s="94" t="s">
        <v>60</v>
      </c>
      <c r="E465" s="95">
        <v>88.72</v>
      </c>
    </row>
    <row r="466" spans="1:5" ht="15" customHeight="1">
      <c r="A466" s="91" t="s">
        <v>216</v>
      </c>
      <c r="B466" s="92">
        <v>2025</v>
      </c>
      <c r="C466" s="93">
        <v>45992</v>
      </c>
      <c r="D466" s="94" t="s">
        <v>341</v>
      </c>
      <c r="E466" s="95">
        <v>13800</v>
      </c>
    </row>
    <row r="467" spans="1:5" ht="15" customHeight="1">
      <c r="A467" s="91" t="s">
        <v>216</v>
      </c>
      <c r="B467" s="92">
        <v>2025</v>
      </c>
      <c r="C467" s="93">
        <v>45992</v>
      </c>
      <c r="D467" s="94" t="s">
        <v>342</v>
      </c>
      <c r="E467" s="95">
        <v>3060</v>
      </c>
    </row>
    <row r="468" spans="1:5" ht="15" customHeight="1">
      <c r="A468" s="91" t="s">
        <v>216</v>
      </c>
      <c r="B468" s="92">
        <v>2025</v>
      </c>
      <c r="C468" s="93">
        <v>45992</v>
      </c>
      <c r="D468" s="94" t="s">
        <v>182</v>
      </c>
      <c r="E468" s="95">
        <v>41274.730000000003</v>
      </c>
    </row>
    <row r="469" spans="1:5" ht="15" customHeight="1">
      <c r="A469" s="91" t="s">
        <v>216</v>
      </c>
      <c r="B469" s="92">
        <v>2025</v>
      </c>
      <c r="C469" s="93">
        <v>45992</v>
      </c>
      <c r="D469" s="94" t="s">
        <v>343</v>
      </c>
      <c r="E469" s="95">
        <v>1700</v>
      </c>
    </row>
    <row r="470" spans="1:5" ht="15" customHeight="1">
      <c r="A470" s="91" t="s">
        <v>216</v>
      </c>
      <c r="B470" s="92">
        <v>2025</v>
      </c>
      <c r="C470" s="93">
        <v>45992</v>
      </c>
      <c r="D470" s="94" t="s">
        <v>61</v>
      </c>
      <c r="E470" s="95">
        <v>1518</v>
      </c>
    </row>
    <row r="471" spans="1:5" ht="15" customHeight="1">
      <c r="A471" s="91" t="s">
        <v>216</v>
      </c>
      <c r="B471" s="92">
        <v>2025</v>
      </c>
      <c r="C471" s="93">
        <v>45992</v>
      </c>
      <c r="D471" s="94" t="s">
        <v>219</v>
      </c>
      <c r="E471" s="95">
        <v>5041.32</v>
      </c>
    </row>
    <row r="472" spans="1:5" ht="15" customHeight="1">
      <c r="A472" s="91" t="s">
        <v>216</v>
      </c>
      <c r="B472" s="92">
        <v>2025</v>
      </c>
      <c r="C472" s="93">
        <v>45992</v>
      </c>
      <c r="D472" s="94" t="s">
        <v>62</v>
      </c>
      <c r="E472" s="95">
        <v>969.5</v>
      </c>
    </row>
    <row r="473" spans="1:5" ht="15" customHeight="1">
      <c r="A473" s="91" t="s">
        <v>216</v>
      </c>
      <c r="B473" s="92">
        <v>2025</v>
      </c>
      <c r="C473" s="93">
        <v>45992</v>
      </c>
      <c r="D473" s="94" t="s">
        <v>259</v>
      </c>
      <c r="E473" s="95">
        <v>23802.69</v>
      </c>
    </row>
    <row r="474" spans="1:5" ht="15" customHeight="1">
      <c r="A474" s="91" t="s">
        <v>216</v>
      </c>
      <c r="B474" s="92">
        <v>2025</v>
      </c>
      <c r="C474" s="93">
        <v>45992</v>
      </c>
      <c r="D474" s="94" t="s">
        <v>63</v>
      </c>
      <c r="E474" s="95">
        <v>896.95</v>
      </c>
    </row>
    <row r="475" spans="1:5" ht="15" customHeight="1">
      <c r="A475" s="91" t="s">
        <v>216</v>
      </c>
      <c r="B475" s="92">
        <v>2025</v>
      </c>
      <c r="C475" s="93">
        <v>45992</v>
      </c>
      <c r="D475" s="94" t="s">
        <v>64</v>
      </c>
      <c r="E475" s="95">
        <v>806</v>
      </c>
    </row>
    <row r="476" spans="1:5" ht="15" customHeight="1">
      <c r="A476" s="91" t="s">
        <v>216</v>
      </c>
      <c r="B476" s="92">
        <v>2025</v>
      </c>
      <c r="C476" s="93">
        <v>45992</v>
      </c>
      <c r="D476" s="94" t="s">
        <v>285</v>
      </c>
      <c r="E476" s="95">
        <v>8752.36</v>
      </c>
    </row>
    <row r="477" spans="1:5" ht="15" customHeight="1">
      <c r="A477" s="91" t="s">
        <v>216</v>
      </c>
      <c r="B477" s="92">
        <v>2025</v>
      </c>
      <c r="C477" s="93">
        <v>45992</v>
      </c>
      <c r="D477" s="94" t="s">
        <v>65</v>
      </c>
      <c r="E477" s="95">
        <v>183</v>
      </c>
    </row>
    <row r="478" spans="1:5" ht="15" customHeight="1">
      <c r="A478" s="91" t="s">
        <v>216</v>
      </c>
      <c r="B478" s="92">
        <v>2025</v>
      </c>
      <c r="C478" s="93">
        <v>45992</v>
      </c>
      <c r="D478" s="94" t="s">
        <v>66</v>
      </c>
      <c r="E478" s="95">
        <v>533.9</v>
      </c>
    </row>
    <row r="479" spans="1:5" ht="15" customHeight="1">
      <c r="A479" s="91" t="s">
        <v>216</v>
      </c>
      <c r="B479" s="92">
        <v>2025</v>
      </c>
      <c r="C479" s="93">
        <v>45992</v>
      </c>
      <c r="D479" s="94" t="s">
        <v>67</v>
      </c>
      <c r="E479" s="95">
        <v>677.37</v>
      </c>
    </row>
    <row r="480" spans="1:5" ht="15" customHeight="1">
      <c r="A480" s="91" t="s">
        <v>216</v>
      </c>
      <c r="B480" s="92">
        <v>2025</v>
      </c>
      <c r="C480" s="93">
        <v>45992</v>
      </c>
      <c r="D480" s="94" t="s">
        <v>68</v>
      </c>
      <c r="E480" s="95">
        <v>96.87</v>
      </c>
    </row>
    <row r="481" spans="1:5" ht="15" customHeight="1">
      <c r="A481" s="91" t="s">
        <v>216</v>
      </c>
      <c r="B481" s="92">
        <v>2025</v>
      </c>
      <c r="C481" s="93">
        <v>45992</v>
      </c>
      <c r="D481" s="94" t="s">
        <v>69</v>
      </c>
      <c r="E481" s="95">
        <v>35560.480000000003</v>
      </c>
    </row>
    <row r="482" spans="1:5" ht="15" customHeight="1">
      <c r="A482" s="91" t="s">
        <v>216</v>
      </c>
      <c r="B482" s="92">
        <v>2025</v>
      </c>
      <c r="C482" s="93">
        <v>45992</v>
      </c>
      <c r="D482" s="94" t="s">
        <v>78</v>
      </c>
      <c r="E482" s="95">
        <v>74.180000000000007</v>
      </c>
    </row>
    <row r="483" spans="1:5" ht="15" customHeight="1">
      <c r="A483" s="91" t="s">
        <v>216</v>
      </c>
      <c r="B483" s="92">
        <v>2025</v>
      </c>
      <c r="C483" s="93">
        <v>45992</v>
      </c>
      <c r="D483" s="94" t="s">
        <v>180</v>
      </c>
      <c r="E483" s="95">
        <v>2899.4</v>
      </c>
    </row>
    <row r="484" spans="1:5" ht="15" customHeight="1">
      <c r="A484" s="91" t="s">
        <v>216</v>
      </c>
      <c r="B484" s="92">
        <v>2025</v>
      </c>
      <c r="C484" s="93">
        <v>45992</v>
      </c>
      <c r="D484" s="94" t="s">
        <v>272</v>
      </c>
      <c r="E484" s="95">
        <v>6.69</v>
      </c>
    </row>
    <row r="485" spans="1:5" ht="15" customHeight="1">
      <c r="A485" s="91" t="s">
        <v>216</v>
      </c>
      <c r="B485" s="92">
        <v>2025</v>
      </c>
      <c r="C485" s="93">
        <v>45992</v>
      </c>
      <c r="D485" s="94" t="s">
        <v>232</v>
      </c>
      <c r="E485" s="95">
        <v>500</v>
      </c>
    </row>
    <row r="486" spans="1:5" ht="15" customHeight="1">
      <c r="A486" s="91" t="s">
        <v>216</v>
      </c>
      <c r="B486" s="92">
        <v>2025</v>
      </c>
      <c r="C486" s="93">
        <v>45992</v>
      </c>
      <c r="D486" s="94" t="s">
        <v>220</v>
      </c>
      <c r="E486" s="95">
        <v>3061.08</v>
      </c>
    </row>
    <row r="487" spans="1:5" ht="15" customHeight="1">
      <c r="A487" s="91" t="s">
        <v>216</v>
      </c>
      <c r="B487" s="92">
        <v>2025</v>
      </c>
      <c r="C487" s="93">
        <v>45992</v>
      </c>
      <c r="D487" s="94" t="s">
        <v>71</v>
      </c>
      <c r="E487" s="95">
        <v>27586.240000000002</v>
      </c>
    </row>
    <row r="488" spans="1:5" ht="15" customHeight="1">
      <c r="A488" s="91" t="s">
        <v>216</v>
      </c>
      <c r="B488" s="92">
        <v>2025</v>
      </c>
      <c r="C488" s="93">
        <v>45992</v>
      </c>
      <c r="D488" s="94" t="s">
        <v>344</v>
      </c>
      <c r="E488" s="95">
        <v>5580</v>
      </c>
    </row>
    <row r="489" spans="1:5" ht="15" customHeight="1">
      <c r="A489" s="91" t="s">
        <v>216</v>
      </c>
      <c r="B489" s="92">
        <v>2025</v>
      </c>
      <c r="C489" s="93">
        <v>45992</v>
      </c>
      <c r="D489" s="94" t="s">
        <v>223</v>
      </c>
      <c r="E489" s="95">
        <v>1619.72</v>
      </c>
    </row>
    <row r="490" spans="1:5" ht="15" customHeight="1">
      <c r="A490" s="91" t="s">
        <v>216</v>
      </c>
      <c r="B490" s="92">
        <v>2025</v>
      </c>
      <c r="C490" s="93">
        <v>45992</v>
      </c>
      <c r="D490" s="94" t="s">
        <v>286</v>
      </c>
      <c r="E490" s="95">
        <v>2530.2399999999998</v>
      </c>
    </row>
    <row r="491" spans="1:5" ht="15" customHeight="1">
      <c r="A491" s="91" t="s">
        <v>216</v>
      </c>
      <c r="B491" s="92">
        <v>2025</v>
      </c>
      <c r="C491" s="93">
        <v>45992</v>
      </c>
      <c r="D491" s="94" t="s">
        <v>73</v>
      </c>
      <c r="E491" s="95">
        <v>633.03</v>
      </c>
    </row>
    <row r="492" spans="1:5" ht="15" customHeight="1">
      <c r="A492" s="91" t="s">
        <v>216</v>
      </c>
      <c r="B492" s="92">
        <v>2025</v>
      </c>
      <c r="C492" s="93">
        <v>45992</v>
      </c>
      <c r="D492" s="94" t="s">
        <v>74</v>
      </c>
      <c r="E492" s="95">
        <v>871.58</v>
      </c>
    </row>
    <row r="493" spans="1:5" ht="15" customHeight="1">
      <c r="A493" s="91" t="s">
        <v>216</v>
      </c>
      <c r="B493" s="92">
        <v>2025</v>
      </c>
      <c r="C493" s="93">
        <v>45992</v>
      </c>
      <c r="D493" s="94" t="s">
        <v>224</v>
      </c>
      <c r="E493" s="95">
        <v>2400</v>
      </c>
    </row>
    <row r="494" spans="1:5" ht="15" customHeight="1">
      <c r="A494" s="91" t="s">
        <v>216</v>
      </c>
      <c r="B494" s="92">
        <v>2025</v>
      </c>
      <c r="C494" s="93">
        <v>45992</v>
      </c>
      <c r="D494" s="94" t="s">
        <v>226</v>
      </c>
      <c r="E494" s="95">
        <v>277.95999999999998</v>
      </c>
    </row>
    <row r="495" spans="1:5" ht="15" customHeight="1">
      <c r="A495" s="91" t="s">
        <v>216</v>
      </c>
      <c r="B495" s="92">
        <v>2025</v>
      </c>
      <c r="C495" s="93">
        <v>45992</v>
      </c>
      <c r="D495" s="94" t="s">
        <v>345</v>
      </c>
      <c r="E495" s="95">
        <v>4300</v>
      </c>
    </row>
    <row r="496" spans="1:5" ht="15" customHeight="1">
      <c r="A496" s="91" t="s">
        <v>355</v>
      </c>
      <c r="B496" s="92">
        <v>2025</v>
      </c>
      <c r="C496" s="93">
        <v>45717</v>
      </c>
      <c r="D496" s="94" t="s">
        <v>71</v>
      </c>
      <c r="E496" s="95">
        <v>4.0999999999999996</v>
      </c>
    </row>
    <row r="497" spans="1:5" ht="15" customHeight="1">
      <c r="A497" s="91" t="s">
        <v>355</v>
      </c>
      <c r="B497" s="92">
        <v>2025</v>
      </c>
      <c r="C497" s="93">
        <v>45809</v>
      </c>
      <c r="D497" s="94" t="s">
        <v>192</v>
      </c>
      <c r="E497" s="95">
        <v>3028.75</v>
      </c>
    </row>
    <row r="498" spans="1:5" ht="15" customHeight="1">
      <c r="A498" s="91" t="s">
        <v>355</v>
      </c>
      <c r="B498" s="92">
        <v>2025</v>
      </c>
      <c r="C498" s="93">
        <v>45809</v>
      </c>
      <c r="D498" s="94" t="s">
        <v>194</v>
      </c>
      <c r="E498" s="95">
        <v>923.59</v>
      </c>
    </row>
    <row r="499" spans="1:5" ht="15" customHeight="1">
      <c r="A499" s="91" t="s">
        <v>355</v>
      </c>
      <c r="B499" s="92">
        <v>2025</v>
      </c>
      <c r="C499" s="93">
        <v>45839</v>
      </c>
      <c r="D499" s="94" t="s">
        <v>192</v>
      </c>
      <c r="E499" s="95">
        <v>10221.18</v>
      </c>
    </row>
    <row r="500" spans="1:5" ht="15" customHeight="1">
      <c r="A500" s="91" t="s">
        <v>355</v>
      </c>
      <c r="B500" s="92">
        <v>2025</v>
      </c>
      <c r="C500" s="93">
        <v>45839</v>
      </c>
      <c r="D500" s="94" t="s">
        <v>57</v>
      </c>
      <c r="E500" s="95">
        <v>85711.45</v>
      </c>
    </row>
    <row r="501" spans="1:5" ht="15" customHeight="1">
      <c r="A501" s="91" t="s">
        <v>355</v>
      </c>
      <c r="B501" s="92">
        <v>2025</v>
      </c>
      <c r="C501" s="93">
        <v>45839</v>
      </c>
      <c r="D501" s="94" t="s">
        <v>71</v>
      </c>
      <c r="E501" s="95">
        <v>605.34</v>
      </c>
    </row>
    <row r="502" spans="1:5" ht="15" customHeight="1">
      <c r="A502" s="91" t="s">
        <v>355</v>
      </c>
      <c r="B502" s="92">
        <v>2025</v>
      </c>
      <c r="C502" s="93">
        <v>45901</v>
      </c>
      <c r="D502" s="94" t="s">
        <v>78</v>
      </c>
      <c r="E502" s="95">
        <v>0.78</v>
      </c>
    </row>
    <row r="503" spans="1:5" ht="15" customHeight="1">
      <c r="A503" s="91" t="s">
        <v>355</v>
      </c>
      <c r="B503" s="92">
        <v>2025</v>
      </c>
      <c r="C503" s="93">
        <v>45931</v>
      </c>
      <c r="D503" s="94" t="s">
        <v>285</v>
      </c>
      <c r="E503" s="95">
        <v>186</v>
      </c>
    </row>
    <row r="504" spans="1:5" ht="15" customHeight="1">
      <c r="A504" s="91" t="s">
        <v>355</v>
      </c>
      <c r="B504" s="92">
        <v>2025</v>
      </c>
      <c r="C504" s="93">
        <v>45992</v>
      </c>
      <c r="D504" s="94" t="s">
        <v>285</v>
      </c>
      <c r="E504" s="95">
        <v>715.99</v>
      </c>
    </row>
    <row r="505" spans="1:5" ht="15" customHeight="1">
      <c r="A505" s="91" t="s">
        <v>355</v>
      </c>
      <c r="B505" s="92">
        <v>2025</v>
      </c>
      <c r="C505" s="93">
        <v>45992</v>
      </c>
      <c r="D505" s="94" t="s">
        <v>345</v>
      </c>
      <c r="E505" s="95">
        <v>5737.15</v>
      </c>
    </row>
    <row r="506" spans="1:5" ht="15" customHeight="1">
      <c r="A506" s="91" t="s">
        <v>355</v>
      </c>
      <c r="B506" s="92">
        <v>2026</v>
      </c>
      <c r="C506" s="93">
        <v>46023</v>
      </c>
      <c r="D506" s="94" t="s">
        <v>285</v>
      </c>
      <c r="E506" s="95">
        <v>26675.02</v>
      </c>
    </row>
    <row r="507" spans="1:5" ht="15" customHeight="1">
      <c r="A507" s="91" t="s">
        <v>216</v>
      </c>
      <c r="B507" s="92">
        <v>2026</v>
      </c>
      <c r="C507" s="93">
        <v>46023</v>
      </c>
      <c r="D507" s="94" t="s">
        <v>217</v>
      </c>
      <c r="E507" s="95">
        <v>314.7</v>
      </c>
    </row>
    <row r="508" spans="1:5" ht="15" customHeight="1">
      <c r="A508" s="91" t="s">
        <v>216</v>
      </c>
      <c r="B508" s="92">
        <v>2026</v>
      </c>
      <c r="C508" s="93">
        <v>46023</v>
      </c>
      <c r="D508" s="94" t="s">
        <v>302</v>
      </c>
      <c r="E508" s="95">
        <v>2500</v>
      </c>
    </row>
    <row r="509" spans="1:5" ht="15" customHeight="1">
      <c r="A509" s="91" t="s">
        <v>216</v>
      </c>
      <c r="B509" s="92">
        <v>2026</v>
      </c>
      <c r="C509" s="93">
        <v>46023</v>
      </c>
      <c r="D509" s="94" t="s">
        <v>378</v>
      </c>
      <c r="E509" s="95">
        <v>106</v>
      </c>
    </row>
    <row r="510" spans="1:5" ht="15" customHeight="1">
      <c r="A510" s="91" t="s">
        <v>216</v>
      </c>
      <c r="B510" s="92">
        <v>2026</v>
      </c>
      <c r="C510" s="93">
        <v>46023</v>
      </c>
      <c r="D510" s="94" t="s">
        <v>58</v>
      </c>
      <c r="E510" s="95">
        <v>3894.5</v>
      </c>
    </row>
    <row r="511" spans="1:5" ht="15" customHeight="1">
      <c r="A511" s="91" t="s">
        <v>216</v>
      </c>
      <c r="B511" s="92">
        <v>2026</v>
      </c>
      <c r="C511" s="93">
        <v>46023</v>
      </c>
      <c r="D511" s="94" t="s">
        <v>333</v>
      </c>
      <c r="E511" s="95">
        <v>9009.6</v>
      </c>
    </row>
    <row r="512" spans="1:5" ht="15" customHeight="1">
      <c r="A512" s="91" t="s">
        <v>216</v>
      </c>
      <c r="B512" s="92">
        <v>2026</v>
      </c>
      <c r="C512" s="93">
        <v>46023</v>
      </c>
      <c r="D512" s="94" t="s">
        <v>59</v>
      </c>
      <c r="E512" s="95">
        <v>615.52</v>
      </c>
    </row>
    <row r="513" spans="1:5" ht="15" customHeight="1">
      <c r="A513" s="91" t="s">
        <v>216</v>
      </c>
      <c r="B513" s="92">
        <v>2026</v>
      </c>
      <c r="C513" s="93">
        <v>46023</v>
      </c>
      <c r="D513" s="94" t="s">
        <v>60</v>
      </c>
      <c r="E513" s="95">
        <v>109.65</v>
      </c>
    </row>
    <row r="514" spans="1:5" ht="15" customHeight="1">
      <c r="A514" s="91" t="s">
        <v>216</v>
      </c>
      <c r="B514" s="92">
        <v>2026</v>
      </c>
      <c r="C514" s="93">
        <v>46023</v>
      </c>
      <c r="D514" s="94" t="s">
        <v>379</v>
      </c>
      <c r="E514" s="95">
        <v>23408.85</v>
      </c>
    </row>
    <row r="515" spans="1:5" ht="15" customHeight="1">
      <c r="A515" s="91" t="s">
        <v>216</v>
      </c>
      <c r="B515" s="92">
        <v>2026</v>
      </c>
      <c r="C515" s="93">
        <v>46023</v>
      </c>
      <c r="D515" s="94" t="s">
        <v>182</v>
      </c>
      <c r="E515" s="95">
        <v>96.61</v>
      </c>
    </row>
    <row r="516" spans="1:5" ht="15" customHeight="1">
      <c r="A516" s="91" t="s">
        <v>216</v>
      </c>
      <c r="B516" s="92">
        <v>2026</v>
      </c>
      <c r="C516" s="93">
        <v>46023</v>
      </c>
      <c r="D516" s="94" t="s">
        <v>61</v>
      </c>
      <c r="E516" s="95">
        <v>1621</v>
      </c>
    </row>
    <row r="517" spans="1:5" ht="15" customHeight="1">
      <c r="A517" s="91" t="s">
        <v>216</v>
      </c>
      <c r="B517" s="92">
        <v>2026</v>
      </c>
      <c r="C517" s="93">
        <v>46023</v>
      </c>
      <c r="D517" s="94" t="s">
        <v>219</v>
      </c>
      <c r="E517" s="95">
        <v>9450.33</v>
      </c>
    </row>
    <row r="518" spans="1:5" ht="15" customHeight="1">
      <c r="A518" s="91" t="s">
        <v>216</v>
      </c>
      <c r="B518" s="92">
        <v>2026</v>
      </c>
      <c r="C518" s="93">
        <v>46023</v>
      </c>
      <c r="D518" s="94" t="s">
        <v>62</v>
      </c>
      <c r="E518" s="95">
        <v>1779</v>
      </c>
    </row>
    <row r="519" spans="1:5" ht="15" customHeight="1">
      <c r="A519" s="91" t="s">
        <v>216</v>
      </c>
      <c r="B519" s="92">
        <v>2026</v>
      </c>
      <c r="C519" s="93">
        <v>46023</v>
      </c>
      <c r="D519" s="94" t="s">
        <v>259</v>
      </c>
      <c r="E519" s="95">
        <v>11226.64</v>
      </c>
    </row>
    <row r="520" spans="1:5" ht="15" customHeight="1">
      <c r="A520" s="91" t="s">
        <v>216</v>
      </c>
      <c r="B520" s="92">
        <v>2026</v>
      </c>
      <c r="C520" s="93">
        <v>46023</v>
      </c>
      <c r="D520" s="94" t="s">
        <v>63</v>
      </c>
      <c r="E520" s="95">
        <v>896.95</v>
      </c>
    </row>
    <row r="521" spans="1:5" ht="15" customHeight="1">
      <c r="A521" s="91" t="s">
        <v>216</v>
      </c>
      <c r="B521" s="92">
        <v>2026</v>
      </c>
      <c r="C521" s="93">
        <v>46023</v>
      </c>
      <c r="D521" s="94" t="s">
        <v>64</v>
      </c>
      <c r="E521" s="95">
        <v>806</v>
      </c>
    </row>
    <row r="522" spans="1:5" ht="15" customHeight="1">
      <c r="A522" s="91" t="s">
        <v>216</v>
      </c>
      <c r="B522" s="92">
        <v>2026</v>
      </c>
      <c r="C522" s="93">
        <v>46023</v>
      </c>
      <c r="D522" s="94" t="s">
        <v>285</v>
      </c>
      <c r="E522" s="95">
        <v>2211.27</v>
      </c>
    </row>
    <row r="523" spans="1:5" ht="15" customHeight="1">
      <c r="A523" s="91" t="s">
        <v>216</v>
      </c>
      <c r="B523" s="92">
        <v>2026</v>
      </c>
      <c r="C523" s="93">
        <v>46023</v>
      </c>
      <c r="D523" s="94" t="s">
        <v>65</v>
      </c>
      <c r="E523" s="95">
        <v>182.66</v>
      </c>
    </row>
    <row r="524" spans="1:5" ht="15" customHeight="1">
      <c r="A524" s="91" t="s">
        <v>216</v>
      </c>
      <c r="B524" s="92">
        <v>2026</v>
      </c>
      <c r="C524" s="93">
        <v>46023</v>
      </c>
      <c r="D524" s="94" t="s">
        <v>66</v>
      </c>
      <c r="E524" s="95">
        <v>205.51</v>
      </c>
    </row>
    <row r="525" spans="1:5" ht="15" customHeight="1">
      <c r="A525" s="91" t="s">
        <v>216</v>
      </c>
      <c r="B525" s="92">
        <v>2026</v>
      </c>
      <c r="C525" s="93">
        <v>46023</v>
      </c>
      <c r="D525" s="94" t="s">
        <v>67</v>
      </c>
      <c r="E525" s="95">
        <v>1613.75</v>
      </c>
    </row>
    <row r="526" spans="1:5" ht="15" customHeight="1">
      <c r="A526" s="91" t="s">
        <v>216</v>
      </c>
      <c r="B526" s="92">
        <v>2026</v>
      </c>
      <c r="C526" s="93">
        <v>46023</v>
      </c>
      <c r="D526" s="94" t="s">
        <v>68</v>
      </c>
      <c r="E526" s="95">
        <v>2787.39</v>
      </c>
    </row>
    <row r="527" spans="1:5" ht="15" customHeight="1">
      <c r="A527" s="91" t="s">
        <v>216</v>
      </c>
      <c r="B527" s="92">
        <v>2026</v>
      </c>
      <c r="C527" s="93">
        <v>46023</v>
      </c>
      <c r="D527" s="94" t="s">
        <v>69</v>
      </c>
      <c r="E527" s="95">
        <v>56990.81</v>
      </c>
    </row>
    <row r="528" spans="1:5" ht="15" customHeight="1">
      <c r="A528" s="91" t="s">
        <v>216</v>
      </c>
      <c r="B528" s="92">
        <v>2026</v>
      </c>
      <c r="C528" s="93">
        <v>46023</v>
      </c>
      <c r="D528" s="94" t="s">
        <v>180</v>
      </c>
      <c r="E528" s="95">
        <v>2874.69</v>
      </c>
    </row>
    <row r="529" spans="1:5" ht="15" customHeight="1">
      <c r="A529" s="91" t="s">
        <v>216</v>
      </c>
      <c r="B529" s="92">
        <v>2026</v>
      </c>
      <c r="C529" s="93">
        <v>46023</v>
      </c>
      <c r="D529" s="94" t="s">
        <v>232</v>
      </c>
      <c r="E529" s="95">
        <v>500</v>
      </c>
    </row>
    <row r="530" spans="1:5" ht="15" customHeight="1">
      <c r="A530" s="91" t="s">
        <v>216</v>
      </c>
      <c r="B530" s="92">
        <v>2026</v>
      </c>
      <c r="C530" s="93">
        <v>46023</v>
      </c>
      <c r="D530" s="94" t="s">
        <v>194</v>
      </c>
      <c r="E530" s="95">
        <v>475</v>
      </c>
    </row>
    <row r="531" spans="1:5" ht="15" customHeight="1">
      <c r="A531" s="91" t="s">
        <v>216</v>
      </c>
      <c r="B531" s="92">
        <v>2026</v>
      </c>
      <c r="C531" s="93">
        <v>46023</v>
      </c>
      <c r="D531" s="94" t="s">
        <v>70</v>
      </c>
      <c r="E531" s="95">
        <v>279.27999999999997</v>
      </c>
    </row>
    <row r="532" spans="1:5" ht="15" customHeight="1">
      <c r="A532" s="91" t="s">
        <v>216</v>
      </c>
      <c r="B532" s="92">
        <v>2026</v>
      </c>
      <c r="C532" s="93">
        <v>46023</v>
      </c>
      <c r="D532" s="94" t="s">
        <v>220</v>
      </c>
      <c r="E532" s="95">
        <v>3080.1</v>
      </c>
    </row>
    <row r="533" spans="1:5" ht="15" customHeight="1">
      <c r="A533" s="91" t="s">
        <v>216</v>
      </c>
      <c r="B533" s="92">
        <v>2026</v>
      </c>
      <c r="C533" s="93">
        <v>46023</v>
      </c>
      <c r="D533" s="94" t="s">
        <v>222</v>
      </c>
      <c r="E533" s="95">
        <v>16</v>
      </c>
    </row>
    <row r="534" spans="1:5" ht="15" customHeight="1">
      <c r="A534" s="91" t="s">
        <v>216</v>
      </c>
      <c r="B534" s="92">
        <v>2026</v>
      </c>
      <c r="C534" s="93">
        <v>46023</v>
      </c>
      <c r="D534" s="94" t="s">
        <v>71</v>
      </c>
      <c r="E534" s="95">
        <v>25920.98</v>
      </c>
    </row>
    <row r="535" spans="1:5" ht="15" customHeight="1">
      <c r="A535" s="91" t="s">
        <v>216</v>
      </c>
      <c r="B535" s="92">
        <v>2026</v>
      </c>
      <c r="C535" s="93">
        <v>46023</v>
      </c>
      <c r="D535" s="94" t="s">
        <v>72</v>
      </c>
      <c r="E535" s="95">
        <v>976.78</v>
      </c>
    </row>
    <row r="536" spans="1:5" ht="15" customHeight="1">
      <c r="A536" s="91" t="s">
        <v>216</v>
      </c>
      <c r="B536" s="92">
        <v>2026</v>
      </c>
      <c r="C536" s="93">
        <v>46023</v>
      </c>
      <c r="D536" s="94" t="s">
        <v>223</v>
      </c>
      <c r="E536" s="95">
        <v>437.6</v>
      </c>
    </row>
    <row r="537" spans="1:5" ht="15" customHeight="1">
      <c r="A537" s="91" t="s">
        <v>216</v>
      </c>
      <c r="B537" s="92">
        <v>2026</v>
      </c>
      <c r="C537" s="93">
        <v>46023</v>
      </c>
      <c r="D537" s="94" t="s">
        <v>334</v>
      </c>
      <c r="E537" s="95">
        <v>2547.5700000000002</v>
      </c>
    </row>
    <row r="538" spans="1:5" ht="15" customHeight="1">
      <c r="A538" s="91" t="s">
        <v>216</v>
      </c>
      <c r="B538" s="92">
        <v>2026</v>
      </c>
      <c r="C538" s="93">
        <v>46023</v>
      </c>
      <c r="D538" s="94" t="s">
        <v>73</v>
      </c>
      <c r="E538" s="95">
        <v>633.01</v>
      </c>
    </row>
    <row r="539" spans="1:5" ht="15" customHeight="1">
      <c r="A539" s="91" t="s">
        <v>216</v>
      </c>
      <c r="B539" s="92">
        <v>2026</v>
      </c>
      <c r="C539" s="93">
        <v>46023</v>
      </c>
      <c r="D539" s="94" t="s">
        <v>74</v>
      </c>
      <c r="E539" s="95">
        <v>1399.64</v>
      </c>
    </row>
    <row r="540" spans="1:5" ht="15" customHeight="1">
      <c r="A540" s="91" t="s">
        <v>216</v>
      </c>
      <c r="B540" s="92">
        <v>2026</v>
      </c>
      <c r="C540" s="93">
        <v>46023</v>
      </c>
      <c r="D540" s="94" t="s">
        <v>226</v>
      </c>
      <c r="E540" s="95">
        <v>138.13999999999999</v>
      </c>
    </row>
    <row r="541" spans="1:5" ht="15" customHeight="1">
      <c r="A541" s="91" t="s">
        <v>51</v>
      </c>
      <c r="B541" s="92">
        <v>2026</v>
      </c>
      <c r="C541" s="93">
        <v>46023</v>
      </c>
      <c r="D541" s="94" t="s">
        <v>59</v>
      </c>
      <c r="E541" s="95">
        <v>21393.46</v>
      </c>
    </row>
    <row r="542" spans="1:5" ht="15" customHeight="1">
      <c r="A542" s="91" t="s">
        <v>51</v>
      </c>
      <c r="B542" s="92">
        <v>2026</v>
      </c>
      <c r="C542" s="93">
        <v>46023</v>
      </c>
      <c r="D542" s="94" t="s">
        <v>60</v>
      </c>
      <c r="E542" s="95">
        <v>79.67</v>
      </c>
    </row>
    <row r="543" spans="1:5" ht="15" customHeight="1">
      <c r="A543" s="91" t="s">
        <v>51</v>
      </c>
      <c r="B543" s="92">
        <v>2026</v>
      </c>
      <c r="C543" s="93">
        <v>46023</v>
      </c>
      <c r="D543" s="94" t="s">
        <v>61</v>
      </c>
      <c r="E543" s="95">
        <v>1621</v>
      </c>
    </row>
    <row r="544" spans="1:5" ht="15" customHeight="1">
      <c r="A544" s="91" t="s">
        <v>51</v>
      </c>
      <c r="B544" s="92">
        <v>2026</v>
      </c>
      <c r="C544" s="93">
        <v>46023</v>
      </c>
      <c r="D544" s="94" t="s">
        <v>63</v>
      </c>
      <c r="E544" s="95">
        <v>125</v>
      </c>
    </row>
    <row r="545" spans="1:5" ht="15" customHeight="1">
      <c r="A545" s="91" t="s">
        <v>51</v>
      </c>
      <c r="B545" s="92">
        <v>2026</v>
      </c>
      <c r="C545" s="93">
        <v>46023</v>
      </c>
      <c r="D545" s="94" t="s">
        <v>64</v>
      </c>
      <c r="E545" s="95">
        <v>806</v>
      </c>
    </row>
    <row r="546" spans="1:5" ht="15" customHeight="1">
      <c r="A546" s="91" t="s">
        <v>51</v>
      </c>
      <c r="B546" s="92">
        <v>2026</v>
      </c>
      <c r="C546" s="93">
        <v>46023</v>
      </c>
      <c r="D546" s="94" t="s">
        <v>65</v>
      </c>
      <c r="E546" s="95">
        <v>179.9</v>
      </c>
    </row>
    <row r="547" spans="1:5" ht="15" customHeight="1">
      <c r="A547" s="91" t="s">
        <v>51</v>
      </c>
      <c r="B547" s="92">
        <v>2026</v>
      </c>
      <c r="C547" s="93">
        <v>46023</v>
      </c>
      <c r="D547" s="94" t="s">
        <v>66</v>
      </c>
      <c r="E547" s="95">
        <v>159.91999999999999</v>
      </c>
    </row>
    <row r="548" spans="1:5" ht="15" customHeight="1">
      <c r="A548" s="91" t="s">
        <v>51</v>
      </c>
      <c r="B548" s="92">
        <v>2026</v>
      </c>
      <c r="C548" s="93">
        <v>46023</v>
      </c>
      <c r="D548" s="94" t="s">
        <v>67</v>
      </c>
      <c r="E548" s="95">
        <v>32906.54</v>
      </c>
    </row>
    <row r="549" spans="1:5" ht="15" customHeight="1">
      <c r="A549" s="91" t="s">
        <v>51</v>
      </c>
      <c r="B549" s="92">
        <v>2026</v>
      </c>
      <c r="C549" s="93">
        <v>46023</v>
      </c>
      <c r="D549" s="94" t="s">
        <v>68</v>
      </c>
      <c r="E549" s="95">
        <v>5757.88</v>
      </c>
    </row>
    <row r="550" spans="1:5" ht="15" customHeight="1">
      <c r="A550" s="91" t="s">
        <v>51</v>
      </c>
      <c r="B550" s="92">
        <v>2026</v>
      </c>
      <c r="C550" s="93">
        <v>46023</v>
      </c>
      <c r="D550" s="94" t="s">
        <v>69</v>
      </c>
      <c r="E550" s="95">
        <v>1664.75</v>
      </c>
    </row>
    <row r="551" spans="1:5" ht="15" customHeight="1">
      <c r="A551" s="91" t="s">
        <v>51</v>
      </c>
      <c r="B551" s="92">
        <v>2026</v>
      </c>
      <c r="C551" s="93">
        <v>46023</v>
      </c>
      <c r="D551" s="94" t="s">
        <v>180</v>
      </c>
      <c r="E551" s="95">
        <v>2223.46</v>
      </c>
    </row>
    <row r="552" spans="1:5" ht="15" customHeight="1">
      <c r="A552" s="91" t="s">
        <v>51</v>
      </c>
      <c r="B552" s="92">
        <v>2026</v>
      </c>
      <c r="C552" s="93">
        <v>46023</v>
      </c>
      <c r="D552" s="94" t="s">
        <v>71</v>
      </c>
      <c r="E552" s="95">
        <v>14314</v>
      </c>
    </row>
    <row r="553" spans="1:5" ht="15" customHeight="1">
      <c r="A553" s="91" t="s">
        <v>51</v>
      </c>
      <c r="B553" s="92">
        <v>2026</v>
      </c>
      <c r="C553" s="93">
        <v>46023</v>
      </c>
      <c r="D553" s="94" t="s">
        <v>73</v>
      </c>
      <c r="E553" s="95">
        <v>633.01</v>
      </c>
    </row>
    <row r="554" spans="1:5" ht="15" customHeight="1">
      <c r="A554" s="91" t="s">
        <v>51</v>
      </c>
      <c r="B554" s="92">
        <v>2026</v>
      </c>
      <c r="C554" s="93">
        <v>46023</v>
      </c>
      <c r="D554" s="94" t="s">
        <v>74</v>
      </c>
      <c r="E554" s="95">
        <v>283.8</v>
      </c>
    </row>
    <row r="555" spans="1:5" ht="15" customHeight="1">
      <c r="A555" s="91" t="s">
        <v>51</v>
      </c>
      <c r="B555" s="92">
        <v>2026</v>
      </c>
      <c r="C555" s="93">
        <v>46054</v>
      </c>
      <c r="D555" s="94" t="s">
        <v>76</v>
      </c>
      <c r="E555" s="95">
        <v>65</v>
      </c>
    </row>
    <row r="556" spans="1:5" ht="15" customHeight="1">
      <c r="A556" s="91" t="s">
        <v>51</v>
      </c>
      <c r="B556" s="92">
        <v>2026</v>
      </c>
      <c r="C556" s="93">
        <v>46054</v>
      </c>
      <c r="D556" s="94" t="s">
        <v>60</v>
      </c>
      <c r="E556" s="95">
        <v>104.6</v>
      </c>
    </row>
    <row r="557" spans="1:5" ht="15" customHeight="1">
      <c r="A557" s="91" t="s">
        <v>51</v>
      </c>
      <c r="B557" s="92">
        <v>2026</v>
      </c>
      <c r="C557" s="93">
        <v>46054</v>
      </c>
      <c r="D557" s="94" t="s">
        <v>61</v>
      </c>
      <c r="E557" s="95">
        <v>1621</v>
      </c>
    </row>
    <row r="558" spans="1:5" ht="15" customHeight="1">
      <c r="A558" s="91" t="s">
        <v>51</v>
      </c>
      <c r="B558" s="92">
        <v>2026</v>
      </c>
      <c r="C558" s="93">
        <v>46054</v>
      </c>
      <c r="D558" s="94" t="s">
        <v>62</v>
      </c>
      <c r="E558" s="95">
        <v>480</v>
      </c>
    </row>
    <row r="559" spans="1:5" ht="15" customHeight="1">
      <c r="A559" s="91" t="s">
        <v>51</v>
      </c>
      <c r="B559" s="92">
        <v>2026</v>
      </c>
      <c r="C559" s="93">
        <v>46054</v>
      </c>
      <c r="D559" s="94" t="s">
        <v>63</v>
      </c>
      <c r="E559" s="95">
        <v>321</v>
      </c>
    </row>
    <row r="560" spans="1:5" ht="15" customHeight="1">
      <c r="A560" s="91" t="s">
        <v>51</v>
      </c>
      <c r="B560" s="92">
        <v>2026</v>
      </c>
      <c r="C560" s="93">
        <v>46054</v>
      </c>
      <c r="D560" s="94" t="s">
        <v>64</v>
      </c>
      <c r="E560" s="95">
        <v>806</v>
      </c>
    </row>
    <row r="561" spans="1:5" ht="15" customHeight="1">
      <c r="A561" s="91" t="s">
        <v>51</v>
      </c>
      <c r="B561" s="92">
        <v>2026</v>
      </c>
      <c r="C561" s="93">
        <v>46054</v>
      </c>
      <c r="D561" s="94" t="s">
        <v>65</v>
      </c>
      <c r="E561" s="95">
        <v>179.9</v>
      </c>
    </row>
    <row r="562" spans="1:5" ht="15" customHeight="1">
      <c r="A562" s="91" t="s">
        <v>51</v>
      </c>
      <c r="B562" s="92">
        <v>2026</v>
      </c>
      <c r="C562" s="93">
        <v>46054</v>
      </c>
      <c r="D562" s="94" t="s">
        <v>66</v>
      </c>
      <c r="E562" s="95">
        <v>52.44</v>
      </c>
    </row>
    <row r="563" spans="1:5" ht="15" customHeight="1">
      <c r="A563" s="91" t="s">
        <v>51</v>
      </c>
      <c r="B563" s="92">
        <v>2026</v>
      </c>
      <c r="C563" s="93">
        <v>46054</v>
      </c>
      <c r="D563" s="94" t="s">
        <v>67</v>
      </c>
      <c r="E563" s="95">
        <v>399.11</v>
      </c>
    </row>
    <row r="564" spans="1:5" ht="15" customHeight="1">
      <c r="A564" s="91" t="s">
        <v>51</v>
      </c>
      <c r="B564" s="92">
        <v>2026</v>
      </c>
      <c r="C564" s="93">
        <v>46054</v>
      </c>
      <c r="D564" s="94" t="s">
        <v>69</v>
      </c>
      <c r="E564" s="95">
        <v>936.05</v>
      </c>
    </row>
    <row r="565" spans="1:5" ht="15" customHeight="1">
      <c r="A565" s="91" t="s">
        <v>51</v>
      </c>
      <c r="B565" s="92">
        <v>2026</v>
      </c>
      <c r="C565" s="93">
        <v>46054</v>
      </c>
      <c r="D565" s="94" t="s">
        <v>70</v>
      </c>
      <c r="E565" s="95">
        <v>199.66</v>
      </c>
    </row>
    <row r="566" spans="1:5" ht="15" customHeight="1">
      <c r="A566" s="91" t="s">
        <v>51</v>
      </c>
      <c r="B566" s="92">
        <v>2026</v>
      </c>
      <c r="C566" s="93">
        <v>46054</v>
      </c>
      <c r="D566" s="94" t="s">
        <v>71</v>
      </c>
      <c r="E566" s="95">
        <v>15314</v>
      </c>
    </row>
    <row r="567" spans="1:5" ht="15" customHeight="1">
      <c r="A567" s="91" t="s">
        <v>51</v>
      </c>
      <c r="B567" s="92">
        <v>2026</v>
      </c>
      <c r="C567" s="93">
        <v>46054</v>
      </c>
      <c r="D567" s="94" t="s">
        <v>73</v>
      </c>
      <c r="E567" s="95">
        <v>675.96</v>
      </c>
    </row>
    <row r="568" spans="1:5" ht="15" customHeight="1">
      <c r="A568" s="91" t="s">
        <v>51</v>
      </c>
      <c r="B568" s="92">
        <v>2026</v>
      </c>
      <c r="C568" s="93">
        <v>46054</v>
      </c>
      <c r="D568" s="94" t="s">
        <v>74</v>
      </c>
      <c r="E568" s="95">
        <v>283.8</v>
      </c>
    </row>
    <row r="569" spans="1:5" ht="15" customHeight="1">
      <c r="A569" s="91" t="s">
        <v>216</v>
      </c>
      <c r="B569" s="92">
        <v>2026</v>
      </c>
      <c r="C569" s="93">
        <v>46054</v>
      </c>
      <c r="D569" s="94" t="s">
        <v>217</v>
      </c>
      <c r="E569" s="95">
        <v>314.7</v>
      </c>
    </row>
    <row r="570" spans="1:5" ht="15" customHeight="1">
      <c r="A570" s="91" t="s">
        <v>216</v>
      </c>
      <c r="B570" s="92">
        <v>2026</v>
      </c>
      <c r="C570" s="93">
        <v>46054</v>
      </c>
      <c r="D570" s="94" t="s">
        <v>302</v>
      </c>
      <c r="E570" s="95">
        <v>2500</v>
      </c>
    </row>
    <row r="571" spans="1:5" ht="15" customHeight="1">
      <c r="A571" s="91" t="s">
        <v>216</v>
      </c>
      <c r="B571" s="92">
        <v>2026</v>
      </c>
      <c r="C571" s="93">
        <v>46054</v>
      </c>
      <c r="D571" s="94" t="s">
        <v>191</v>
      </c>
      <c r="E571" s="95">
        <v>547.98</v>
      </c>
    </row>
    <row r="572" spans="1:5" ht="15" customHeight="1">
      <c r="A572" s="91" t="s">
        <v>216</v>
      </c>
      <c r="B572" s="92">
        <v>2026</v>
      </c>
      <c r="C572" s="93">
        <v>46054</v>
      </c>
      <c r="D572" s="94" t="s">
        <v>233</v>
      </c>
      <c r="E572" s="95">
        <v>1419.44</v>
      </c>
    </row>
    <row r="573" spans="1:5" ht="15" customHeight="1">
      <c r="A573" s="91" t="s">
        <v>216</v>
      </c>
      <c r="B573" s="92">
        <v>2026</v>
      </c>
      <c r="C573" s="93">
        <v>46054</v>
      </c>
      <c r="D573" s="94" t="s">
        <v>75</v>
      </c>
      <c r="E573" s="95">
        <v>190</v>
      </c>
    </row>
    <row r="574" spans="1:5" ht="15" customHeight="1">
      <c r="A574" s="91" t="s">
        <v>216</v>
      </c>
      <c r="B574" s="92">
        <v>2026</v>
      </c>
      <c r="C574" s="93">
        <v>46054</v>
      </c>
      <c r="D574" s="94" t="s">
        <v>192</v>
      </c>
      <c r="E574" s="95">
        <v>19571.97</v>
      </c>
    </row>
    <row r="575" spans="1:5" ht="15" customHeight="1">
      <c r="A575" s="91" t="s">
        <v>216</v>
      </c>
      <c r="B575" s="92">
        <v>2026</v>
      </c>
      <c r="C575" s="93">
        <v>46054</v>
      </c>
      <c r="D575" s="94" t="s">
        <v>430</v>
      </c>
      <c r="E575" s="95">
        <v>1000</v>
      </c>
    </row>
    <row r="576" spans="1:5" ht="15" customHeight="1">
      <c r="A576" s="91" t="s">
        <v>216</v>
      </c>
      <c r="B576" s="92">
        <v>2026</v>
      </c>
      <c r="C576" s="93">
        <v>46054</v>
      </c>
      <c r="D576" s="94" t="s">
        <v>58</v>
      </c>
      <c r="E576" s="95">
        <v>810.76</v>
      </c>
    </row>
    <row r="577" spans="1:5" ht="15" customHeight="1">
      <c r="A577" s="91" t="s">
        <v>216</v>
      </c>
      <c r="B577" s="92">
        <v>2026</v>
      </c>
      <c r="C577" s="93">
        <v>46054</v>
      </c>
      <c r="D577" s="94" t="s">
        <v>198</v>
      </c>
      <c r="E577" s="95">
        <v>1810.45</v>
      </c>
    </row>
    <row r="578" spans="1:5" ht="15" customHeight="1">
      <c r="A578" s="91" t="s">
        <v>216</v>
      </c>
      <c r="B578" s="92">
        <v>2026</v>
      </c>
      <c r="C578" s="93">
        <v>46054</v>
      </c>
      <c r="D578" s="94" t="s">
        <v>76</v>
      </c>
      <c r="E578" s="95">
        <v>200</v>
      </c>
    </row>
    <row r="579" spans="1:5" ht="15" customHeight="1">
      <c r="A579" s="91" t="s">
        <v>216</v>
      </c>
      <c r="B579" s="92">
        <v>2026</v>
      </c>
      <c r="C579" s="93">
        <v>46054</v>
      </c>
      <c r="D579" s="94" t="s">
        <v>60</v>
      </c>
      <c r="E579" s="95">
        <v>186.64</v>
      </c>
    </row>
    <row r="580" spans="1:5" ht="15" customHeight="1">
      <c r="A580" s="91" t="s">
        <v>216</v>
      </c>
      <c r="B580" s="92">
        <v>2026</v>
      </c>
      <c r="C580" s="93">
        <v>46054</v>
      </c>
      <c r="D580" s="94" t="s">
        <v>61</v>
      </c>
      <c r="E580" s="95">
        <v>1621</v>
      </c>
    </row>
    <row r="581" spans="1:5" ht="15" customHeight="1">
      <c r="A581" s="91" t="s">
        <v>216</v>
      </c>
      <c r="B581" s="92">
        <v>2026</v>
      </c>
      <c r="C581" s="93">
        <v>46054</v>
      </c>
      <c r="D581" s="94" t="s">
        <v>219</v>
      </c>
      <c r="E581" s="95">
        <v>4372.5200000000004</v>
      </c>
    </row>
    <row r="582" spans="1:5" ht="15" customHeight="1">
      <c r="A582" s="91" t="s">
        <v>216</v>
      </c>
      <c r="B582" s="92">
        <v>2026</v>
      </c>
      <c r="C582" s="93">
        <v>46054</v>
      </c>
      <c r="D582" s="94" t="s">
        <v>62</v>
      </c>
      <c r="E582" s="95">
        <v>680</v>
      </c>
    </row>
    <row r="583" spans="1:5" ht="15" customHeight="1">
      <c r="A583" s="91" t="s">
        <v>216</v>
      </c>
      <c r="B583" s="92">
        <v>2026</v>
      </c>
      <c r="C583" s="93">
        <v>46054</v>
      </c>
      <c r="D583" s="94" t="s">
        <v>259</v>
      </c>
      <c r="E583" s="95">
        <v>2771.92</v>
      </c>
    </row>
    <row r="584" spans="1:5" ht="15" customHeight="1">
      <c r="A584" s="91" t="s">
        <v>216</v>
      </c>
      <c r="B584" s="92">
        <v>2026</v>
      </c>
      <c r="C584" s="93">
        <v>46054</v>
      </c>
      <c r="D584" s="94" t="s">
        <v>63</v>
      </c>
      <c r="E584" s="95">
        <v>896.95</v>
      </c>
    </row>
    <row r="585" spans="1:5" ht="15" customHeight="1">
      <c r="A585" s="91" t="s">
        <v>216</v>
      </c>
      <c r="B585" s="92">
        <v>2026</v>
      </c>
      <c r="C585" s="93">
        <v>46054</v>
      </c>
      <c r="D585" s="94" t="s">
        <v>64</v>
      </c>
      <c r="E585" s="95">
        <v>1096.4000000000001</v>
      </c>
    </row>
    <row r="586" spans="1:5" ht="15" customHeight="1">
      <c r="A586" s="91" t="s">
        <v>216</v>
      </c>
      <c r="B586" s="92">
        <v>2026</v>
      </c>
      <c r="C586" s="93">
        <v>46054</v>
      </c>
      <c r="D586" s="94" t="s">
        <v>285</v>
      </c>
      <c r="E586" s="95">
        <v>1530</v>
      </c>
    </row>
    <row r="587" spans="1:5" ht="15" customHeight="1">
      <c r="A587" s="91" t="s">
        <v>216</v>
      </c>
      <c r="B587" s="92">
        <v>2026</v>
      </c>
      <c r="C587" s="93">
        <v>46054</v>
      </c>
      <c r="D587" s="94" t="s">
        <v>65</v>
      </c>
      <c r="E587" s="95">
        <v>183</v>
      </c>
    </row>
    <row r="588" spans="1:5" ht="15" customHeight="1">
      <c r="A588" s="91" t="s">
        <v>216</v>
      </c>
      <c r="B588" s="92">
        <v>2026</v>
      </c>
      <c r="C588" s="93">
        <v>46054</v>
      </c>
      <c r="D588" s="94" t="s">
        <v>66</v>
      </c>
      <c r="E588" s="95">
        <v>273.73</v>
      </c>
    </row>
    <row r="589" spans="1:5" ht="15" customHeight="1">
      <c r="A589" s="91" t="s">
        <v>216</v>
      </c>
      <c r="B589" s="92">
        <v>2026</v>
      </c>
      <c r="C589" s="93">
        <v>46054</v>
      </c>
      <c r="D589" s="94" t="s">
        <v>67</v>
      </c>
      <c r="E589" s="95">
        <v>1166.46</v>
      </c>
    </row>
    <row r="590" spans="1:5" ht="15" customHeight="1">
      <c r="A590" s="91" t="s">
        <v>216</v>
      </c>
      <c r="B590" s="92">
        <v>2026</v>
      </c>
      <c r="C590" s="93">
        <v>46054</v>
      </c>
      <c r="D590" s="94" t="s">
        <v>68</v>
      </c>
      <c r="E590" s="95">
        <v>10167.120000000001</v>
      </c>
    </row>
    <row r="591" spans="1:5" ht="15" customHeight="1">
      <c r="A591" s="91" t="s">
        <v>216</v>
      </c>
      <c r="B591" s="92">
        <v>2026</v>
      </c>
      <c r="C591" s="93">
        <v>46054</v>
      </c>
      <c r="D591" s="94" t="s">
        <v>69</v>
      </c>
      <c r="E591" s="95">
        <v>52942.19</v>
      </c>
    </row>
    <row r="592" spans="1:5" ht="15" customHeight="1">
      <c r="A592" s="91" t="s">
        <v>216</v>
      </c>
      <c r="B592" s="92">
        <v>2026</v>
      </c>
      <c r="C592" s="93">
        <v>46054</v>
      </c>
      <c r="D592" s="94" t="s">
        <v>232</v>
      </c>
      <c r="E592" s="95">
        <v>1711.04</v>
      </c>
    </row>
    <row r="593" spans="1:5" ht="15" customHeight="1">
      <c r="A593" s="91" t="s">
        <v>216</v>
      </c>
      <c r="B593" s="92">
        <v>2026</v>
      </c>
      <c r="C593" s="93">
        <v>46054</v>
      </c>
      <c r="D593" s="94" t="s">
        <v>70</v>
      </c>
      <c r="E593" s="95">
        <v>2007.12</v>
      </c>
    </row>
    <row r="594" spans="1:5" ht="15" customHeight="1">
      <c r="A594" s="91" t="s">
        <v>216</v>
      </c>
      <c r="B594" s="92">
        <v>2026</v>
      </c>
      <c r="C594" s="93">
        <v>46054</v>
      </c>
      <c r="D594" s="94" t="s">
        <v>220</v>
      </c>
      <c r="E594" s="95">
        <v>3098.19</v>
      </c>
    </row>
    <row r="595" spans="1:5" ht="15" customHeight="1">
      <c r="A595" s="91" t="s">
        <v>216</v>
      </c>
      <c r="B595" s="92">
        <v>2026</v>
      </c>
      <c r="C595" s="93">
        <v>46054</v>
      </c>
      <c r="D595" s="94" t="s">
        <v>71</v>
      </c>
      <c r="E595" s="95">
        <v>29314</v>
      </c>
    </row>
    <row r="596" spans="1:5" ht="15" customHeight="1">
      <c r="A596" s="91" t="s">
        <v>216</v>
      </c>
      <c r="B596" s="92">
        <v>2026</v>
      </c>
      <c r="C596" s="93">
        <v>46054</v>
      </c>
      <c r="D596" s="94" t="s">
        <v>72</v>
      </c>
      <c r="E596" s="95">
        <v>151.97999999999999</v>
      </c>
    </row>
    <row r="597" spans="1:5" ht="15" customHeight="1">
      <c r="A597" s="91" t="s">
        <v>216</v>
      </c>
      <c r="B597" s="92">
        <v>2026</v>
      </c>
      <c r="C597" s="93">
        <v>46054</v>
      </c>
      <c r="D597" s="94" t="s">
        <v>431</v>
      </c>
      <c r="E597" s="95">
        <v>2584.3200000000002</v>
      </c>
    </row>
    <row r="598" spans="1:5" ht="15" customHeight="1">
      <c r="A598" s="91" t="s">
        <v>216</v>
      </c>
      <c r="B598" s="92">
        <v>2026</v>
      </c>
      <c r="C598" s="93">
        <v>46054</v>
      </c>
      <c r="D598" s="94" t="s">
        <v>223</v>
      </c>
      <c r="E598" s="95">
        <v>797.6</v>
      </c>
    </row>
    <row r="599" spans="1:5" ht="15" customHeight="1">
      <c r="A599" s="91" t="s">
        <v>216</v>
      </c>
      <c r="B599" s="92">
        <v>2026</v>
      </c>
      <c r="C599" s="93">
        <v>46054</v>
      </c>
      <c r="D599" s="94" t="s">
        <v>334</v>
      </c>
      <c r="E599" s="95">
        <v>2547.5700000000002</v>
      </c>
    </row>
    <row r="600" spans="1:5" ht="15" customHeight="1">
      <c r="A600" s="91" t="s">
        <v>216</v>
      </c>
      <c r="B600" s="92">
        <v>2026</v>
      </c>
      <c r="C600" s="93">
        <v>46054</v>
      </c>
      <c r="D600" s="94" t="s">
        <v>73</v>
      </c>
      <c r="E600" s="95">
        <v>675.96</v>
      </c>
    </row>
    <row r="601" spans="1:5" ht="15" customHeight="1">
      <c r="A601" s="91" t="s">
        <v>216</v>
      </c>
      <c r="B601" s="92">
        <v>2026</v>
      </c>
      <c r="C601" s="93">
        <v>46054</v>
      </c>
      <c r="D601" s="94" t="s">
        <v>74</v>
      </c>
      <c r="E601" s="95">
        <v>565.38</v>
      </c>
    </row>
    <row r="602" spans="1:5" ht="15" customHeight="1">
      <c r="A602" s="91" t="s">
        <v>216</v>
      </c>
      <c r="B602" s="92">
        <v>2026</v>
      </c>
      <c r="C602" s="93">
        <v>46054</v>
      </c>
      <c r="D602" s="94" t="s">
        <v>224</v>
      </c>
      <c r="E602" s="95">
        <v>1994.03</v>
      </c>
    </row>
    <row r="603" spans="1:5" ht="15" customHeight="1">
      <c r="A603" s="91" t="s">
        <v>216</v>
      </c>
      <c r="B603" s="92">
        <v>2026</v>
      </c>
      <c r="C603" s="93">
        <v>46054</v>
      </c>
      <c r="D603" s="94" t="s">
        <v>226</v>
      </c>
      <c r="E603" s="95">
        <v>137.47999999999999</v>
      </c>
    </row>
    <row r="604" spans="1:5" ht="15" customHeight="1">
      <c r="A604" s="91" t="s">
        <v>355</v>
      </c>
      <c r="B604" s="92">
        <v>2026</v>
      </c>
      <c r="C604" s="93">
        <v>46054</v>
      </c>
      <c r="D604" s="94" t="s">
        <v>436</v>
      </c>
      <c r="E604" s="95">
        <v>6200</v>
      </c>
    </row>
    <row r="605" spans="1:5" ht="15" customHeight="1">
      <c r="A605" s="91" t="s">
        <v>355</v>
      </c>
      <c r="B605" s="92">
        <v>2026</v>
      </c>
      <c r="C605" s="93">
        <v>46054</v>
      </c>
      <c r="D605" s="94" t="s">
        <v>219</v>
      </c>
      <c r="E605" s="95">
        <v>9165.06</v>
      </c>
    </row>
    <row r="606" spans="1:5" ht="15" customHeight="1">
      <c r="A606" s="91" t="s">
        <v>355</v>
      </c>
      <c r="B606" s="92">
        <v>2026</v>
      </c>
      <c r="C606" s="93">
        <v>46054</v>
      </c>
      <c r="D606" s="94" t="s">
        <v>285</v>
      </c>
      <c r="E606" s="95">
        <v>2000</v>
      </c>
    </row>
    <row r="607" spans="1:5" ht="15" customHeight="1">
      <c r="A607" s="91" t="s">
        <v>355</v>
      </c>
      <c r="B607" s="92">
        <v>2026</v>
      </c>
      <c r="C607" s="93">
        <v>46054</v>
      </c>
      <c r="D607" s="94" t="s">
        <v>437</v>
      </c>
      <c r="E607" s="95">
        <v>129</v>
      </c>
    </row>
    <row r="608" spans="1:5" ht="15" customHeight="1">
      <c r="A608" s="91" t="s">
        <v>51</v>
      </c>
      <c r="B608" s="92">
        <v>2026</v>
      </c>
      <c r="C608" s="93">
        <v>46082</v>
      </c>
      <c r="D608" s="94" t="s">
        <v>75</v>
      </c>
      <c r="E608" s="95">
        <v>285</v>
      </c>
    </row>
    <row r="609" spans="1:5" ht="15" customHeight="1">
      <c r="A609" s="91" t="s">
        <v>51</v>
      </c>
      <c r="B609" s="92">
        <v>2026</v>
      </c>
      <c r="C609" s="93">
        <v>46082</v>
      </c>
      <c r="D609" s="94" t="s">
        <v>58</v>
      </c>
      <c r="E609" s="95">
        <v>4693.6099999999997</v>
      </c>
    </row>
    <row r="610" spans="1:5" ht="15" customHeight="1">
      <c r="A610" s="91" t="s">
        <v>51</v>
      </c>
      <c r="B610" s="92">
        <v>2026</v>
      </c>
      <c r="C610" s="93">
        <v>46082</v>
      </c>
      <c r="D610" s="94" t="s">
        <v>198</v>
      </c>
      <c r="E610" s="95">
        <v>47.1</v>
      </c>
    </row>
    <row r="611" spans="1:5" ht="15" customHeight="1">
      <c r="A611" s="91" t="s">
        <v>51</v>
      </c>
      <c r="B611" s="92">
        <v>2026</v>
      </c>
      <c r="C611" s="93">
        <v>46082</v>
      </c>
      <c r="D611" s="94" t="s">
        <v>76</v>
      </c>
      <c r="E611" s="95">
        <v>450.67</v>
      </c>
    </row>
    <row r="612" spans="1:5" ht="15" customHeight="1">
      <c r="A612" s="91" t="s">
        <v>51</v>
      </c>
      <c r="B612" s="92">
        <v>2026</v>
      </c>
      <c r="C612" s="93">
        <v>46082</v>
      </c>
      <c r="D612" s="94" t="s">
        <v>436</v>
      </c>
      <c r="E612" s="95">
        <v>18720</v>
      </c>
    </row>
    <row r="613" spans="1:5" ht="15" customHeight="1">
      <c r="A613" s="91" t="s">
        <v>51</v>
      </c>
      <c r="B613" s="92">
        <v>2026</v>
      </c>
      <c r="C613" s="93">
        <v>46082</v>
      </c>
      <c r="D613" s="94" t="s">
        <v>60</v>
      </c>
      <c r="E613" s="95">
        <v>77.59</v>
      </c>
    </row>
    <row r="614" spans="1:5" ht="15" customHeight="1">
      <c r="A614" s="91" t="s">
        <v>51</v>
      </c>
      <c r="B614" s="92">
        <v>2026</v>
      </c>
      <c r="C614" s="93">
        <v>46082</v>
      </c>
      <c r="D614" s="94" t="s">
        <v>61</v>
      </c>
      <c r="E614" s="95">
        <v>1621</v>
      </c>
    </row>
    <row r="615" spans="1:5" ht="15" customHeight="1">
      <c r="A615" s="91" t="s">
        <v>51</v>
      </c>
      <c r="B615" s="92">
        <v>2026</v>
      </c>
      <c r="C615" s="93">
        <v>46082</v>
      </c>
      <c r="D615" s="94" t="s">
        <v>62</v>
      </c>
      <c r="E615" s="95">
        <v>1374.57</v>
      </c>
    </row>
    <row r="616" spans="1:5" ht="15" customHeight="1">
      <c r="A616" s="91" t="s">
        <v>51</v>
      </c>
      <c r="B616" s="92">
        <v>2026</v>
      </c>
      <c r="C616" s="93">
        <v>46082</v>
      </c>
      <c r="D616" s="94" t="s">
        <v>63</v>
      </c>
      <c r="E616" s="95">
        <v>223</v>
      </c>
    </row>
    <row r="617" spans="1:5" ht="15" customHeight="1">
      <c r="A617" s="91" t="s">
        <v>51</v>
      </c>
      <c r="B617" s="92">
        <v>2026</v>
      </c>
      <c r="C617" s="93">
        <v>46082</v>
      </c>
      <c r="D617" s="94" t="s">
        <v>64</v>
      </c>
      <c r="E617" s="95">
        <v>806</v>
      </c>
    </row>
    <row r="618" spans="1:5" ht="15" customHeight="1">
      <c r="A618" s="91" t="s">
        <v>51</v>
      </c>
      <c r="B618" s="92">
        <v>2026</v>
      </c>
      <c r="C618" s="93">
        <v>46082</v>
      </c>
      <c r="D618" s="94" t="s">
        <v>65</v>
      </c>
      <c r="E618" s="95">
        <v>179.9</v>
      </c>
    </row>
    <row r="619" spans="1:5" ht="15" customHeight="1">
      <c r="A619" s="91" t="s">
        <v>51</v>
      </c>
      <c r="B619" s="92">
        <v>2026</v>
      </c>
      <c r="C619" s="93">
        <v>46082</v>
      </c>
      <c r="D619" s="94" t="s">
        <v>66</v>
      </c>
      <c r="E619" s="95">
        <v>185.54</v>
      </c>
    </row>
    <row r="620" spans="1:5" ht="15" customHeight="1">
      <c r="A620" s="91" t="s">
        <v>51</v>
      </c>
      <c r="B620" s="92">
        <v>2026</v>
      </c>
      <c r="C620" s="93">
        <v>46082</v>
      </c>
      <c r="D620" s="94" t="s">
        <v>67</v>
      </c>
      <c r="E620" s="95">
        <v>390.81</v>
      </c>
    </row>
    <row r="621" spans="1:5" ht="15" customHeight="1">
      <c r="A621" s="91" t="s">
        <v>51</v>
      </c>
      <c r="B621" s="92">
        <v>2026</v>
      </c>
      <c r="C621" s="93">
        <v>46082</v>
      </c>
      <c r="D621" s="94" t="s">
        <v>68</v>
      </c>
      <c r="E621" s="95">
        <v>341.05</v>
      </c>
    </row>
    <row r="622" spans="1:5" ht="15" customHeight="1">
      <c r="A622" s="91" t="s">
        <v>51</v>
      </c>
      <c r="B622" s="92">
        <v>2026</v>
      </c>
      <c r="C622" s="93">
        <v>46082</v>
      </c>
      <c r="D622" s="94" t="s">
        <v>69</v>
      </c>
      <c r="E622" s="95">
        <v>168.46</v>
      </c>
    </row>
    <row r="623" spans="1:5" ht="15" customHeight="1">
      <c r="A623" s="91" t="s">
        <v>51</v>
      </c>
      <c r="B623" s="92">
        <v>2026</v>
      </c>
      <c r="C623" s="93">
        <v>46082</v>
      </c>
      <c r="D623" s="94" t="s">
        <v>180</v>
      </c>
      <c r="E623" s="95">
        <v>4429.24</v>
      </c>
    </row>
    <row r="624" spans="1:5" ht="15" customHeight="1">
      <c r="A624" s="91" t="s">
        <v>51</v>
      </c>
      <c r="B624" s="92">
        <v>2026</v>
      </c>
      <c r="C624" s="93">
        <v>46082</v>
      </c>
      <c r="D624" s="94" t="s">
        <v>194</v>
      </c>
      <c r="E624" s="95">
        <v>111.87</v>
      </c>
    </row>
    <row r="625" spans="1:5" ht="15" customHeight="1">
      <c r="A625" s="91" t="s">
        <v>51</v>
      </c>
      <c r="B625" s="92">
        <v>2026</v>
      </c>
      <c r="C625" s="93">
        <v>46082</v>
      </c>
      <c r="D625" s="94" t="s">
        <v>70</v>
      </c>
      <c r="E625" s="95">
        <v>2045.6</v>
      </c>
    </row>
    <row r="626" spans="1:5" ht="15" customHeight="1">
      <c r="A626" s="91" t="s">
        <v>51</v>
      </c>
      <c r="B626" s="92">
        <v>2026</v>
      </c>
      <c r="C626" s="93">
        <v>46082</v>
      </c>
      <c r="D626" s="94" t="s">
        <v>71</v>
      </c>
      <c r="E626" s="95">
        <v>47814</v>
      </c>
    </row>
    <row r="627" spans="1:5" ht="15" customHeight="1">
      <c r="A627" s="91" t="s">
        <v>51</v>
      </c>
      <c r="B627" s="92">
        <v>2026</v>
      </c>
      <c r="C627" s="93">
        <v>46082</v>
      </c>
      <c r="D627" s="94" t="s">
        <v>72</v>
      </c>
      <c r="E627" s="95">
        <v>765.67</v>
      </c>
    </row>
    <row r="628" spans="1:5" ht="15" customHeight="1">
      <c r="A628" s="91" t="s">
        <v>51</v>
      </c>
      <c r="B628" s="92">
        <v>2026</v>
      </c>
      <c r="C628" s="93">
        <v>46082</v>
      </c>
      <c r="D628" s="94" t="s">
        <v>73</v>
      </c>
      <c r="E628" s="95">
        <v>675.96</v>
      </c>
    </row>
    <row r="629" spans="1:5" ht="15" customHeight="1">
      <c r="A629" s="91" t="s">
        <v>51</v>
      </c>
      <c r="B629" s="92">
        <v>2026</v>
      </c>
      <c r="C629" s="93">
        <v>46082</v>
      </c>
      <c r="D629" s="94" t="s">
        <v>74</v>
      </c>
      <c r="E629" s="95">
        <v>283.8</v>
      </c>
    </row>
    <row r="630" spans="1:5" ht="15" customHeight="1">
      <c r="A630" s="91" t="s">
        <v>216</v>
      </c>
      <c r="B630" s="92">
        <v>2026</v>
      </c>
      <c r="C630" s="93">
        <v>46082</v>
      </c>
      <c r="D630" s="94" t="s">
        <v>217</v>
      </c>
      <c r="E630" s="95">
        <v>314.7</v>
      </c>
    </row>
    <row r="631" spans="1:5" ht="15" customHeight="1">
      <c r="A631" s="91" t="s">
        <v>216</v>
      </c>
      <c r="B631" s="92">
        <v>2026</v>
      </c>
      <c r="C631" s="93">
        <v>46082</v>
      </c>
      <c r="D631" s="94" t="s">
        <v>302</v>
      </c>
      <c r="E631" s="95">
        <v>2500</v>
      </c>
    </row>
    <row r="632" spans="1:5" ht="15" customHeight="1">
      <c r="A632" s="91" t="s">
        <v>216</v>
      </c>
      <c r="B632" s="92">
        <v>2026</v>
      </c>
      <c r="C632" s="93">
        <v>46082</v>
      </c>
      <c r="D632" s="94" t="s">
        <v>192</v>
      </c>
      <c r="E632" s="95">
        <v>3224.79</v>
      </c>
    </row>
    <row r="633" spans="1:5" ht="15" customHeight="1">
      <c r="A633" s="91" t="s">
        <v>216</v>
      </c>
      <c r="B633" s="92">
        <v>2026</v>
      </c>
      <c r="C633" s="93">
        <v>46082</v>
      </c>
      <c r="D633" s="94" t="s">
        <v>76</v>
      </c>
      <c r="E633" s="95">
        <v>10565.59</v>
      </c>
    </row>
    <row r="634" spans="1:5" ht="15" customHeight="1">
      <c r="A634" s="91" t="s">
        <v>216</v>
      </c>
      <c r="B634" s="92">
        <v>2026</v>
      </c>
      <c r="C634" s="93">
        <v>46082</v>
      </c>
      <c r="D634" s="94" t="s">
        <v>60</v>
      </c>
      <c r="E634" s="95">
        <v>1067.31</v>
      </c>
    </row>
    <row r="635" spans="1:5" ht="15" customHeight="1">
      <c r="A635" s="91" t="s">
        <v>216</v>
      </c>
      <c r="B635" s="92">
        <v>2026</v>
      </c>
      <c r="C635" s="93">
        <v>46082</v>
      </c>
      <c r="D635" s="94" t="s">
        <v>463</v>
      </c>
      <c r="E635" s="95">
        <v>265.42</v>
      </c>
    </row>
    <row r="636" spans="1:5" ht="15" customHeight="1">
      <c r="A636" s="91" t="s">
        <v>216</v>
      </c>
      <c r="B636" s="92">
        <v>2026</v>
      </c>
      <c r="C636" s="93">
        <v>46082</v>
      </c>
      <c r="D636" s="94" t="s">
        <v>379</v>
      </c>
      <c r="E636" s="95">
        <v>7240.81</v>
      </c>
    </row>
    <row r="637" spans="1:5" ht="15" customHeight="1">
      <c r="A637" s="91" t="s">
        <v>216</v>
      </c>
      <c r="B637" s="92">
        <v>2026</v>
      </c>
      <c r="C637" s="93">
        <v>46082</v>
      </c>
      <c r="D637" s="94" t="s">
        <v>61</v>
      </c>
      <c r="E637" s="95">
        <v>1621</v>
      </c>
    </row>
    <row r="638" spans="1:5" ht="15" customHeight="1">
      <c r="A638" s="91" t="s">
        <v>216</v>
      </c>
      <c r="B638" s="92">
        <v>2026</v>
      </c>
      <c r="C638" s="93">
        <v>46082</v>
      </c>
      <c r="D638" s="94" t="s">
        <v>219</v>
      </c>
      <c r="E638" s="95">
        <v>3831.26</v>
      </c>
    </row>
    <row r="639" spans="1:5" ht="15" customHeight="1">
      <c r="A639" s="91" t="s">
        <v>216</v>
      </c>
      <c r="B639" s="92">
        <v>2026</v>
      </c>
      <c r="C639" s="93">
        <v>46082</v>
      </c>
      <c r="D639" s="94" t="s">
        <v>259</v>
      </c>
      <c r="E639" s="95">
        <v>830.01</v>
      </c>
    </row>
    <row r="640" spans="1:5" ht="15" customHeight="1">
      <c r="A640" s="91" t="s">
        <v>216</v>
      </c>
      <c r="B640" s="92">
        <v>2026</v>
      </c>
      <c r="C640" s="93">
        <v>46082</v>
      </c>
      <c r="D640" s="94" t="s">
        <v>63</v>
      </c>
      <c r="E640" s="95">
        <v>896.95</v>
      </c>
    </row>
    <row r="641" spans="1:5" ht="15" customHeight="1">
      <c r="A641" s="91" t="s">
        <v>216</v>
      </c>
      <c r="B641" s="92">
        <v>2026</v>
      </c>
      <c r="C641" s="93">
        <v>46082</v>
      </c>
      <c r="D641" s="94" t="s">
        <v>64</v>
      </c>
      <c r="E641" s="95">
        <v>1537.68</v>
      </c>
    </row>
    <row r="642" spans="1:5" ht="15" customHeight="1">
      <c r="A642" s="91" t="s">
        <v>216</v>
      </c>
      <c r="B642" s="92">
        <v>2026</v>
      </c>
      <c r="C642" s="93">
        <v>46082</v>
      </c>
      <c r="D642" s="94" t="s">
        <v>285</v>
      </c>
      <c r="E642" s="95">
        <v>3927.88</v>
      </c>
    </row>
    <row r="643" spans="1:5" ht="15" customHeight="1">
      <c r="A643" s="91" t="s">
        <v>216</v>
      </c>
      <c r="B643" s="92">
        <v>2026</v>
      </c>
      <c r="C643" s="93">
        <v>46082</v>
      </c>
      <c r="D643" s="94" t="s">
        <v>65</v>
      </c>
      <c r="E643" s="95">
        <v>182.76</v>
      </c>
    </row>
    <row r="644" spans="1:5" ht="15" customHeight="1">
      <c r="A644" s="91" t="s">
        <v>216</v>
      </c>
      <c r="B644" s="92">
        <v>2026</v>
      </c>
      <c r="C644" s="93">
        <v>46082</v>
      </c>
      <c r="D644" s="94" t="s">
        <v>66</v>
      </c>
      <c r="E644" s="95">
        <v>596.71</v>
      </c>
    </row>
    <row r="645" spans="1:5" ht="15" customHeight="1">
      <c r="A645" s="91" t="s">
        <v>216</v>
      </c>
      <c r="B645" s="92">
        <v>2026</v>
      </c>
      <c r="C645" s="93">
        <v>46082</v>
      </c>
      <c r="D645" s="94" t="s">
        <v>67</v>
      </c>
      <c r="E645" s="95">
        <v>533.32000000000005</v>
      </c>
    </row>
    <row r="646" spans="1:5" ht="15" customHeight="1">
      <c r="A646" s="91" t="s">
        <v>216</v>
      </c>
      <c r="B646" s="92">
        <v>2026</v>
      </c>
      <c r="C646" s="93">
        <v>46082</v>
      </c>
      <c r="D646" s="94" t="s">
        <v>68</v>
      </c>
      <c r="E646" s="95">
        <v>54.29</v>
      </c>
    </row>
    <row r="647" spans="1:5" ht="15" customHeight="1">
      <c r="A647" s="91" t="s">
        <v>216</v>
      </c>
      <c r="B647" s="92">
        <v>2026</v>
      </c>
      <c r="C647" s="93">
        <v>46082</v>
      </c>
      <c r="D647" s="94" t="s">
        <v>464</v>
      </c>
      <c r="E647" s="95">
        <v>8250</v>
      </c>
    </row>
    <row r="648" spans="1:5" ht="15" customHeight="1">
      <c r="A648" s="91" t="s">
        <v>216</v>
      </c>
      <c r="B648" s="92">
        <v>2026</v>
      </c>
      <c r="C648" s="93">
        <v>46082</v>
      </c>
      <c r="D648" s="94" t="s">
        <v>69</v>
      </c>
      <c r="E648" s="95">
        <v>51052.38</v>
      </c>
    </row>
    <row r="649" spans="1:5" ht="15" customHeight="1">
      <c r="A649" s="91" t="s">
        <v>216</v>
      </c>
      <c r="B649" s="92">
        <v>2026</v>
      </c>
      <c r="C649" s="93">
        <v>46082</v>
      </c>
      <c r="D649" s="94" t="s">
        <v>180</v>
      </c>
      <c r="E649" s="95">
        <v>5703.13</v>
      </c>
    </row>
    <row r="650" spans="1:5" ht="15" customHeight="1">
      <c r="A650" s="91" t="s">
        <v>216</v>
      </c>
      <c r="B650" s="92">
        <v>2026</v>
      </c>
      <c r="C650" s="93">
        <v>46082</v>
      </c>
      <c r="D650" s="94" t="s">
        <v>70</v>
      </c>
      <c r="E650" s="95">
        <v>75.209999999999994</v>
      </c>
    </row>
    <row r="651" spans="1:5" ht="15" customHeight="1">
      <c r="A651" s="91" t="s">
        <v>216</v>
      </c>
      <c r="B651" s="92">
        <v>2026</v>
      </c>
      <c r="C651" s="93">
        <v>46082</v>
      </c>
      <c r="D651" s="94" t="s">
        <v>220</v>
      </c>
      <c r="E651" s="95">
        <v>3113.79</v>
      </c>
    </row>
    <row r="652" spans="1:5" ht="15" customHeight="1">
      <c r="A652" s="91" t="s">
        <v>216</v>
      </c>
      <c r="B652" s="92">
        <v>2026</v>
      </c>
      <c r="C652" s="93">
        <v>46082</v>
      </c>
      <c r="D652" s="94" t="s">
        <v>71</v>
      </c>
      <c r="E652" s="95">
        <v>8274</v>
      </c>
    </row>
    <row r="653" spans="1:5" ht="15" customHeight="1">
      <c r="A653" s="91" t="s">
        <v>216</v>
      </c>
      <c r="B653" s="92">
        <v>2026</v>
      </c>
      <c r="C653" s="93">
        <v>46082</v>
      </c>
      <c r="D653" s="94" t="s">
        <v>465</v>
      </c>
      <c r="E653" s="95">
        <v>623.07000000000005</v>
      </c>
    </row>
    <row r="654" spans="1:5" ht="15" customHeight="1">
      <c r="A654" s="91" t="s">
        <v>216</v>
      </c>
      <c r="B654" s="92">
        <v>2026</v>
      </c>
      <c r="C654" s="93">
        <v>46082</v>
      </c>
      <c r="D654" s="94" t="s">
        <v>223</v>
      </c>
      <c r="E654" s="95">
        <v>1337.6</v>
      </c>
    </row>
    <row r="655" spans="1:5" ht="15" customHeight="1">
      <c r="A655" s="91" t="s">
        <v>216</v>
      </c>
      <c r="B655" s="92">
        <v>2026</v>
      </c>
      <c r="C655" s="93">
        <v>46082</v>
      </c>
      <c r="D655" s="94" t="s">
        <v>334</v>
      </c>
      <c r="E655" s="95">
        <v>2547.5700000000002</v>
      </c>
    </row>
    <row r="656" spans="1:5" ht="15" customHeight="1">
      <c r="A656" s="91" t="s">
        <v>216</v>
      </c>
      <c r="B656" s="92">
        <v>2026</v>
      </c>
      <c r="C656" s="93">
        <v>46082</v>
      </c>
      <c r="D656" s="94" t="s">
        <v>286</v>
      </c>
      <c r="E656" s="95">
        <v>6641.98</v>
      </c>
    </row>
    <row r="657" spans="1:5" ht="15" customHeight="1">
      <c r="A657" s="91" t="s">
        <v>216</v>
      </c>
      <c r="B657" s="92">
        <v>2026</v>
      </c>
      <c r="C657" s="93">
        <v>46082</v>
      </c>
      <c r="D657" s="94" t="s">
        <v>73</v>
      </c>
      <c r="E657" s="95">
        <v>675.96</v>
      </c>
    </row>
    <row r="658" spans="1:5" ht="15" customHeight="1">
      <c r="A658" s="91" t="s">
        <v>216</v>
      </c>
      <c r="B658" s="92">
        <v>2026</v>
      </c>
      <c r="C658" s="93">
        <v>46082</v>
      </c>
      <c r="D658" s="94" t="s">
        <v>74</v>
      </c>
      <c r="E658" s="95">
        <v>292.98</v>
      </c>
    </row>
    <row r="659" spans="1:5" ht="15" customHeight="1">
      <c r="A659" s="91" t="s">
        <v>216</v>
      </c>
      <c r="B659" s="92">
        <v>2026</v>
      </c>
      <c r="C659" s="93">
        <v>46082</v>
      </c>
      <c r="D659" s="94" t="s">
        <v>224</v>
      </c>
      <c r="E659" s="95">
        <v>800</v>
      </c>
    </row>
    <row r="660" spans="1:5" ht="15" customHeight="1">
      <c r="A660" s="91" t="s">
        <v>216</v>
      </c>
      <c r="B660" s="92">
        <v>2026</v>
      </c>
      <c r="C660" s="93">
        <v>46082</v>
      </c>
      <c r="D660" s="94" t="s">
        <v>226</v>
      </c>
      <c r="E660" s="95">
        <v>137.47999999999999</v>
      </c>
    </row>
    <row r="661" spans="1:5" ht="15" customHeight="1">
      <c r="A661" s="91" t="s">
        <v>355</v>
      </c>
      <c r="B661" s="92">
        <v>2026</v>
      </c>
      <c r="C661" s="93">
        <v>46082</v>
      </c>
      <c r="D661" s="94" t="s">
        <v>192</v>
      </c>
      <c r="E661" s="95">
        <v>21385.53</v>
      </c>
    </row>
    <row r="662" spans="1:5" ht="15" customHeight="1">
      <c r="A662" s="91" t="s">
        <v>355</v>
      </c>
      <c r="B662" s="92">
        <v>2026</v>
      </c>
      <c r="C662" s="93">
        <v>46082</v>
      </c>
      <c r="D662" s="94" t="s">
        <v>436</v>
      </c>
      <c r="E662" s="95">
        <v>21688.6</v>
      </c>
    </row>
    <row r="663" spans="1:5" ht="15" customHeight="1">
      <c r="A663" s="91" t="s">
        <v>355</v>
      </c>
      <c r="B663" s="92">
        <v>2026</v>
      </c>
      <c r="C663" s="93">
        <v>46082</v>
      </c>
      <c r="D663" s="94" t="s">
        <v>57</v>
      </c>
      <c r="E663" s="95">
        <v>675</v>
      </c>
    </row>
    <row r="664" spans="1:5" ht="15" customHeight="1">
      <c r="A664" s="91" t="s">
        <v>355</v>
      </c>
      <c r="B664" s="92">
        <v>2026</v>
      </c>
      <c r="C664" s="93">
        <v>46113</v>
      </c>
      <c r="D664" s="94" t="s">
        <v>192</v>
      </c>
      <c r="E664" s="95">
        <v>2717.15</v>
      </c>
    </row>
    <row r="665" spans="1:5" ht="15" customHeight="1">
      <c r="A665" s="91" t="s">
        <v>216</v>
      </c>
      <c r="B665" s="92">
        <v>2026</v>
      </c>
      <c r="C665" s="93">
        <v>46113</v>
      </c>
      <c r="D665" s="94" t="s">
        <v>217</v>
      </c>
      <c r="E665" s="95">
        <v>314.7</v>
      </c>
    </row>
    <row r="666" spans="1:5" ht="15" customHeight="1">
      <c r="A666" s="91" t="s">
        <v>216</v>
      </c>
      <c r="B666" s="92">
        <v>2026</v>
      </c>
      <c r="C666" s="93">
        <v>46113</v>
      </c>
      <c r="D666" s="94" t="s">
        <v>302</v>
      </c>
      <c r="E666" s="95">
        <v>2500</v>
      </c>
    </row>
    <row r="667" spans="1:5" ht="15" customHeight="1">
      <c r="A667" s="91" t="s">
        <v>216</v>
      </c>
      <c r="B667" s="92">
        <v>2026</v>
      </c>
      <c r="C667" s="93">
        <v>46113</v>
      </c>
      <c r="D667" s="94" t="s">
        <v>192</v>
      </c>
      <c r="E667" s="95">
        <v>6524.36</v>
      </c>
    </row>
    <row r="668" spans="1:5" ht="15" customHeight="1">
      <c r="A668" s="91" t="s">
        <v>216</v>
      </c>
      <c r="B668" s="92">
        <v>2026</v>
      </c>
      <c r="C668" s="93">
        <v>46113</v>
      </c>
      <c r="D668" s="94" t="s">
        <v>198</v>
      </c>
      <c r="E668" s="95">
        <v>438.72</v>
      </c>
    </row>
    <row r="669" spans="1:5" ht="15" customHeight="1">
      <c r="A669" s="91" t="s">
        <v>216</v>
      </c>
      <c r="B669" s="92">
        <v>2026</v>
      </c>
      <c r="C669" s="93">
        <v>46113</v>
      </c>
      <c r="D669" s="94" t="s">
        <v>59</v>
      </c>
      <c r="E669" s="95">
        <v>39.9</v>
      </c>
    </row>
    <row r="670" spans="1:5" ht="15" customHeight="1">
      <c r="A670" s="91" t="s">
        <v>216</v>
      </c>
      <c r="B670" s="92">
        <v>2026</v>
      </c>
      <c r="C670" s="93">
        <v>46113</v>
      </c>
      <c r="D670" s="94" t="s">
        <v>60</v>
      </c>
      <c r="E670" s="95">
        <v>609.71</v>
      </c>
    </row>
    <row r="671" spans="1:5" ht="15" customHeight="1">
      <c r="A671" s="91" t="s">
        <v>216</v>
      </c>
      <c r="B671" s="92">
        <v>2026</v>
      </c>
      <c r="C671" s="93">
        <v>46113</v>
      </c>
      <c r="D671" s="94" t="s">
        <v>463</v>
      </c>
      <c r="E671" s="95">
        <v>53.33</v>
      </c>
    </row>
    <row r="672" spans="1:5" ht="15" customHeight="1">
      <c r="A672" s="91" t="s">
        <v>216</v>
      </c>
      <c r="B672" s="92">
        <v>2026</v>
      </c>
      <c r="C672" s="93">
        <v>46113</v>
      </c>
      <c r="D672" s="94" t="s">
        <v>61</v>
      </c>
      <c r="E672" s="95">
        <v>1621</v>
      </c>
    </row>
    <row r="673" spans="1:5" ht="15" customHeight="1">
      <c r="A673" s="91" t="s">
        <v>216</v>
      </c>
      <c r="B673" s="92">
        <v>2026</v>
      </c>
      <c r="C673" s="93">
        <v>46113</v>
      </c>
      <c r="D673" s="94" t="s">
        <v>219</v>
      </c>
      <c r="E673" s="95">
        <v>2451.04</v>
      </c>
    </row>
    <row r="674" spans="1:5" ht="15" customHeight="1">
      <c r="A674" s="91" t="s">
        <v>216</v>
      </c>
      <c r="B674" s="92">
        <v>2026</v>
      </c>
      <c r="C674" s="93">
        <v>46113</v>
      </c>
      <c r="D674" s="94" t="s">
        <v>62</v>
      </c>
      <c r="E674" s="95">
        <v>1776.35</v>
      </c>
    </row>
    <row r="675" spans="1:5" ht="15" customHeight="1">
      <c r="A675" s="91" t="s">
        <v>216</v>
      </c>
      <c r="B675" s="92">
        <v>2026</v>
      </c>
      <c r="C675" s="93">
        <v>46113</v>
      </c>
      <c r="D675" s="94" t="s">
        <v>63</v>
      </c>
      <c r="E675" s="95">
        <v>896.95</v>
      </c>
    </row>
    <row r="676" spans="1:5" ht="15" customHeight="1">
      <c r="A676" s="91" t="s">
        <v>216</v>
      </c>
      <c r="B676" s="92">
        <v>2026</v>
      </c>
      <c r="C676" s="93">
        <v>46113</v>
      </c>
      <c r="D676" s="94" t="s">
        <v>64</v>
      </c>
      <c r="E676" s="95">
        <v>963.28</v>
      </c>
    </row>
    <row r="677" spans="1:5" ht="15" customHeight="1">
      <c r="A677" s="91" t="s">
        <v>216</v>
      </c>
      <c r="B677" s="92">
        <v>2026</v>
      </c>
      <c r="C677" s="93">
        <v>46113</v>
      </c>
      <c r="D677" s="94" t="s">
        <v>65</v>
      </c>
      <c r="E677" s="95">
        <v>183</v>
      </c>
    </row>
    <row r="678" spans="1:5" ht="15" customHeight="1">
      <c r="A678" s="91" t="s">
        <v>216</v>
      </c>
      <c r="B678" s="92">
        <v>2026</v>
      </c>
      <c r="C678" s="93">
        <v>46113</v>
      </c>
      <c r="D678" s="94" t="s">
        <v>66</v>
      </c>
      <c r="E678" s="95">
        <v>107.54</v>
      </c>
    </row>
    <row r="679" spans="1:5" ht="15" customHeight="1">
      <c r="A679" s="91" t="s">
        <v>216</v>
      </c>
      <c r="B679" s="92">
        <v>2026</v>
      </c>
      <c r="C679" s="93">
        <v>46113</v>
      </c>
      <c r="D679" s="94" t="s">
        <v>67</v>
      </c>
      <c r="E679" s="95">
        <v>554.29</v>
      </c>
    </row>
    <row r="680" spans="1:5" ht="15" customHeight="1">
      <c r="A680" s="91" t="s">
        <v>216</v>
      </c>
      <c r="B680" s="92">
        <v>2026</v>
      </c>
      <c r="C680" s="93">
        <v>46113</v>
      </c>
      <c r="D680" s="94" t="s">
        <v>68</v>
      </c>
      <c r="E680" s="95">
        <v>140.65</v>
      </c>
    </row>
    <row r="681" spans="1:5" ht="15" customHeight="1">
      <c r="A681" s="91" t="s">
        <v>216</v>
      </c>
      <c r="B681" s="92">
        <v>2026</v>
      </c>
      <c r="C681" s="93">
        <v>46113</v>
      </c>
      <c r="D681" s="94" t="s">
        <v>69</v>
      </c>
      <c r="E681" s="95">
        <v>47456.55</v>
      </c>
    </row>
    <row r="682" spans="1:5" ht="15" customHeight="1">
      <c r="A682" s="91" t="s">
        <v>216</v>
      </c>
      <c r="B682" s="92">
        <v>2026</v>
      </c>
      <c r="C682" s="93">
        <v>46113</v>
      </c>
      <c r="D682" s="94" t="s">
        <v>78</v>
      </c>
      <c r="E682" s="95">
        <v>0.31</v>
      </c>
    </row>
    <row r="683" spans="1:5" ht="15" customHeight="1">
      <c r="A683" s="91" t="s">
        <v>216</v>
      </c>
      <c r="B683" s="92">
        <v>2026</v>
      </c>
      <c r="C683" s="93">
        <v>46113</v>
      </c>
      <c r="D683" s="94" t="s">
        <v>180</v>
      </c>
      <c r="E683" s="95">
        <v>2849.33</v>
      </c>
    </row>
    <row r="684" spans="1:5" ht="15" customHeight="1">
      <c r="A684" s="91" t="s">
        <v>216</v>
      </c>
      <c r="B684" s="92">
        <v>2026</v>
      </c>
      <c r="C684" s="93">
        <v>46113</v>
      </c>
      <c r="D684" s="94" t="s">
        <v>232</v>
      </c>
      <c r="E684" s="95">
        <v>460</v>
      </c>
    </row>
    <row r="685" spans="1:5" ht="15" customHeight="1">
      <c r="A685" s="91" t="s">
        <v>216</v>
      </c>
      <c r="B685" s="92">
        <v>2026</v>
      </c>
      <c r="C685" s="93">
        <v>46113</v>
      </c>
      <c r="D685" s="94" t="s">
        <v>70</v>
      </c>
      <c r="E685" s="95">
        <v>30830.29</v>
      </c>
    </row>
    <row r="686" spans="1:5" ht="15" customHeight="1">
      <c r="A686" s="91" t="s">
        <v>216</v>
      </c>
      <c r="B686" s="92">
        <v>2026</v>
      </c>
      <c r="C686" s="93">
        <v>46113</v>
      </c>
      <c r="D686" s="94" t="s">
        <v>220</v>
      </c>
      <c r="E686" s="95">
        <v>3132.66</v>
      </c>
    </row>
    <row r="687" spans="1:5" ht="15" customHeight="1">
      <c r="A687" s="91" t="s">
        <v>216</v>
      </c>
      <c r="B687" s="92">
        <v>2026</v>
      </c>
      <c r="C687" s="93">
        <v>46113</v>
      </c>
      <c r="D687" s="94" t="s">
        <v>71</v>
      </c>
      <c r="E687" s="95">
        <v>2314</v>
      </c>
    </row>
    <row r="688" spans="1:5" ht="15" customHeight="1">
      <c r="A688" s="91" t="s">
        <v>216</v>
      </c>
      <c r="B688" s="92">
        <v>2026</v>
      </c>
      <c r="C688" s="93">
        <v>46113</v>
      </c>
      <c r="D688" s="94" t="s">
        <v>72</v>
      </c>
      <c r="E688" s="95">
        <v>500</v>
      </c>
    </row>
    <row r="689" spans="1:5" ht="15" customHeight="1">
      <c r="A689" s="91" t="s">
        <v>216</v>
      </c>
      <c r="B689" s="92">
        <v>2026</v>
      </c>
      <c r="C689" s="93">
        <v>46113</v>
      </c>
      <c r="D689" s="94" t="s">
        <v>431</v>
      </c>
      <c r="E689" s="95">
        <v>616.66999999999996</v>
      </c>
    </row>
    <row r="690" spans="1:5" ht="15" customHeight="1">
      <c r="A690" s="91" t="s">
        <v>216</v>
      </c>
      <c r="B690" s="92">
        <v>2026</v>
      </c>
      <c r="C690" s="93">
        <v>46113</v>
      </c>
      <c r="D690" s="94" t="s">
        <v>223</v>
      </c>
      <c r="E690" s="95">
        <v>1877.6</v>
      </c>
    </row>
    <row r="691" spans="1:5" ht="15" customHeight="1">
      <c r="A691" s="91" t="s">
        <v>216</v>
      </c>
      <c r="B691" s="92">
        <v>2026</v>
      </c>
      <c r="C691" s="93">
        <v>46113</v>
      </c>
      <c r="D691" s="94" t="s">
        <v>73</v>
      </c>
      <c r="E691" s="95">
        <v>675.96</v>
      </c>
    </row>
    <row r="692" spans="1:5" ht="15" customHeight="1">
      <c r="A692" s="91" t="s">
        <v>216</v>
      </c>
      <c r="B692" s="92">
        <v>2026</v>
      </c>
      <c r="C692" s="93">
        <v>46113</v>
      </c>
      <c r="D692" s="94" t="s">
        <v>74</v>
      </c>
      <c r="E692" s="95">
        <v>207.34</v>
      </c>
    </row>
    <row r="693" spans="1:5" ht="15" customHeight="1">
      <c r="A693" s="91" t="s">
        <v>216</v>
      </c>
      <c r="B693" s="92">
        <v>2026</v>
      </c>
      <c r="C693" s="93">
        <v>46113</v>
      </c>
      <c r="D693" s="94" t="s">
        <v>226</v>
      </c>
      <c r="E693" s="95">
        <v>149.24</v>
      </c>
    </row>
    <row r="694" spans="1:5" ht="15" customHeight="1">
      <c r="A694" s="91" t="s">
        <v>51</v>
      </c>
      <c r="B694" s="92">
        <v>2026</v>
      </c>
      <c r="C694" s="93">
        <v>46113</v>
      </c>
      <c r="D694" s="94" t="s">
        <v>75</v>
      </c>
      <c r="E694" s="95">
        <v>95</v>
      </c>
    </row>
    <row r="695" spans="1:5" ht="15" customHeight="1">
      <c r="A695" s="91" t="s">
        <v>51</v>
      </c>
      <c r="B695" s="92">
        <v>2026</v>
      </c>
      <c r="C695" s="93">
        <v>46113</v>
      </c>
      <c r="D695" s="94" t="s">
        <v>58</v>
      </c>
      <c r="E695" s="95">
        <v>5808.88</v>
      </c>
    </row>
    <row r="696" spans="1:5" ht="15" customHeight="1">
      <c r="A696" s="91" t="s">
        <v>51</v>
      </c>
      <c r="B696" s="92">
        <v>2026</v>
      </c>
      <c r="C696" s="93">
        <v>46113</v>
      </c>
      <c r="D696" s="94" t="s">
        <v>181</v>
      </c>
      <c r="E696" s="95">
        <v>3486</v>
      </c>
    </row>
    <row r="697" spans="1:5" ht="15" customHeight="1">
      <c r="A697" s="91" t="s">
        <v>51</v>
      </c>
      <c r="B697" s="92">
        <v>2026</v>
      </c>
      <c r="C697" s="93">
        <v>46113</v>
      </c>
      <c r="D697" s="94" t="s">
        <v>59</v>
      </c>
      <c r="E697" s="95">
        <v>42670.93</v>
      </c>
    </row>
    <row r="698" spans="1:5" ht="15" customHeight="1">
      <c r="A698" s="91" t="s">
        <v>51</v>
      </c>
      <c r="B698" s="92">
        <v>2026</v>
      </c>
      <c r="C698" s="93">
        <v>46113</v>
      </c>
      <c r="D698" s="94" t="s">
        <v>76</v>
      </c>
      <c r="E698" s="95">
        <v>121.18</v>
      </c>
    </row>
    <row r="699" spans="1:5" ht="15" customHeight="1">
      <c r="A699" s="91" t="s">
        <v>51</v>
      </c>
      <c r="B699" s="92">
        <v>2026</v>
      </c>
      <c r="C699" s="93">
        <v>46113</v>
      </c>
      <c r="D699" s="94" t="s">
        <v>61</v>
      </c>
      <c r="E699" s="95">
        <v>1621</v>
      </c>
    </row>
    <row r="700" spans="1:5" ht="15" customHeight="1">
      <c r="A700" s="91" t="s">
        <v>51</v>
      </c>
      <c r="B700" s="92">
        <v>2026</v>
      </c>
      <c r="C700" s="93">
        <v>46113</v>
      </c>
      <c r="D700" s="94" t="s">
        <v>62</v>
      </c>
      <c r="E700" s="95">
        <v>1323.04</v>
      </c>
    </row>
    <row r="701" spans="1:5" ht="15" customHeight="1">
      <c r="A701" s="91" t="s">
        <v>51</v>
      </c>
      <c r="B701" s="92">
        <v>2026</v>
      </c>
      <c r="C701" s="93">
        <v>46113</v>
      </c>
      <c r="D701" s="94" t="s">
        <v>63</v>
      </c>
      <c r="E701" s="95">
        <v>223</v>
      </c>
    </row>
    <row r="702" spans="1:5" ht="15" customHeight="1">
      <c r="A702" s="91" t="s">
        <v>51</v>
      </c>
      <c r="B702" s="92">
        <v>2026</v>
      </c>
      <c r="C702" s="93">
        <v>46113</v>
      </c>
      <c r="D702" s="94" t="s">
        <v>64</v>
      </c>
      <c r="E702" s="95">
        <v>806</v>
      </c>
    </row>
    <row r="703" spans="1:5" ht="15" customHeight="1">
      <c r="A703" s="91" t="s">
        <v>51</v>
      </c>
      <c r="B703" s="92">
        <v>2026</v>
      </c>
      <c r="C703" s="93">
        <v>46113</v>
      </c>
      <c r="D703" s="94" t="s">
        <v>65</v>
      </c>
      <c r="E703" s="95">
        <v>179.9</v>
      </c>
    </row>
    <row r="704" spans="1:5" ht="15" customHeight="1">
      <c r="A704" s="91" t="s">
        <v>51</v>
      </c>
      <c r="B704" s="92">
        <v>2026</v>
      </c>
      <c r="C704" s="93">
        <v>46113</v>
      </c>
      <c r="D704" s="94" t="s">
        <v>66</v>
      </c>
      <c r="E704" s="95">
        <v>299.2</v>
      </c>
    </row>
    <row r="705" spans="1:5" ht="15" customHeight="1">
      <c r="A705" s="91" t="s">
        <v>51</v>
      </c>
      <c r="B705" s="92">
        <v>2026</v>
      </c>
      <c r="C705" s="93">
        <v>46113</v>
      </c>
      <c r="D705" s="94" t="s">
        <v>67</v>
      </c>
      <c r="E705" s="95">
        <v>106819.35</v>
      </c>
    </row>
    <row r="706" spans="1:5" ht="15" customHeight="1">
      <c r="A706" s="91" t="s">
        <v>51</v>
      </c>
      <c r="B706" s="92">
        <v>2026</v>
      </c>
      <c r="C706" s="93">
        <v>46113</v>
      </c>
      <c r="D706" s="94" t="s">
        <v>68</v>
      </c>
      <c r="E706" s="95">
        <v>2036.37</v>
      </c>
    </row>
    <row r="707" spans="1:5" ht="15" customHeight="1">
      <c r="A707" s="91" t="s">
        <v>51</v>
      </c>
      <c r="B707" s="92">
        <v>2026</v>
      </c>
      <c r="C707" s="93">
        <v>46113</v>
      </c>
      <c r="D707" s="94" t="s">
        <v>69</v>
      </c>
      <c r="E707" s="95">
        <v>187.32</v>
      </c>
    </row>
    <row r="708" spans="1:5" ht="15" customHeight="1">
      <c r="A708" s="91" t="s">
        <v>51</v>
      </c>
      <c r="B708" s="92">
        <v>2026</v>
      </c>
      <c r="C708" s="93">
        <v>46113</v>
      </c>
      <c r="D708" s="94" t="s">
        <v>180</v>
      </c>
      <c r="E708" s="95">
        <v>2210.1999999999998</v>
      </c>
    </row>
    <row r="709" spans="1:5" ht="15" customHeight="1">
      <c r="A709" s="91" t="s">
        <v>51</v>
      </c>
      <c r="B709" s="92">
        <v>2026</v>
      </c>
      <c r="C709" s="93">
        <v>46113</v>
      </c>
      <c r="D709" s="94" t="s">
        <v>194</v>
      </c>
      <c r="E709" s="95">
        <v>99.9</v>
      </c>
    </row>
    <row r="710" spans="1:5" ht="15" customHeight="1">
      <c r="A710" s="91" t="s">
        <v>51</v>
      </c>
      <c r="B710" s="92">
        <v>2026</v>
      </c>
      <c r="C710" s="93">
        <v>46113</v>
      </c>
      <c r="D710" s="94" t="s">
        <v>70</v>
      </c>
      <c r="E710" s="95">
        <v>51.57</v>
      </c>
    </row>
    <row r="711" spans="1:5" ht="15" customHeight="1">
      <c r="A711" s="91" t="s">
        <v>51</v>
      </c>
      <c r="B711" s="92">
        <v>2026</v>
      </c>
      <c r="C711" s="93">
        <v>46113</v>
      </c>
      <c r="D711" s="94" t="s">
        <v>71</v>
      </c>
      <c r="E711" s="95">
        <v>66314</v>
      </c>
    </row>
    <row r="712" spans="1:5" ht="15" customHeight="1">
      <c r="A712" s="91" t="s">
        <v>51</v>
      </c>
      <c r="B712" s="92">
        <v>2026</v>
      </c>
      <c r="C712" s="93">
        <v>46113</v>
      </c>
      <c r="D712" s="94" t="s">
        <v>72</v>
      </c>
      <c r="E712" s="95">
        <v>1250.49</v>
      </c>
    </row>
    <row r="713" spans="1:5" ht="15" customHeight="1">
      <c r="A713" s="91" t="s">
        <v>51</v>
      </c>
      <c r="B713" s="92">
        <v>2026</v>
      </c>
      <c r="C713" s="93">
        <v>46113</v>
      </c>
      <c r="D713" s="94" t="s">
        <v>344</v>
      </c>
      <c r="E713" s="95">
        <v>31827</v>
      </c>
    </row>
    <row r="714" spans="1:5" ht="15" customHeight="1">
      <c r="A714" s="91" t="s">
        <v>51</v>
      </c>
      <c r="B714" s="92">
        <v>2026</v>
      </c>
      <c r="C714" s="93">
        <v>46113</v>
      </c>
      <c r="D714" s="94" t="s">
        <v>73</v>
      </c>
      <c r="E714" s="95">
        <v>675.96</v>
      </c>
    </row>
    <row r="715" spans="1:5" ht="15" customHeight="1">
      <c r="A715" s="91" t="s">
        <v>51</v>
      </c>
      <c r="B715" s="92">
        <v>2026</v>
      </c>
      <c r="C715" s="93">
        <v>46113</v>
      </c>
      <c r="D715" s="94" t="s">
        <v>74</v>
      </c>
      <c r="E715" s="95">
        <v>283.8</v>
      </c>
    </row>
    <row r="716" spans="1:5" ht="15" customHeight="1">
      <c r="A716" s="91" t="s">
        <v>51</v>
      </c>
      <c r="B716" s="92">
        <v>2026</v>
      </c>
      <c r="C716" s="93">
        <v>46113</v>
      </c>
      <c r="D716" s="94" t="s">
        <v>345</v>
      </c>
      <c r="E716" s="95">
        <v>3000</v>
      </c>
    </row>
    <row r="717" spans="1:5" ht="15" customHeight="1">
      <c r="A717" s="91" t="s">
        <v>355</v>
      </c>
      <c r="B717" s="92">
        <v>2026</v>
      </c>
      <c r="C717" s="93">
        <v>46143</v>
      </c>
      <c r="D717" s="94" t="s">
        <v>194</v>
      </c>
      <c r="E717" s="95">
        <v>1243.23</v>
      </c>
    </row>
    <row r="718" spans="1:5" ht="15" customHeight="1">
      <c r="A718" s="91" t="s">
        <v>216</v>
      </c>
      <c r="B718" s="92">
        <v>2026</v>
      </c>
      <c r="C718" s="93">
        <v>46143</v>
      </c>
      <c r="D718" s="94" t="s">
        <v>217</v>
      </c>
      <c r="E718" s="95">
        <v>314.7</v>
      </c>
    </row>
    <row r="719" spans="1:5" ht="15" customHeight="1">
      <c r="A719" s="91" t="s">
        <v>216</v>
      </c>
      <c r="B719" s="92">
        <v>2026</v>
      </c>
      <c r="C719" s="93">
        <v>46143</v>
      </c>
      <c r="D719" s="94" t="s">
        <v>302</v>
      </c>
      <c r="E719" s="95">
        <v>2500</v>
      </c>
    </row>
    <row r="720" spans="1:5" ht="15" customHeight="1">
      <c r="A720" s="91" t="s">
        <v>216</v>
      </c>
      <c r="B720" s="92">
        <v>2026</v>
      </c>
      <c r="C720" s="93">
        <v>46143</v>
      </c>
      <c r="D720" s="94" t="s">
        <v>76</v>
      </c>
      <c r="E720" s="95">
        <v>200</v>
      </c>
    </row>
    <row r="721" spans="1:5" ht="15" customHeight="1">
      <c r="A721" s="91" t="s">
        <v>216</v>
      </c>
      <c r="B721" s="92">
        <v>2026</v>
      </c>
      <c r="C721" s="93">
        <v>46143</v>
      </c>
      <c r="D721" s="94" t="s">
        <v>60</v>
      </c>
      <c r="E721" s="95">
        <v>731.4</v>
      </c>
    </row>
    <row r="722" spans="1:5" ht="15" customHeight="1">
      <c r="A722" s="91" t="s">
        <v>216</v>
      </c>
      <c r="B722" s="92">
        <v>2026</v>
      </c>
      <c r="C722" s="93">
        <v>46143</v>
      </c>
      <c r="D722" s="94" t="s">
        <v>463</v>
      </c>
      <c r="E722" s="95">
        <v>200</v>
      </c>
    </row>
    <row r="723" spans="1:5" ht="15" customHeight="1">
      <c r="A723" s="91" t="s">
        <v>216</v>
      </c>
      <c r="B723" s="92">
        <v>2026</v>
      </c>
      <c r="C723" s="93">
        <v>46143</v>
      </c>
      <c r="D723" s="94" t="s">
        <v>61</v>
      </c>
      <c r="E723" s="95">
        <v>1821</v>
      </c>
    </row>
    <row r="724" spans="1:5" ht="15" customHeight="1">
      <c r="A724" s="91" t="s">
        <v>216</v>
      </c>
      <c r="B724" s="92">
        <v>2026</v>
      </c>
      <c r="C724" s="93">
        <v>46143</v>
      </c>
      <c r="D724" s="94" t="s">
        <v>219</v>
      </c>
      <c r="E724" s="95">
        <v>1917</v>
      </c>
    </row>
    <row r="725" spans="1:5" ht="15" customHeight="1">
      <c r="A725" s="91" t="s">
        <v>216</v>
      </c>
      <c r="B725" s="92">
        <v>2026</v>
      </c>
      <c r="C725" s="93">
        <v>46143</v>
      </c>
      <c r="D725" s="94" t="s">
        <v>63</v>
      </c>
      <c r="E725" s="95">
        <v>957.94</v>
      </c>
    </row>
    <row r="726" spans="1:5" ht="15" customHeight="1">
      <c r="A726" s="91" t="s">
        <v>216</v>
      </c>
      <c r="B726" s="92">
        <v>2026</v>
      </c>
      <c r="C726" s="93">
        <v>46143</v>
      </c>
      <c r="D726" s="94" t="s">
        <v>64</v>
      </c>
      <c r="E726" s="95">
        <v>1726.68</v>
      </c>
    </row>
    <row r="727" spans="1:5" ht="15" customHeight="1">
      <c r="A727" s="91" t="s">
        <v>216</v>
      </c>
      <c r="B727" s="92">
        <v>2026</v>
      </c>
      <c r="C727" s="93">
        <v>46143</v>
      </c>
      <c r="D727" s="94" t="s">
        <v>65</v>
      </c>
      <c r="E727" s="95">
        <v>189</v>
      </c>
    </row>
    <row r="728" spans="1:5" ht="15" customHeight="1">
      <c r="A728" s="91" t="s">
        <v>216</v>
      </c>
      <c r="B728" s="92">
        <v>2026</v>
      </c>
      <c r="C728" s="93">
        <v>46143</v>
      </c>
      <c r="D728" s="94" t="s">
        <v>66</v>
      </c>
      <c r="E728" s="95">
        <v>253.59</v>
      </c>
    </row>
    <row r="729" spans="1:5" ht="15" customHeight="1">
      <c r="A729" s="91" t="s">
        <v>216</v>
      </c>
      <c r="B729" s="92">
        <v>2026</v>
      </c>
      <c r="C729" s="93">
        <v>46143</v>
      </c>
      <c r="D729" s="94" t="s">
        <v>67</v>
      </c>
      <c r="E729" s="95">
        <v>502.82</v>
      </c>
    </row>
    <row r="730" spans="1:5" ht="15" customHeight="1">
      <c r="A730" s="91" t="s">
        <v>216</v>
      </c>
      <c r="B730" s="92">
        <v>2026</v>
      </c>
      <c r="C730" s="93">
        <v>46143</v>
      </c>
      <c r="D730" s="94" t="s">
        <v>68</v>
      </c>
      <c r="E730" s="95">
        <v>17548.11</v>
      </c>
    </row>
    <row r="731" spans="1:5" ht="15" customHeight="1">
      <c r="A731" s="91" t="s">
        <v>216</v>
      </c>
      <c r="B731" s="92">
        <v>2026</v>
      </c>
      <c r="C731" s="93">
        <v>46143</v>
      </c>
      <c r="D731" s="94" t="s">
        <v>69</v>
      </c>
      <c r="E731" s="95">
        <v>42036.14</v>
      </c>
    </row>
    <row r="732" spans="1:5" ht="15" customHeight="1">
      <c r="A732" s="91" t="s">
        <v>216</v>
      </c>
      <c r="B732" s="92">
        <v>2026</v>
      </c>
      <c r="C732" s="93">
        <v>46143</v>
      </c>
      <c r="D732" s="94" t="s">
        <v>78</v>
      </c>
      <c r="E732" s="95">
        <v>0.04</v>
      </c>
    </row>
    <row r="733" spans="1:5" ht="15" customHeight="1">
      <c r="A733" s="91" t="s">
        <v>216</v>
      </c>
      <c r="B733" s="92">
        <v>2026</v>
      </c>
      <c r="C733" s="93">
        <v>46143</v>
      </c>
      <c r="D733" s="94" t="s">
        <v>180</v>
      </c>
      <c r="E733" s="95">
        <v>2852.73</v>
      </c>
    </row>
    <row r="734" spans="1:5" ht="15" customHeight="1">
      <c r="A734" s="91" t="s">
        <v>216</v>
      </c>
      <c r="B734" s="92">
        <v>2026</v>
      </c>
      <c r="C734" s="93">
        <v>46143</v>
      </c>
      <c r="D734" s="94" t="s">
        <v>70</v>
      </c>
      <c r="E734" s="95">
        <v>144.38999999999999</v>
      </c>
    </row>
    <row r="735" spans="1:5" ht="15" customHeight="1">
      <c r="A735" s="91" t="s">
        <v>216</v>
      </c>
      <c r="B735" s="92">
        <v>2026</v>
      </c>
      <c r="C735" s="93">
        <v>46143</v>
      </c>
      <c r="D735" s="94" t="s">
        <v>220</v>
      </c>
      <c r="E735" s="95">
        <v>3149.64</v>
      </c>
    </row>
    <row r="736" spans="1:5" ht="15" customHeight="1">
      <c r="A736" s="91" t="s">
        <v>216</v>
      </c>
      <c r="B736" s="92">
        <v>2026</v>
      </c>
      <c r="C736" s="93">
        <v>46143</v>
      </c>
      <c r="D736" s="94" t="s">
        <v>71</v>
      </c>
      <c r="E736" s="95">
        <v>2314</v>
      </c>
    </row>
    <row r="737" spans="1:5" ht="15" customHeight="1">
      <c r="A737" s="91" t="s">
        <v>216</v>
      </c>
      <c r="B737" s="92">
        <v>2026</v>
      </c>
      <c r="C737" s="93">
        <v>46143</v>
      </c>
      <c r="D737" s="94" t="s">
        <v>72</v>
      </c>
      <c r="E737" s="95">
        <v>502.5</v>
      </c>
    </row>
    <row r="738" spans="1:5" ht="15" customHeight="1">
      <c r="A738" s="91" t="s">
        <v>216</v>
      </c>
      <c r="B738" s="92">
        <v>2026</v>
      </c>
      <c r="C738" s="93">
        <v>46143</v>
      </c>
      <c r="D738" s="94" t="s">
        <v>431</v>
      </c>
      <c r="E738" s="95">
        <v>2299.3200000000002</v>
      </c>
    </row>
    <row r="739" spans="1:5" ht="15" customHeight="1">
      <c r="A739" s="91" t="s">
        <v>216</v>
      </c>
      <c r="B739" s="92">
        <v>2026</v>
      </c>
      <c r="C739" s="93">
        <v>46143</v>
      </c>
      <c r="D739" s="94" t="s">
        <v>223</v>
      </c>
      <c r="E739" s="95">
        <v>2057.6</v>
      </c>
    </row>
    <row r="740" spans="1:5" ht="15" customHeight="1">
      <c r="A740" s="91" t="s">
        <v>216</v>
      </c>
      <c r="B740" s="92">
        <v>2026</v>
      </c>
      <c r="C740" s="93">
        <v>46143</v>
      </c>
      <c r="D740" s="94" t="s">
        <v>73</v>
      </c>
      <c r="E740" s="95">
        <v>675.96</v>
      </c>
    </row>
    <row r="741" spans="1:5" ht="15" customHeight="1">
      <c r="A741" s="91" t="s">
        <v>216</v>
      </c>
      <c r="B741" s="92">
        <v>2026</v>
      </c>
      <c r="C741" s="93">
        <v>46143</v>
      </c>
      <c r="D741" s="94" t="s">
        <v>74</v>
      </c>
      <c r="E741" s="95">
        <v>160.5</v>
      </c>
    </row>
    <row r="742" spans="1:5" ht="15" customHeight="1">
      <c r="A742" s="91" t="s">
        <v>216</v>
      </c>
      <c r="B742" s="92">
        <v>2026</v>
      </c>
      <c r="C742" s="93">
        <v>46143</v>
      </c>
      <c r="D742" s="94" t="s">
        <v>226</v>
      </c>
      <c r="E742" s="95">
        <v>149.24</v>
      </c>
    </row>
    <row r="743" spans="1:5" ht="15" customHeight="1">
      <c r="A743" s="91" t="s">
        <v>216</v>
      </c>
      <c r="B743" s="92">
        <v>2026</v>
      </c>
      <c r="C743" s="93">
        <v>46143</v>
      </c>
      <c r="D743" s="94" t="s">
        <v>345</v>
      </c>
      <c r="E743" s="117">
        <v>8000</v>
      </c>
    </row>
    <row r="744" spans="1:5" ht="15" customHeight="1">
      <c r="A744" s="91" t="s">
        <v>51</v>
      </c>
      <c r="B744" s="92">
        <v>2026</v>
      </c>
      <c r="C744" s="93">
        <v>46143</v>
      </c>
      <c r="D744" s="94" t="s">
        <v>60</v>
      </c>
      <c r="E744" s="95">
        <v>187.21</v>
      </c>
    </row>
    <row r="745" spans="1:5" ht="15" customHeight="1">
      <c r="A745" s="91" t="s">
        <v>51</v>
      </c>
      <c r="B745" s="92">
        <v>2026</v>
      </c>
      <c r="C745" s="93">
        <v>46143</v>
      </c>
      <c r="D745" s="94" t="s">
        <v>61</v>
      </c>
      <c r="E745" s="95">
        <v>1821</v>
      </c>
    </row>
    <row r="746" spans="1:5" ht="15" customHeight="1">
      <c r="A746" s="91" t="s">
        <v>51</v>
      </c>
      <c r="B746" s="92">
        <v>2026</v>
      </c>
      <c r="C746" s="93">
        <v>46143</v>
      </c>
      <c r="D746" s="94" t="s">
        <v>63</v>
      </c>
      <c r="E746" s="95">
        <v>133.5</v>
      </c>
    </row>
    <row r="747" spans="1:5">
      <c r="A747" s="91" t="s">
        <v>51</v>
      </c>
      <c r="B747" s="92">
        <v>2026</v>
      </c>
      <c r="C747" s="93">
        <v>46143</v>
      </c>
      <c r="D747" s="94" t="s">
        <v>64</v>
      </c>
      <c r="E747" s="95">
        <v>806</v>
      </c>
    </row>
    <row r="748" spans="1:5">
      <c r="A748" s="91" t="s">
        <v>51</v>
      </c>
      <c r="B748" s="92">
        <v>2026</v>
      </c>
      <c r="C748" s="93">
        <v>46143</v>
      </c>
      <c r="D748" s="94" t="s">
        <v>65</v>
      </c>
      <c r="E748" s="95">
        <v>179.9</v>
      </c>
    </row>
    <row r="749" spans="1:5">
      <c r="A749" s="91" t="s">
        <v>51</v>
      </c>
      <c r="B749" s="92">
        <v>2026</v>
      </c>
      <c r="C749" s="93">
        <v>46143</v>
      </c>
      <c r="D749" s="94" t="s">
        <v>66</v>
      </c>
      <c r="E749" s="95">
        <v>15.08</v>
      </c>
    </row>
    <row r="750" spans="1:5">
      <c r="A750" s="91" t="s">
        <v>51</v>
      </c>
      <c r="B750" s="92">
        <v>2026</v>
      </c>
      <c r="C750" s="93">
        <v>46143</v>
      </c>
      <c r="D750" s="94" t="s">
        <v>67</v>
      </c>
      <c r="E750" s="95">
        <v>390.03</v>
      </c>
    </row>
    <row r="751" spans="1:5">
      <c r="A751" s="91" t="s">
        <v>51</v>
      </c>
      <c r="B751" s="92">
        <v>2026</v>
      </c>
      <c r="C751" s="93">
        <v>46143</v>
      </c>
      <c r="D751" s="94" t="s">
        <v>68</v>
      </c>
      <c r="E751" s="95">
        <v>10434.620000000001</v>
      </c>
    </row>
    <row r="752" spans="1:5">
      <c r="A752" s="91" t="s">
        <v>51</v>
      </c>
      <c r="B752" s="92">
        <v>2026</v>
      </c>
      <c r="C752" s="93">
        <v>46143</v>
      </c>
      <c r="D752" s="94" t="s">
        <v>69</v>
      </c>
      <c r="E752" s="95">
        <v>172.26</v>
      </c>
    </row>
    <row r="753" spans="1:5">
      <c r="A753" s="91" t="s">
        <v>51</v>
      </c>
      <c r="B753" s="92">
        <v>2026</v>
      </c>
      <c r="C753" s="93">
        <v>46143</v>
      </c>
      <c r="D753" s="94" t="s">
        <v>180</v>
      </c>
      <c r="E753" s="95">
        <v>2210.1999999999998</v>
      </c>
    </row>
    <row r="754" spans="1:5">
      <c r="A754" s="91" t="s">
        <v>51</v>
      </c>
      <c r="B754" s="92">
        <v>2026</v>
      </c>
      <c r="C754" s="93">
        <v>46143</v>
      </c>
      <c r="D754" s="94" t="s">
        <v>4646</v>
      </c>
      <c r="E754" s="95">
        <v>386</v>
      </c>
    </row>
    <row r="755" spans="1:5">
      <c r="A755" s="91" t="s">
        <v>51</v>
      </c>
      <c r="B755" s="92">
        <v>2026</v>
      </c>
      <c r="C755" s="93">
        <v>46143</v>
      </c>
      <c r="D755" s="94" t="s">
        <v>70</v>
      </c>
      <c r="E755" s="95">
        <v>52.02</v>
      </c>
    </row>
    <row r="756" spans="1:5">
      <c r="A756" s="91" t="s">
        <v>51</v>
      </c>
      <c r="B756" s="92">
        <v>2026</v>
      </c>
      <c r="C756" s="93">
        <v>46143</v>
      </c>
      <c r="D756" s="94" t="s">
        <v>71</v>
      </c>
      <c r="E756" s="95">
        <v>36314</v>
      </c>
    </row>
    <row r="757" spans="1:5">
      <c r="A757" s="91" t="s">
        <v>51</v>
      </c>
      <c r="B757" s="92">
        <v>2026</v>
      </c>
      <c r="C757" s="93">
        <v>46143</v>
      </c>
      <c r="D757" s="94" t="s">
        <v>344</v>
      </c>
      <c r="E757" s="95">
        <v>74263</v>
      </c>
    </row>
    <row r="758" spans="1:5">
      <c r="A758" s="91" t="s">
        <v>51</v>
      </c>
      <c r="B758" s="92">
        <v>2026</v>
      </c>
      <c r="C758" s="93">
        <v>46143</v>
      </c>
      <c r="D758" s="94" t="s">
        <v>73</v>
      </c>
      <c r="E758" s="95">
        <v>675.96</v>
      </c>
    </row>
    <row r="759" spans="1:5">
      <c r="A759" s="91" t="s">
        <v>51</v>
      </c>
      <c r="B759" s="92">
        <v>2026</v>
      </c>
      <c r="C759" s="93">
        <v>46143</v>
      </c>
      <c r="D759" s="94" t="s">
        <v>74</v>
      </c>
      <c r="E759" s="95">
        <v>310.89999999999998</v>
      </c>
    </row>
    <row r="760" spans="1:5" ht="15.75" thickBot="1">
      <c r="A760" s="105" t="s">
        <v>54</v>
      </c>
      <c r="B760" s="106"/>
      <c r="C760" s="106"/>
      <c r="D760" s="106"/>
      <c r="E760" s="107">
        <f>SUBTOTAL(109,BD_DESP[Valor])</f>
        <v>5011512.580000001</v>
      </c>
    </row>
  </sheetData>
  <phoneticPr fontId="32" type="noConversion"/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70"/>
  <sheetViews>
    <sheetView showGridLines="0" workbookViewId="0"/>
  </sheetViews>
  <sheetFormatPr defaultRowHeight="15"/>
  <cols>
    <col min="1" max="1" width="11.625" style="90" bestFit="1" customWidth="1"/>
    <col min="2" max="2" width="13.125" style="87" bestFit="1" customWidth="1"/>
    <col min="3" max="3" width="250.875" bestFit="1" customWidth="1"/>
    <col min="4" max="4" width="56.75" bestFit="1" customWidth="1"/>
    <col min="5" max="5" width="19" bestFit="1" customWidth="1"/>
    <col min="6" max="6" width="33.125" bestFit="1" customWidth="1"/>
    <col min="7" max="7" width="10.25" customWidth="1"/>
    <col min="8" max="8" width="24.875" bestFit="1" customWidth="1"/>
    <col min="9" max="9" width="17.75" bestFit="1" customWidth="1"/>
  </cols>
  <sheetData>
    <row r="1" spans="1:9" ht="15.75">
      <c r="A1" s="88" t="s">
        <v>34</v>
      </c>
      <c r="B1" s="89" t="s">
        <v>499</v>
      </c>
      <c r="C1" s="88" t="s">
        <v>500</v>
      </c>
      <c r="D1" s="88" t="s">
        <v>501</v>
      </c>
      <c r="E1" s="88" t="s">
        <v>502</v>
      </c>
      <c r="F1" s="88" t="s">
        <v>503</v>
      </c>
      <c r="G1" s="88" t="s">
        <v>504</v>
      </c>
      <c r="H1" s="88" t="s">
        <v>505</v>
      </c>
      <c r="I1" s="88" t="s">
        <v>506</v>
      </c>
    </row>
    <row r="2" spans="1:9">
      <c r="A2" s="90" t="s">
        <v>355</v>
      </c>
      <c r="B2" s="87">
        <v>45740</v>
      </c>
      <c r="C2" t="s">
        <v>466</v>
      </c>
      <c r="D2" t="s">
        <v>467</v>
      </c>
      <c r="E2" t="s">
        <v>468</v>
      </c>
      <c r="F2" t="s">
        <v>469</v>
      </c>
      <c r="G2" t="s">
        <v>470</v>
      </c>
      <c r="H2" t="s">
        <v>471</v>
      </c>
      <c r="I2">
        <v>7896.01</v>
      </c>
    </row>
    <row r="3" spans="1:9">
      <c r="A3" s="90" t="s">
        <v>355</v>
      </c>
      <c r="B3" s="87">
        <v>45912</v>
      </c>
      <c r="C3" t="s">
        <v>472</v>
      </c>
      <c r="D3" t="s">
        <v>473</v>
      </c>
      <c r="F3" t="s">
        <v>474</v>
      </c>
      <c r="G3" t="s">
        <v>470</v>
      </c>
      <c r="H3" t="s">
        <v>475</v>
      </c>
      <c r="I3">
        <v>759.5</v>
      </c>
    </row>
    <row r="4" spans="1:9">
      <c r="A4" s="90" t="s">
        <v>355</v>
      </c>
      <c r="B4" s="87">
        <v>45930</v>
      </c>
      <c r="C4" t="s">
        <v>476</v>
      </c>
      <c r="D4" t="s">
        <v>477</v>
      </c>
      <c r="E4" t="s">
        <v>478</v>
      </c>
      <c r="F4" t="s">
        <v>469</v>
      </c>
      <c r="G4" t="s">
        <v>470</v>
      </c>
      <c r="H4" t="s">
        <v>475</v>
      </c>
      <c r="I4">
        <v>23507.68</v>
      </c>
    </row>
    <row r="5" spans="1:9">
      <c r="A5" s="90" t="s">
        <v>355</v>
      </c>
      <c r="B5" s="87">
        <v>45961</v>
      </c>
      <c r="C5" t="s">
        <v>479</v>
      </c>
      <c r="D5" t="s">
        <v>480</v>
      </c>
      <c r="E5" t="s">
        <v>481</v>
      </c>
      <c r="F5" t="s">
        <v>469</v>
      </c>
      <c r="G5" t="s">
        <v>470</v>
      </c>
      <c r="H5" t="s">
        <v>482</v>
      </c>
      <c r="I5">
        <v>1841.67</v>
      </c>
    </row>
    <row r="6" spans="1:9">
      <c r="A6" s="90" t="s">
        <v>355</v>
      </c>
      <c r="B6" s="87">
        <v>46038</v>
      </c>
      <c r="C6" t="s">
        <v>483</v>
      </c>
      <c r="D6" t="s">
        <v>484</v>
      </c>
      <c r="E6" t="s">
        <v>485</v>
      </c>
      <c r="F6" t="s">
        <v>486</v>
      </c>
      <c r="G6" t="s">
        <v>470</v>
      </c>
      <c r="H6" t="s">
        <v>487</v>
      </c>
      <c r="I6">
        <v>20000</v>
      </c>
    </row>
    <row r="7" spans="1:9">
      <c r="A7" s="90" t="s">
        <v>355</v>
      </c>
      <c r="B7" s="87">
        <v>46058</v>
      </c>
      <c r="C7" t="s">
        <v>488</v>
      </c>
      <c r="D7" t="s">
        <v>489</v>
      </c>
      <c r="E7" t="s">
        <v>432</v>
      </c>
      <c r="F7" t="s">
        <v>490</v>
      </c>
      <c r="G7" t="s">
        <v>470</v>
      </c>
      <c r="H7" t="s">
        <v>487</v>
      </c>
      <c r="I7">
        <v>187500</v>
      </c>
    </row>
    <row r="8" spans="1:9">
      <c r="A8" s="90" t="s">
        <v>355</v>
      </c>
      <c r="B8" s="87">
        <v>46062</v>
      </c>
      <c r="C8" t="s">
        <v>491</v>
      </c>
      <c r="D8" t="s">
        <v>489</v>
      </c>
      <c r="E8" t="s">
        <v>434</v>
      </c>
      <c r="F8" t="s">
        <v>490</v>
      </c>
      <c r="G8" t="s">
        <v>470</v>
      </c>
      <c r="H8" t="s">
        <v>487</v>
      </c>
      <c r="I8">
        <v>54250</v>
      </c>
    </row>
    <row r="9" spans="1:9">
      <c r="A9" s="90" t="s">
        <v>355</v>
      </c>
      <c r="B9" s="87">
        <v>46071</v>
      </c>
      <c r="C9" t="s">
        <v>492</v>
      </c>
      <c r="D9" t="s">
        <v>493</v>
      </c>
      <c r="E9" t="s">
        <v>494</v>
      </c>
      <c r="F9" t="s">
        <v>486</v>
      </c>
      <c r="G9" t="s">
        <v>470</v>
      </c>
      <c r="H9" t="s">
        <v>475</v>
      </c>
      <c r="I9">
        <v>6200</v>
      </c>
    </row>
    <row r="10" spans="1:9">
      <c r="A10" s="90" t="s">
        <v>355</v>
      </c>
      <c r="B10" s="87">
        <v>46079</v>
      </c>
      <c r="C10" t="s">
        <v>495</v>
      </c>
      <c r="D10" t="s">
        <v>489</v>
      </c>
      <c r="E10" t="s">
        <v>496</v>
      </c>
      <c r="F10" t="s">
        <v>490</v>
      </c>
      <c r="G10" t="s">
        <v>470</v>
      </c>
      <c r="H10" t="s">
        <v>475</v>
      </c>
      <c r="I10">
        <v>4250</v>
      </c>
    </row>
    <row r="11" spans="1:9">
      <c r="A11" s="90" t="s">
        <v>355</v>
      </c>
      <c r="B11" s="87">
        <v>46080</v>
      </c>
      <c r="C11" t="s">
        <v>497</v>
      </c>
      <c r="D11" t="s">
        <v>484</v>
      </c>
      <c r="E11" t="s">
        <v>498</v>
      </c>
      <c r="F11" t="s">
        <v>486</v>
      </c>
      <c r="G11" t="s">
        <v>470</v>
      </c>
      <c r="H11" t="s">
        <v>487</v>
      </c>
      <c r="I11">
        <v>678</v>
      </c>
    </row>
    <row r="12" spans="1:9">
      <c r="A12" s="90" t="s">
        <v>216</v>
      </c>
      <c r="B12" s="87">
        <v>45659</v>
      </c>
      <c r="C12" t="s">
        <v>507</v>
      </c>
      <c r="D12" t="s">
        <v>508</v>
      </c>
      <c r="E12" t="s">
        <v>509</v>
      </c>
      <c r="F12" t="s">
        <v>510</v>
      </c>
      <c r="G12" t="s">
        <v>470</v>
      </c>
      <c r="H12" t="s">
        <v>487</v>
      </c>
      <c r="I12">
        <v>14647.19</v>
      </c>
    </row>
    <row r="13" spans="1:9">
      <c r="A13" s="90" t="s">
        <v>216</v>
      </c>
      <c r="B13" s="87">
        <v>45659</v>
      </c>
      <c r="C13" t="s">
        <v>511</v>
      </c>
      <c r="D13" t="s">
        <v>512</v>
      </c>
      <c r="E13" t="s">
        <v>509</v>
      </c>
      <c r="F13" t="s">
        <v>474</v>
      </c>
      <c r="G13" t="s">
        <v>470</v>
      </c>
      <c r="H13" t="s">
        <v>475</v>
      </c>
      <c r="I13">
        <v>853.8</v>
      </c>
    </row>
    <row r="14" spans="1:9">
      <c r="A14" s="90" t="s">
        <v>216</v>
      </c>
      <c r="B14" s="87">
        <v>45663</v>
      </c>
      <c r="C14" t="s">
        <v>511</v>
      </c>
      <c r="D14" t="s">
        <v>512</v>
      </c>
      <c r="E14" t="s">
        <v>509</v>
      </c>
      <c r="F14" t="s">
        <v>474</v>
      </c>
      <c r="G14" t="s">
        <v>470</v>
      </c>
      <c r="H14" t="s">
        <v>475</v>
      </c>
      <c r="I14">
        <v>188.78</v>
      </c>
    </row>
    <row r="15" spans="1:9">
      <c r="A15" s="90" t="s">
        <v>216</v>
      </c>
      <c r="B15" s="87">
        <v>45664</v>
      </c>
      <c r="C15" t="s">
        <v>511</v>
      </c>
      <c r="D15" t="s">
        <v>512</v>
      </c>
      <c r="E15" t="s">
        <v>509</v>
      </c>
      <c r="F15" t="s">
        <v>474</v>
      </c>
      <c r="G15" t="s">
        <v>470</v>
      </c>
      <c r="H15" t="s">
        <v>475</v>
      </c>
      <c r="I15">
        <v>7118.89</v>
      </c>
    </row>
    <row r="16" spans="1:9">
      <c r="A16" s="90" t="s">
        <v>216</v>
      </c>
      <c r="B16" s="87">
        <v>45666</v>
      </c>
      <c r="C16" t="s">
        <v>511</v>
      </c>
      <c r="D16" t="s">
        <v>512</v>
      </c>
      <c r="E16" t="s">
        <v>509</v>
      </c>
      <c r="F16" t="s">
        <v>474</v>
      </c>
      <c r="G16" t="s">
        <v>470</v>
      </c>
      <c r="H16" t="s">
        <v>475</v>
      </c>
      <c r="I16">
        <v>2260</v>
      </c>
    </row>
    <row r="17" spans="1:9">
      <c r="A17" s="90" t="s">
        <v>216</v>
      </c>
      <c r="B17" s="87">
        <v>45667</v>
      </c>
      <c r="C17" t="s">
        <v>513</v>
      </c>
      <c r="D17" t="s">
        <v>477</v>
      </c>
      <c r="E17" t="s">
        <v>514</v>
      </c>
      <c r="F17" t="s">
        <v>515</v>
      </c>
      <c r="G17" t="s">
        <v>470</v>
      </c>
      <c r="H17" t="s">
        <v>516</v>
      </c>
      <c r="I17">
        <v>1830000</v>
      </c>
    </row>
    <row r="18" spans="1:9">
      <c r="A18" s="90" t="s">
        <v>216</v>
      </c>
      <c r="B18" s="87">
        <v>45667</v>
      </c>
      <c r="C18" t="s">
        <v>517</v>
      </c>
      <c r="D18" t="s">
        <v>512</v>
      </c>
      <c r="E18" t="s">
        <v>518</v>
      </c>
      <c r="F18" t="s">
        <v>474</v>
      </c>
      <c r="G18" t="s">
        <v>470</v>
      </c>
      <c r="H18" t="s">
        <v>475</v>
      </c>
      <c r="I18">
        <v>1754102.45</v>
      </c>
    </row>
    <row r="19" spans="1:9">
      <c r="A19" s="90" t="s">
        <v>216</v>
      </c>
      <c r="B19" s="87">
        <v>45670</v>
      </c>
      <c r="C19" t="s">
        <v>519</v>
      </c>
      <c r="D19" t="s">
        <v>512</v>
      </c>
      <c r="E19" t="s">
        <v>509</v>
      </c>
      <c r="F19" t="s">
        <v>474</v>
      </c>
      <c r="G19" t="s">
        <v>470</v>
      </c>
      <c r="H19" t="s">
        <v>475</v>
      </c>
      <c r="I19">
        <v>1754000</v>
      </c>
    </row>
    <row r="20" spans="1:9">
      <c r="A20" s="90" t="s">
        <v>216</v>
      </c>
      <c r="B20" s="87">
        <v>45670</v>
      </c>
      <c r="C20" t="s">
        <v>517</v>
      </c>
      <c r="D20" t="s">
        <v>512</v>
      </c>
      <c r="E20" t="s">
        <v>509</v>
      </c>
      <c r="F20" t="s">
        <v>474</v>
      </c>
      <c r="G20" t="s">
        <v>470</v>
      </c>
      <c r="H20" t="s">
        <v>475</v>
      </c>
      <c r="I20">
        <v>1754000</v>
      </c>
    </row>
    <row r="21" spans="1:9">
      <c r="A21" s="90" t="s">
        <v>216</v>
      </c>
      <c r="B21" s="87">
        <v>45673</v>
      </c>
      <c r="C21" t="s">
        <v>511</v>
      </c>
      <c r="D21" t="s">
        <v>512</v>
      </c>
      <c r="E21" t="s">
        <v>509</v>
      </c>
      <c r="F21" t="s">
        <v>474</v>
      </c>
      <c r="G21" t="s">
        <v>470</v>
      </c>
      <c r="H21" t="s">
        <v>475</v>
      </c>
      <c r="I21">
        <v>108.66</v>
      </c>
    </row>
    <row r="22" spans="1:9">
      <c r="A22" s="90" t="s">
        <v>216</v>
      </c>
      <c r="B22" s="87">
        <v>45673</v>
      </c>
      <c r="C22" t="s">
        <v>511</v>
      </c>
      <c r="D22" t="s">
        <v>512</v>
      </c>
      <c r="E22" t="s">
        <v>509</v>
      </c>
      <c r="F22" t="s">
        <v>474</v>
      </c>
      <c r="G22" t="s">
        <v>470</v>
      </c>
      <c r="H22" t="s">
        <v>475</v>
      </c>
      <c r="I22">
        <v>42164.17</v>
      </c>
    </row>
    <row r="23" spans="1:9">
      <c r="A23" s="90" t="s">
        <v>216</v>
      </c>
      <c r="B23" s="87">
        <v>45674</v>
      </c>
      <c r="C23" t="s">
        <v>520</v>
      </c>
      <c r="D23" t="s">
        <v>512</v>
      </c>
      <c r="E23" t="s">
        <v>509</v>
      </c>
      <c r="F23" t="s">
        <v>474</v>
      </c>
      <c r="G23" t="s">
        <v>470</v>
      </c>
      <c r="H23" t="s">
        <v>475</v>
      </c>
      <c r="I23">
        <v>134.94</v>
      </c>
    </row>
    <row r="24" spans="1:9">
      <c r="A24" s="90" t="s">
        <v>216</v>
      </c>
      <c r="B24" s="87">
        <v>45677</v>
      </c>
      <c r="C24" t="s">
        <v>511</v>
      </c>
      <c r="D24" t="s">
        <v>512</v>
      </c>
      <c r="E24" t="s">
        <v>509</v>
      </c>
      <c r="F24" t="s">
        <v>474</v>
      </c>
      <c r="G24" t="s">
        <v>470</v>
      </c>
      <c r="H24" t="s">
        <v>475</v>
      </c>
      <c r="I24">
        <v>1566072.28</v>
      </c>
    </row>
    <row r="25" spans="1:9">
      <c r="A25" s="90" t="s">
        <v>216</v>
      </c>
      <c r="B25" s="87">
        <v>45678</v>
      </c>
      <c r="C25" t="s">
        <v>511</v>
      </c>
      <c r="D25" t="s">
        <v>512</v>
      </c>
      <c r="E25" t="s">
        <v>509</v>
      </c>
      <c r="F25" t="s">
        <v>474</v>
      </c>
      <c r="G25" t="s">
        <v>470</v>
      </c>
      <c r="H25" t="s">
        <v>475</v>
      </c>
      <c r="I25">
        <v>25.24</v>
      </c>
    </row>
    <row r="26" spans="1:9">
      <c r="A26" s="90" t="s">
        <v>216</v>
      </c>
      <c r="B26" s="87">
        <v>45680</v>
      </c>
      <c r="C26" t="s">
        <v>511</v>
      </c>
      <c r="D26" t="s">
        <v>512</v>
      </c>
      <c r="E26" t="s">
        <v>509</v>
      </c>
      <c r="F26" t="s">
        <v>474</v>
      </c>
      <c r="G26" t="s">
        <v>470</v>
      </c>
      <c r="H26" t="s">
        <v>475</v>
      </c>
      <c r="I26">
        <v>967.38</v>
      </c>
    </row>
    <row r="27" spans="1:9">
      <c r="A27" s="90" t="s">
        <v>216</v>
      </c>
      <c r="B27" s="87">
        <v>45681</v>
      </c>
      <c r="C27" t="s">
        <v>517</v>
      </c>
      <c r="D27" t="s">
        <v>512</v>
      </c>
      <c r="E27" t="s">
        <v>509</v>
      </c>
      <c r="F27" t="s">
        <v>474</v>
      </c>
      <c r="G27" t="s">
        <v>470</v>
      </c>
      <c r="H27" t="s">
        <v>475</v>
      </c>
      <c r="I27">
        <v>617973.04</v>
      </c>
    </row>
    <row r="28" spans="1:9">
      <c r="A28" s="90" t="s">
        <v>216</v>
      </c>
      <c r="B28" s="87">
        <v>45684</v>
      </c>
      <c r="C28" t="s">
        <v>511</v>
      </c>
      <c r="D28" t="s">
        <v>512</v>
      </c>
      <c r="E28" t="s">
        <v>509</v>
      </c>
      <c r="F28" t="s">
        <v>474</v>
      </c>
      <c r="G28" t="s">
        <v>470</v>
      </c>
      <c r="H28" t="s">
        <v>475</v>
      </c>
      <c r="I28">
        <v>42957.01</v>
      </c>
    </row>
    <row r="29" spans="1:9">
      <c r="A29" s="90" t="s">
        <v>216</v>
      </c>
      <c r="B29" s="87">
        <v>45685</v>
      </c>
      <c r="C29" t="s">
        <v>511</v>
      </c>
      <c r="D29" t="s">
        <v>512</v>
      </c>
      <c r="E29" t="s">
        <v>509</v>
      </c>
      <c r="F29" t="s">
        <v>474</v>
      </c>
      <c r="G29" t="s">
        <v>470</v>
      </c>
      <c r="H29" t="s">
        <v>475</v>
      </c>
      <c r="I29">
        <v>575021.88</v>
      </c>
    </row>
    <row r="30" spans="1:9">
      <c r="A30" s="90" t="s">
        <v>216</v>
      </c>
      <c r="B30" s="87">
        <v>45685</v>
      </c>
      <c r="C30" t="s">
        <v>511</v>
      </c>
      <c r="D30" t="s">
        <v>512</v>
      </c>
      <c r="E30" t="s">
        <v>509</v>
      </c>
      <c r="F30" t="s">
        <v>474</v>
      </c>
      <c r="G30" t="s">
        <v>470</v>
      </c>
      <c r="H30" t="s">
        <v>475</v>
      </c>
      <c r="I30">
        <v>492266.16</v>
      </c>
    </row>
    <row r="31" spans="1:9">
      <c r="A31" s="90" t="s">
        <v>216</v>
      </c>
      <c r="B31" s="87">
        <v>45686</v>
      </c>
      <c r="C31" t="s">
        <v>511</v>
      </c>
      <c r="D31" t="s">
        <v>512</v>
      </c>
      <c r="E31" t="s">
        <v>509</v>
      </c>
      <c r="F31" t="s">
        <v>474</v>
      </c>
      <c r="G31" t="s">
        <v>470</v>
      </c>
      <c r="H31" t="s">
        <v>475</v>
      </c>
      <c r="I31">
        <v>364</v>
      </c>
    </row>
    <row r="32" spans="1:9">
      <c r="A32" s="90" t="s">
        <v>216</v>
      </c>
      <c r="B32" s="87">
        <v>45687</v>
      </c>
      <c r="C32" t="s">
        <v>511</v>
      </c>
      <c r="D32" t="s">
        <v>512</v>
      </c>
      <c r="E32" t="s">
        <v>509</v>
      </c>
      <c r="F32" t="s">
        <v>474</v>
      </c>
      <c r="G32" t="s">
        <v>470</v>
      </c>
      <c r="H32" t="s">
        <v>475</v>
      </c>
      <c r="I32">
        <v>302338.55</v>
      </c>
    </row>
    <row r="33" spans="1:9">
      <c r="A33" s="90" t="s">
        <v>216</v>
      </c>
      <c r="B33" s="87">
        <v>45688</v>
      </c>
      <c r="C33" t="s">
        <v>521</v>
      </c>
      <c r="D33" t="s">
        <v>522</v>
      </c>
      <c r="E33" t="s">
        <v>523</v>
      </c>
      <c r="F33" t="s">
        <v>490</v>
      </c>
      <c r="G33" t="s">
        <v>470</v>
      </c>
      <c r="H33" t="s">
        <v>487</v>
      </c>
      <c r="I33">
        <v>50000</v>
      </c>
    </row>
    <row r="34" spans="1:9">
      <c r="A34" s="90" t="s">
        <v>216</v>
      </c>
      <c r="B34" s="87">
        <v>45688</v>
      </c>
      <c r="C34" t="s">
        <v>521</v>
      </c>
      <c r="D34" t="s">
        <v>522</v>
      </c>
      <c r="E34" t="s">
        <v>523</v>
      </c>
      <c r="F34" t="s">
        <v>490</v>
      </c>
      <c r="G34" t="s">
        <v>470</v>
      </c>
      <c r="H34" t="s">
        <v>487</v>
      </c>
      <c r="I34">
        <v>6640</v>
      </c>
    </row>
    <row r="35" spans="1:9">
      <c r="A35" s="90" t="s">
        <v>216</v>
      </c>
      <c r="B35" s="87">
        <v>45688</v>
      </c>
      <c r="C35" t="s">
        <v>517</v>
      </c>
      <c r="D35" t="s">
        <v>512</v>
      </c>
      <c r="E35" t="s">
        <v>509</v>
      </c>
      <c r="F35" t="s">
        <v>474</v>
      </c>
      <c r="G35" t="s">
        <v>470</v>
      </c>
      <c r="H35" t="s">
        <v>475</v>
      </c>
      <c r="I35">
        <v>14140.45</v>
      </c>
    </row>
    <row r="36" spans="1:9">
      <c r="A36" s="90" t="s">
        <v>216</v>
      </c>
      <c r="B36" s="87">
        <v>45688</v>
      </c>
      <c r="C36" t="s">
        <v>524</v>
      </c>
      <c r="D36" t="s">
        <v>477</v>
      </c>
      <c r="E36" t="s">
        <v>509</v>
      </c>
      <c r="F36" t="s">
        <v>525</v>
      </c>
      <c r="G36" t="s">
        <v>470</v>
      </c>
      <c r="H36" t="s">
        <v>516</v>
      </c>
      <c r="I36">
        <v>16418.95</v>
      </c>
    </row>
    <row r="37" spans="1:9">
      <c r="A37" s="90" t="s">
        <v>216</v>
      </c>
      <c r="B37" s="87">
        <v>45688</v>
      </c>
      <c r="C37" t="s">
        <v>524</v>
      </c>
      <c r="D37" t="s">
        <v>477</v>
      </c>
      <c r="E37" t="s">
        <v>509</v>
      </c>
      <c r="F37" t="s">
        <v>525</v>
      </c>
      <c r="G37" t="s">
        <v>470</v>
      </c>
      <c r="H37" t="s">
        <v>516</v>
      </c>
      <c r="I37">
        <v>134.12</v>
      </c>
    </row>
    <row r="38" spans="1:9">
      <c r="A38" s="90" t="s">
        <v>216</v>
      </c>
      <c r="B38" s="87">
        <v>45689</v>
      </c>
      <c r="C38" t="s">
        <v>526</v>
      </c>
      <c r="D38" t="s">
        <v>512</v>
      </c>
      <c r="E38" t="s">
        <v>527</v>
      </c>
      <c r="F38" t="s">
        <v>474</v>
      </c>
      <c r="G38" t="s">
        <v>470</v>
      </c>
      <c r="H38" t="s">
        <v>475</v>
      </c>
      <c r="I38">
        <v>0.01</v>
      </c>
    </row>
    <row r="39" spans="1:9">
      <c r="A39" s="90" t="s">
        <v>216</v>
      </c>
      <c r="B39" s="87">
        <v>45691</v>
      </c>
      <c r="C39" t="s">
        <v>507</v>
      </c>
      <c r="D39" t="s">
        <v>508</v>
      </c>
      <c r="E39" t="s">
        <v>527</v>
      </c>
      <c r="F39" t="s">
        <v>510</v>
      </c>
      <c r="G39" t="s">
        <v>470</v>
      </c>
      <c r="H39" t="s">
        <v>516</v>
      </c>
      <c r="I39">
        <v>14493.44</v>
      </c>
    </row>
    <row r="40" spans="1:9">
      <c r="A40" s="90" t="s">
        <v>216</v>
      </c>
      <c r="B40" s="87">
        <v>45691</v>
      </c>
      <c r="C40" t="s">
        <v>528</v>
      </c>
      <c r="D40" t="s">
        <v>508</v>
      </c>
      <c r="E40" t="s">
        <v>527</v>
      </c>
      <c r="F40" t="s">
        <v>529</v>
      </c>
      <c r="G40" t="s">
        <v>470</v>
      </c>
      <c r="H40" t="s">
        <v>516</v>
      </c>
      <c r="I40">
        <v>400000</v>
      </c>
    </row>
    <row r="41" spans="1:9">
      <c r="A41" s="90" t="s">
        <v>216</v>
      </c>
      <c r="B41" s="87">
        <v>45691</v>
      </c>
      <c r="C41" t="s">
        <v>517</v>
      </c>
      <c r="D41" t="s">
        <v>512</v>
      </c>
      <c r="E41" t="s">
        <v>527</v>
      </c>
      <c r="F41" t="s">
        <v>474</v>
      </c>
      <c r="G41" t="s">
        <v>470</v>
      </c>
      <c r="H41" t="s">
        <v>475</v>
      </c>
      <c r="I41">
        <v>399351.99</v>
      </c>
    </row>
    <row r="42" spans="1:9">
      <c r="A42" s="90" t="s">
        <v>216</v>
      </c>
      <c r="B42" s="87">
        <v>45691</v>
      </c>
      <c r="C42" t="s">
        <v>511</v>
      </c>
      <c r="D42" t="s">
        <v>512</v>
      </c>
      <c r="E42" t="s">
        <v>527</v>
      </c>
      <c r="F42" t="s">
        <v>474</v>
      </c>
      <c r="G42" t="s">
        <v>470</v>
      </c>
      <c r="H42" t="s">
        <v>475</v>
      </c>
      <c r="I42">
        <v>244005.38</v>
      </c>
    </row>
    <row r="43" spans="1:9">
      <c r="A43" s="90" t="s">
        <v>216</v>
      </c>
      <c r="B43" s="87">
        <v>45692</v>
      </c>
      <c r="C43" t="s">
        <v>511</v>
      </c>
      <c r="D43" t="s">
        <v>512</v>
      </c>
      <c r="E43" t="s">
        <v>527</v>
      </c>
      <c r="F43" t="s">
        <v>474</v>
      </c>
      <c r="G43" t="s">
        <v>470</v>
      </c>
      <c r="H43" t="s">
        <v>475</v>
      </c>
      <c r="I43">
        <v>403788</v>
      </c>
    </row>
    <row r="44" spans="1:9">
      <c r="A44" s="90" t="s">
        <v>216</v>
      </c>
      <c r="B44" s="87">
        <v>45693</v>
      </c>
      <c r="C44" t="s">
        <v>511</v>
      </c>
      <c r="D44" t="s">
        <v>512</v>
      </c>
      <c r="E44" t="s">
        <v>527</v>
      </c>
      <c r="F44" t="s">
        <v>474</v>
      </c>
      <c r="G44" t="s">
        <v>470</v>
      </c>
      <c r="H44" t="s">
        <v>475</v>
      </c>
      <c r="I44">
        <v>9705.26</v>
      </c>
    </row>
    <row r="45" spans="1:9">
      <c r="A45" s="90" t="s">
        <v>216</v>
      </c>
      <c r="B45" s="87">
        <v>45693</v>
      </c>
      <c r="C45" t="s">
        <v>511</v>
      </c>
      <c r="D45" t="s">
        <v>512</v>
      </c>
      <c r="E45" t="s">
        <v>527</v>
      </c>
      <c r="F45" t="s">
        <v>474</v>
      </c>
      <c r="G45" t="s">
        <v>470</v>
      </c>
      <c r="H45" t="s">
        <v>475</v>
      </c>
      <c r="I45">
        <v>2102.11</v>
      </c>
    </row>
    <row r="46" spans="1:9">
      <c r="A46" s="90" t="s">
        <v>216</v>
      </c>
      <c r="B46" s="87">
        <v>45695</v>
      </c>
      <c r="C46" t="s">
        <v>530</v>
      </c>
      <c r="D46" t="s">
        <v>522</v>
      </c>
      <c r="E46" t="s">
        <v>531</v>
      </c>
      <c r="F46" t="s">
        <v>490</v>
      </c>
      <c r="G46" t="s">
        <v>470</v>
      </c>
      <c r="H46" t="s">
        <v>475</v>
      </c>
      <c r="I46">
        <v>56004</v>
      </c>
    </row>
    <row r="47" spans="1:9">
      <c r="A47" s="90" t="s">
        <v>216</v>
      </c>
      <c r="B47" s="87">
        <v>45695</v>
      </c>
      <c r="C47" t="s">
        <v>517</v>
      </c>
      <c r="D47" t="s">
        <v>512</v>
      </c>
      <c r="E47" t="s">
        <v>527</v>
      </c>
      <c r="F47" t="s">
        <v>474</v>
      </c>
      <c r="G47" t="s">
        <v>470</v>
      </c>
      <c r="H47" t="s">
        <v>475</v>
      </c>
      <c r="I47">
        <v>56004</v>
      </c>
    </row>
    <row r="48" spans="1:9">
      <c r="A48" s="90" t="s">
        <v>216</v>
      </c>
      <c r="B48" s="87">
        <v>45698</v>
      </c>
      <c r="C48" t="s">
        <v>511</v>
      </c>
      <c r="D48" t="s">
        <v>512</v>
      </c>
      <c r="E48" t="s">
        <v>527</v>
      </c>
      <c r="F48" t="s">
        <v>474</v>
      </c>
      <c r="G48" t="s">
        <v>470</v>
      </c>
      <c r="H48" t="s">
        <v>475</v>
      </c>
      <c r="I48">
        <v>39966.959999999999</v>
      </c>
    </row>
    <row r="49" spans="1:9">
      <c r="A49" s="90" t="s">
        <v>216</v>
      </c>
      <c r="B49" s="87">
        <v>45699</v>
      </c>
      <c r="C49" t="s">
        <v>511</v>
      </c>
      <c r="D49" t="s">
        <v>512</v>
      </c>
      <c r="E49" t="s">
        <v>527</v>
      </c>
      <c r="F49" t="s">
        <v>474</v>
      </c>
      <c r="G49" t="s">
        <v>470</v>
      </c>
      <c r="H49" t="s">
        <v>475</v>
      </c>
      <c r="I49">
        <v>1389.9</v>
      </c>
    </row>
    <row r="50" spans="1:9">
      <c r="A50" s="90" t="s">
        <v>216</v>
      </c>
      <c r="B50" s="87">
        <v>45701</v>
      </c>
      <c r="C50" t="s">
        <v>532</v>
      </c>
      <c r="D50" t="s">
        <v>522</v>
      </c>
      <c r="E50" t="s">
        <v>533</v>
      </c>
      <c r="F50" t="s">
        <v>490</v>
      </c>
      <c r="G50" t="s">
        <v>470</v>
      </c>
      <c r="H50" t="s">
        <v>487</v>
      </c>
      <c r="I50">
        <v>45636</v>
      </c>
    </row>
    <row r="51" spans="1:9">
      <c r="A51" s="90" t="s">
        <v>216</v>
      </c>
      <c r="B51" s="87">
        <v>45701</v>
      </c>
      <c r="C51" t="s">
        <v>517</v>
      </c>
      <c r="D51" t="s">
        <v>512</v>
      </c>
      <c r="E51" t="s">
        <v>527</v>
      </c>
      <c r="F51" t="s">
        <v>474</v>
      </c>
      <c r="G51" t="s">
        <v>470</v>
      </c>
      <c r="H51" t="s">
        <v>475</v>
      </c>
      <c r="I51">
        <v>45636</v>
      </c>
    </row>
    <row r="52" spans="1:9">
      <c r="A52" s="90" t="s">
        <v>216</v>
      </c>
      <c r="B52" s="87">
        <v>45702</v>
      </c>
      <c r="C52" t="s">
        <v>511</v>
      </c>
      <c r="D52" t="s">
        <v>512</v>
      </c>
      <c r="E52" t="s">
        <v>527</v>
      </c>
      <c r="F52" t="s">
        <v>474</v>
      </c>
      <c r="G52" t="s">
        <v>470</v>
      </c>
      <c r="H52" t="s">
        <v>475</v>
      </c>
      <c r="I52">
        <v>102.75</v>
      </c>
    </row>
    <row r="53" spans="1:9">
      <c r="A53" s="90" t="s">
        <v>216</v>
      </c>
      <c r="B53" s="87">
        <v>45705</v>
      </c>
      <c r="C53" t="s">
        <v>511</v>
      </c>
      <c r="D53" t="s">
        <v>512</v>
      </c>
      <c r="E53" t="s">
        <v>527</v>
      </c>
      <c r="F53" t="s">
        <v>474</v>
      </c>
      <c r="G53" t="s">
        <v>470</v>
      </c>
      <c r="H53" t="s">
        <v>475</v>
      </c>
      <c r="I53">
        <v>60182.21</v>
      </c>
    </row>
    <row r="54" spans="1:9">
      <c r="A54" s="90" t="s">
        <v>216</v>
      </c>
      <c r="B54" s="87">
        <v>45705</v>
      </c>
      <c r="C54" t="s">
        <v>511</v>
      </c>
      <c r="D54" t="s">
        <v>512</v>
      </c>
      <c r="E54" t="s">
        <v>527</v>
      </c>
      <c r="F54" t="s">
        <v>474</v>
      </c>
      <c r="G54" t="s">
        <v>470</v>
      </c>
      <c r="H54" t="s">
        <v>475</v>
      </c>
      <c r="I54">
        <v>319952.73</v>
      </c>
    </row>
    <row r="55" spans="1:9">
      <c r="A55" s="90" t="s">
        <v>216</v>
      </c>
      <c r="B55" s="87">
        <v>45708</v>
      </c>
      <c r="C55" t="s">
        <v>534</v>
      </c>
      <c r="D55" t="s">
        <v>535</v>
      </c>
      <c r="E55" t="s">
        <v>536</v>
      </c>
      <c r="F55" t="s">
        <v>537</v>
      </c>
      <c r="G55" t="s">
        <v>470</v>
      </c>
      <c r="H55" t="s">
        <v>475</v>
      </c>
      <c r="I55">
        <v>400000</v>
      </c>
    </row>
    <row r="56" spans="1:9">
      <c r="A56" s="90" t="s">
        <v>216</v>
      </c>
      <c r="B56" s="87">
        <v>45708</v>
      </c>
      <c r="C56" t="s">
        <v>538</v>
      </c>
      <c r="D56" t="s">
        <v>535</v>
      </c>
      <c r="E56" t="s">
        <v>539</v>
      </c>
      <c r="F56" t="s">
        <v>537</v>
      </c>
      <c r="G56" t="s">
        <v>470</v>
      </c>
      <c r="H56" t="s">
        <v>540</v>
      </c>
      <c r="I56">
        <v>1550000</v>
      </c>
    </row>
    <row r="57" spans="1:9">
      <c r="A57" s="90" t="s">
        <v>216</v>
      </c>
      <c r="B57" s="87">
        <v>45708</v>
      </c>
      <c r="C57" t="s">
        <v>517</v>
      </c>
      <c r="D57" t="s">
        <v>512</v>
      </c>
      <c r="E57" t="s">
        <v>527</v>
      </c>
      <c r="F57" t="s">
        <v>474</v>
      </c>
      <c r="G57" t="s">
        <v>470</v>
      </c>
      <c r="H57" t="s">
        <v>475</v>
      </c>
      <c r="I57">
        <v>1550000</v>
      </c>
    </row>
    <row r="58" spans="1:9">
      <c r="A58" s="90" t="s">
        <v>216</v>
      </c>
      <c r="B58" s="87">
        <v>45708</v>
      </c>
      <c r="C58" t="s">
        <v>517</v>
      </c>
      <c r="D58" t="s">
        <v>512</v>
      </c>
      <c r="E58" t="s">
        <v>527</v>
      </c>
      <c r="F58" t="s">
        <v>474</v>
      </c>
      <c r="G58" t="s">
        <v>470</v>
      </c>
      <c r="H58" t="s">
        <v>475</v>
      </c>
      <c r="I58">
        <v>77209.179999999993</v>
      </c>
    </row>
    <row r="59" spans="1:9">
      <c r="A59" s="90" t="s">
        <v>216</v>
      </c>
      <c r="B59" s="87">
        <v>45712</v>
      </c>
      <c r="C59" t="s">
        <v>541</v>
      </c>
      <c r="D59" t="s">
        <v>542</v>
      </c>
      <c r="E59" t="s">
        <v>543</v>
      </c>
      <c r="F59" t="s">
        <v>490</v>
      </c>
      <c r="G59" t="s">
        <v>470</v>
      </c>
      <c r="H59" t="s">
        <v>475</v>
      </c>
      <c r="I59">
        <v>659.5</v>
      </c>
    </row>
    <row r="60" spans="1:9">
      <c r="A60" s="90" t="s">
        <v>216</v>
      </c>
      <c r="B60" s="87">
        <v>45713</v>
      </c>
      <c r="C60" t="s">
        <v>511</v>
      </c>
      <c r="D60" t="s">
        <v>512</v>
      </c>
      <c r="E60" t="s">
        <v>527</v>
      </c>
      <c r="F60" t="s">
        <v>474</v>
      </c>
      <c r="G60" t="s">
        <v>470</v>
      </c>
      <c r="H60" t="s">
        <v>475</v>
      </c>
      <c r="I60">
        <v>71.3</v>
      </c>
    </row>
    <row r="61" spans="1:9">
      <c r="A61" s="90" t="s">
        <v>216</v>
      </c>
      <c r="B61" s="87">
        <v>45714</v>
      </c>
      <c r="C61" t="s">
        <v>511</v>
      </c>
      <c r="D61" t="s">
        <v>512</v>
      </c>
      <c r="E61" t="s">
        <v>527</v>
      </c>
      <c r="F61" t="s">
        <v>474</v>
      </c>
      <c r="G61" t="s">
        <v>470</v>
      </c>
      <c r="H61" t="s">
        <v>475</v>
      </c>
      <c r="I61">
        <v>43183.97</v>
      </c>
    </row>
    <row r="62" spans="1:9">
      <c r="A62" s="90" t="s">
        <v>216</v>
      </c>
      <c r="B62" s="87">
        <v>45715</v>
      </c>
      <c r="C62" t="s">
        <v>544</v>
      </c>
      <c r="D62" t="s">
        <v>512</v>
      </c>
      <c r="E62" t="s">
        <v>527</v>
      </c>
      <c r="F62" t="s">
        <v>474</v>
      </c>
      <c r="G62" t="s">
        <v>470</v>
      </c>
      <c r="H62" t="s">
        <v>475</v>
      </c>
      <c r="I62">
        <v>30000</v>
      </c>
    </row>
    <row r="63" spans="1:9">
      <c r="A63" s="90" t="s">
        <v>216</v>
      </c>
      <c r="B63" s="87">
        <v>45715</v>
      </c>
      <c r="C63" t="s">
        <v>511</v>
      </c>
      <c r="D63" t="s">
        <v>512</v>
      </c>
      <c r="E63" t="s">
        <v>527</v>
      </c>
      <c r="F63" t="s">
        <v>474</v>
      </c>
      <c r="G63" t="s">
        <v>470</v>
      </c>
      <c r="H63" t="s">
        <v>475</v>
      </c>
      <c r="I63">
        <v>32344.93</v>
      </c>
    </row>
    <row r="64" spans="1:9">
      <c r="A64" s="90" t="s">
        <v>216</v>
      </c>
      <c r="B64" s="87">
        <v>45716</v>
      </c>
      <c r="C64" t="s">
        <v>526</v>
      </c>
      <c r="D64" t="s">
        <v>512</v>
      </c>
      <c r="E64" t="s">
        <v>527</v>
      </c>
      <c r="F64" t="s">
        <v>474</v>
      </c>
      <c r="G64" t="s">
        <v>470</v>
      </c>
      <c r="H64" t="s">
        <v>475</v>
      </c>
      <c r="I64">
        <v>0.01</v>
      </c>
    </row>
    <row r="65" spans="1:9">
      <c r="A65" s="90" t="s">
        <v>216</v>
      </c>
      <c r="B65" s="87">
        <v>45716</v>
      </c>
      <c r="C65" t="s">
        <v>511</v>
      </c>
      <c r="D65" t="s">
        <v>512</v>
      </c>
      <c r="E65" t="s">
        <v>527</v>
      </c>
      <c r="F65" t="s">
        <v>474</v>
      </c>
      <c r="G65" t="s">
        <v>470</v>
      </c>
      <c r="H65" t="s">
        <v>475</v>
      </c>
      <c r="I65">
        <v>1611.91</v>
      </c>
    </row>
    <row r="66" spans="1:9">
      <c r="A66" s="90" t="s">
        <v>216</v>
      </c>
      <c r="B66" s="87">
        <v>45716</v>
      </c>
      <c r="C66" t="s">
        <v>511</v>
      </c>
      <c r="D66" t="s">
        <v>512</v>
      </c>
      <c r="E66" t="s">
        <v>527</v>
      </c>
      <c r="F66" t="s">
        <v>474</v>
      </c>
      <c r="G66" t="s">
        <v>470</v>
      </c>
      <c r="H66" t="s">
        <v>475</v>
      </c>
      <c r="I66">
        <v>306907.62</v>
      </c>
    </row>
    <row r="67" spans="1:9">
      <c r="A67" s="90" t="s">
        <v>216</v>
      </c>
      <c r="B67" s="87">
        <v>45716</v>
      </c>
      <c r="C67" t="s">
        <v>524</v>
      </c>
      <c r="D67" t="s">
        <v>477</v>
      </c>
      <c r="E67" t="s">
        <v>527</v>
      </c>
      <c r="F67" t="s">
        <v>525</v>
      </c>
      <c r="G67" t="s">
        <v>470</v>
      </c>
      <c r="H67" t="s">
        <v>516</v>
      </c>
      <c r="I67">
        <v>7644.74</v>
      </c>
    </row>
    <row r="68" spans="1:9">
      <c r="A68" s="90" t="s">
        <v>216</v>
      </c>
      <c r="B68" s="87">
        <v>45716</v>
      </c>
      <c r="C68" t="s">
        <v>524</v>
      </c>
      <c r="D68" t="s">
        <v>477</v>
      </c>
      <c r="E68" t="s">
        <v>527</v>
      </c>
      <c r="F68" t="s">
        <v>525</v>
      </c>
      <c r="G68" t="s">
        <v>470</v>
      </c>
      <c r="H68" t="s">
        <v>516</v>
      </c>
      <c r="I68">
        <v>49.15</v>
      </c>
    </row>
    <row r="69" spans="1:9">
      <c r="A69" s="90" t="s">
        <v>216</v>
      </c>
      <c r="B69" s="87">
        <v>45721</v>
      </c>
      <c r="C69" t="s">
        <v>507</v>
      </c>
      <c r="D69" t="s">
        <v>508</v>
      </c>
      <c r="E69" t="s">
        <v>527</v>
      </c>
      <c r="F69" t="s">
        <v>510</v>
      </c>
      <c r="G69" t="s">
        <v>470</v>
      </c>
      <c r="H69" t="s">
        <v>487</v>
      </c>
      <c r="I69">
        <v>14086.28</v>
      </c>
    </row>
    <row r="70" spans="1:9">
      <c r="A70" s="90" t="s">
        <v>216</v>
      </c>
      <c r="B70" s="87">
        <v>45721</v>
      </c>
      <c r="C70" t="s">
        <v>511</v>
      </c>
      <c r="D70" t="s">
        <v>512</v>
      </c>
      <c r="E70" t="s">
        <v>468</v>
      </c>
      <c r="F70" t="s">
        <v>474</v>
      </c>
      <c r="G70" t="s">
        <v>470</v>
      </c>
      <c r="H70" t="s">
        <v>475</v>
      </c>
      <c r="I70">
        <v>29187.99</v>
      </c>
    </row>
    <row r="71" spans="1:9">
      <c r="A71" s="90" t="s">
        <v>216</v>
      </c>
      <c r="B71" s="87">
        <v>45723</v>
      </c>
      <c r="C71" t="s">
        <v>511</v>
      </c>
      <c r="D71" t="s">
        <v>512</v>
      </c>
      <c r="E71" t="s">
        <v>468</v>
      </c>
      <c r="F71" t="s">
        <v>474</v>
      </c>
      <c r="G71" t="s">
        <v>470</v>
      </c>
      <c r="H71" t="s">
        <v>475</v>
      </c>
      <c r="I71">
        <v>1470.31</v>
      </c>
    </row>
    <row r="72" spans="1:9">
      <c r="A72" s="90" t="s">
        <v>216</v>
      </c>
      <c r="B72" s="87">
        <v>45726</v>
      </c>
      <c r="C72" t="s">
        <v>511</v>
      </c>
      <c r="D72" t="s">
        <v>512</v>
      </c>
      <c r="E72" t="s">
        <v>468</v>
      </c>
      <c r="F72" t="s">
        <v>474</v>
      </c>
      <c r="G72" t="s">
        <v>470</v>
      </c>
      <c r="H72" t="s">
        <v>475</v>
      </c>
      <c r="I72">
        <v>36457.629999999997</v>
      </c>
    </row>
    <row r="73" spans="1:9">
      <c r="A73" s="90" t="s">
        <v>216</v>
      </c>
      <c r="B73" s="87">
        <v>45727</v>
      </c>
      <c r="C73" t="s">
        <v>545</v>
      </c>
      <c r="D73" t="s">
        <v>546</v>
      </c>
      <c r="E73" t="s">
        <v>547</v>
      </c>
      <c r="F73" t="s">
        <v>490</v>
      </c>
      <c r="G73" t="s">
        <v>470</v>
      </c>
      <c r="H73" t="s">
        <v>540</v>
      </c>
      <c r="I73">
        <v>87347.75</v>
      </c>
    </row>
    <row r="74" spans="1:9">
      <c r="A74" s="90" t="s">
        <v>216</v>
      </c>
      <c r="B74" s="87">
        <v>45727</v>
      </c>
      <c r="C74" t="s">
        <v>548</v>
      </c>
      <c r="D74" t="s">
        <v>546</v>
      </c>
      <c r="E74" t="s">
        <v>549</v>
      </c>
      <c r="F74" t="s">
        <v>490</v>
      </c>
      <c r="G74" t="s">
        <v>470</v>
      </c>
      <c r="H74" t="s">
        <v>540</v>
      </c>
      <c r="I74">
        <v>83815.5</v>
      </c>
    </row>
    <row r="75" spans="1:9">
      <c r="A75" s="90" t="s">
        <v>216</v>
      </c>
      <c r="B75" s="87">
        <v>45727</v>
      </c>
      <c r="C75" t="s">
        <v>550</v>
      </c>
      <c r="D75" t="s">
        <v>546</v>
      </c>
      <c r="E75" t="s">
        <v>551</v>
      </c>
      <c r="F75" t="s">
        <v>490</v>
      </c>
      <c r="G75" t="s">
        <v>470</v>
      </c>
      <c r="H75" t="s">
        <v>540</v>
      </c>
      <c r="I75">
        <v>82999</v>
      </c>
    </row>
    <row r="76" spans="1:9">
      <c r="A76" s="90" t="s">
        <v>216</v>
      </c>
      <c r="B76" s="87">
        <v>45727</v>
      </c>
      <c r="C76" t="s">
        <v>552</v>
      </c>
      <c r="D76" t="s">
        <v>546</v>
      </c>
      <c r="E76" t="s">
        <v>553</v>
      </c>
      <c r="F76" t="s">
        <v>490</v>
      </c>
      <c r="G76" t="s">
        <v>470</v>
      </c>
      <c r="H76" t="s">
        <v>540</v>
      </c>
      <c r="I76">
        <v>88856.5</v>
      </c>
    </row>
    <row r="77" spans="1:9">
      <c r="A77" s="90" t="s">
        <v>216</v>
      </c>
      <c r="B77" s="87">
        <v>45727</v>
      </c>
      <c r="C77" t="s">
        <v>554</v>
      </c>
      <c r="D77" t="s">
        <v>546</v>
      </c>
      <c r="E77" t="s">
        <v>555</v>
      </c>
      <c r="F77" t="s">
        <v>490</v>
      </c>
      <c r="G77" t="s">
        <v>470</v>
      </c>
      <c r="H77" t="s">
        <v>540</v>
      </c>
      <c r="I77">
        <v>83904.25</v>
      </c>
    </row>
    <row r="78" spans="1:9">
      <c r="A78" s="90" t="s">
        <v>216</v>
      </c>
      <c r="B78" s="87">
        <v>45727</v>
      </c>
      <c r="C78" t="s">
        <v>556</v>
      </c>
      <c r="D78" t="s">
        <v>546</v>
      </c>
      <c r="E78" t="s">
        <v>557</v>
      </c>
      <c r="F78" t="s">
        <v>490</v>
      </c>
      <c r="G78" t="s">
        <v>470</v>
      </c>
      <c r="H78" t="s">
        <v>540</v>
      </c>
      <c r="I78">
        <v>84046.25</v>
      </c>
    </row>
    <row r="79" spans="1:9">
      <c r="A79" s="90" t="s">
        <v>216</v>
      </c>
      <c r="B79" s="87">
        <v>45727</v>
      </c>
      <c r="C79" t="s">
        <v>558</v>
      </c>
      <c r="D79" t="s">
        <v>546</v>
      </c>
      <c r="E79" t="s">
        <v>559</v>
      </c>
      <c r="F79" t="s">
        <v>490</v>
      </c>
      <c r="G79" t="s">
        <v>470</v>
      </c>
      <c r="H79" t="s">
        <v>540</v>
      </c>
      <c r="I79">
        <v>61566.42</v>
      </c>
    </row>
    <row r="80" spans="1:9">
      <c r="A80" s="90" t="s">
        <v>216</v>
      </c>
      <c r="B80" s="87">
        <v>45727</v>
      </c>
      <c r="C80" t="s">
        <v>517</v>
      </c>
      <c r="D80" t="s">
        <v>512</v>
      </c>
      <c r="E80" t="s">
        <v>468</v>
      </c>
      <c r="F80" t="s">
        <v>474</v>
      </c>
      <c r="G80" t="s">
        <v>470</v>
      </c>
      <c r="H80" t="s">
        <v>475</v>
      </c>
      <c r="I80">
        <v>572535.67000000004</v>
      </c>
    </row>
    <row r="81" spans="1:9">
      <c r="A81" s="90" t="s">
        <v>216</v>
      </c>
      <c r="B81" s="87">
        <v>45728</v>
      </c>
      <c r="C81" t="s">
        <v>511</v>
      </c>
      <c r="D81" t="s">
        <v>512</v>
      </c>
      <c r="E81" t="s">
        <v>468</v>
      </c>
      <c r="F81" t="s">
        <v>474</v>
      </c>
      <c r="G81" t="s">
        <v>470</v>
      </c>
      <c r="H81" t="s">
        <v>475</v>
      </c>
      <c r="I81">
        <v>20818.16</v>
      </c>
    </row>
    <row r="82" spans="1:9">
      <c r="A82" s="90" t="s">
        <v>216</v>
      </c>
      <c r="B82" s="87">
        <v>45733</v>
      </c>
      <c r="C82" t="s">
        <v>511</v>
      </c>
      <c r="D82" t="s">
        <v>512</v>
      </c>
      <c r="E82" t="s">
        <v>468</v>
      </c>
      <c r="F82" t="s">
        <v>474</v>
      </c>
      <c r="G82" t="s">
        <v>470</v>
      </c>
      <c r="H82" t="s">
        <v>475</v>
      </c>
      <c r="I82">
        <v>134.94</v>
      </c>
    </row>
    <row r="83" spans="1:9">
      <c r="A83" s="90" t="s">
        <v>216</v>
      </c>
      <c r="B83" s="87">
        <v>45734</v>
      </c>
      <c r="C83" t="s">
        <v>560</v>
      </c>
      <c r="D83" t="s">
        <v>546</v>
      </c>
      <c r="E83" t="s">
        <v>561</v>
      </c>
      <c r="F83" t="s">
        <v>490</v>
      </c>
      <c r="G83" t="s">
        <v>470</v>
      </c>
      <c r="H83" t="s">
        <v>540</v>
      </c>
      <c r="I83">
        <v>58539.5</v>
      </c>
    </row>
    <row r="84" spans="1:9">
      <c r="A84" s="90" t="s">
        <v>216</v>
      </c>
      <c r="B84" s="87">
        <v>45734</v>
      </c>
      <c r="C84" t="s">
        <v>558</v>
      </c>
      <c r="D84" t="s">
        <v>546</v>
      </c>
      <c r="E84" t="s">
        <v>559</v>
      </c>
      <c r="F84" t="s">
        <v>490</v>
      </c>
      <c r="G84" t="s">
        <v>470</v>
      </c>
      <c r="H84" t="s">
        <v>540</v>
      </c>
      <c r="I84">
        <v>7924.83</v>
      </c>
    </row>
    <row r="85" spans="1:9">
      <c r="A85" s="90" t="s">
        <v>216</v>
      </c>
      <c r="B85" s="87">
        <v>45734</v>
      </c>
      <c r="C85" t="s">
        <v>562</v>
      </c>
      <c r="D85" t="s">
        <v>512</v>
      </c>
      <c r="E85" t="s">
        <v>468</v>
      </c>
      <c r="F85" t="s">
        <v>474</v>
      </c>
      <c r="G85" t="s">
        <v>470</v>
      </c>
      <c r="H85" t="s">
        <v>475</v>
      </c>
      <c r="I85">
        <v>66464.33</v>
      </c>
    </row>
    <row r="86" spans="1:9">
      <c r="A86" s="90" t="s">
        <v>216</v>
      </c>
      <c r="B86" s="87">
        <v>45735</v>
      </c>
      <c r="C86" t="s">
        <v>563</v>
      </c>
      <c r="D86" t="s">
        <v>512</v>
      </c>
      <c r="E86" t="s">
        <v>468</v>
      </c>
      <c r="F86" t="s">
        <v>474</v>
      </c>
      <c r="G86" t="s">
        <v>470</v>
      </c>
      <c r="H86" t="s">
        <v>475</v>
      </c>
      <c r="I86">
        <v>46845</v>
      </c>
    </row>
    <row r="87" spans="1:9">
      <c r="A87" s="90" t="s">
        <v>216</v>
      </c>
      <c r="B87" s="87">
        <v>45736</v>
      </c>
      <c r="C87" t="s">
        <v>564</v>
      </c>
      <c r="D87" t="s">
        <v>565</v>
      </c>
      <c r="E87" t="s">
        <v>566</v>
      </c>
      <c r="F87" t="s">
        <v>469</v>
      </c>
      <c r="G87" t="s">
        <v>470</v>
      </c>
      <c r="H87" t="s">
        <v>475</v>
      </c>
      <c r="I87">
        <v>166.2</v>
      </c>
    </row>
    <row r="88" spans="1:9">
      <c r="A88" s="90" t="s">
        <v>216</v>
      </c>
      <c r="B88" s="87">
        <v>45736</v>
      </c>
      <c r="C88" t="s">
        <v>511</v>
      </c>
      <c r="D88" t="s">
        <v>512</v>
      </c>
      <c r="E88" t="s">
        <v>468</v>
      </c>
      <c r="F88" t="s">
        <v>474</v>
      </c>
      <c r="G88" t="s">
        <v>470</v>
      </c>
      <c r="H88" t="s">
        <v>475</v>
      </c>
      <c r="I88">
        <v>165539.06</v>
      </c>
    </row>
    <row r="89" spans="1:9">
      <c r="A89" s="90" t="s">
        <v>216</v>
      </c>
      <c r="B89" s="87">
        <v>45740</v>
      </c>
      <c r="C89" t="s">
        <v>511</v>
      </c>
      <c r="D89" t="s">
        <v>512</v>
      </c>
      <c r="E89" t="s">
        <v>468</v>
      </c>
      <c r="F89" t="s">
        <v>474</v>
      </c>
      <c r="G89" t="s">
        <v>470</v>
      </c>
      <c r="H89" t="s">
        <v>475</v>
      </c>
      <c r="I89">
        <v>123195.44</v>
      </c>
    </row>
    <row r="90" spans="1:9">
      <c r="A90" s="90" t="s">
        <v>216</v>
      </c>
      <c r="B90" s="87">
        <v>45741</v>
      </c>
      <c r="C90" t="s">
        <v>511</v>
      </c>
      <c r="D90" t="s">
        <v>512</v>
      </c>
      <c r="E90" t="s">
        <v>468</v>
      </c>
      <c r="F90" t="s">
        <v>474</v>
      </c>
      <c r="G90" t="s">
        <v>470</v>
      </c>
      <c r="H90" t="s">
        <v>475</v>
      </c>
      <c r="I90">
        <v>9837.8799999999992</v>
      </c>
    </row>
    <row r="91" spans="1:9">
      <c r="A91" s="90" t="s">
        <v>216</v>
      </c>
      <c r="B91" s="87">
        <v>45742</v>
      </c>
      <c r="C91" t="s">
        <v>511</v>
      </c>
      <c r="D91" t="s">
        <v>512</v>
      </c>
      <c r="E91" t="s">
        <v>468</v>
      </c>
      <c r="F91" t="s">
        <v>474</v>
      </c>
      <c r="G91" t="s">
        <v>470</v>
      </c>
      <c r="H91" t="s">
        <v>475</v>
      </c>
      <c r="I91">
        <v>272714.86</v>
      </c>
    </row>
    <row r="92" spans="1:9">
      <c r="A92" s="90" t="s">
        <v>216</v>
      </c>
      <c r="B92" s="87">
        <v>45742</v>
      </c>
      <c r="C92" t="s">
        <v>511</v>
      </c>
      <c r="D92" t="s">
        <v>512</v>
      </c>
      <c r="E92" t="s">
        <v>468</v>
      </c>
      <c r="F92" t="s">
        <v>474</v>
      </c>
      <c r="G92" t="s">
        <v>470</v>
      </c>
      <c r="H92" t="s">
        <v>475</v>
      </c>
      <c r="I92">
        <v>235075.86</v>
      </c>
    </row>
    <row r="93" spans="1:9">
      <c r="A93" s="90" t="s">
        <v>216</v>
      </c>
      <c r="B93" s="87">
        <v>45743</v>
      </c>
      <c r="C93" t="s">
        <v>511</v>
      </c>
      <c r="D93" t="s">
        <v>512</v>
      </c>
      <c r="E93" t="s">
        <v>468</v>
      </c>
      <c r="F93" t="s">
        <v>474</v>
      </c>
      <c r="G93" t="s">
        <v>470</v>
      </c>
      <c r="H93" t="s">
        <v>475</v>
      </c>
      <c r="I93">
        <v>2000</v>
      </c>
    </row>
    <row r="94" spans="1:9">
      <c r="A94" s="90" t="s">
        <v>216</v>
      </c>
      <c r="B94" s="87">
        <v>45744</v>
      </c>
      <c r="C94" t="s">
        <v>511</v>
      </c>
      <c r="D94" t="s">
        <v>512</v>
      </c>
      <c r="E94" t="s">
        <v>468</v>
      </c>
      <c r="F94" t="s">
        <v>474</v>
      </c>
      <c r="G94" t="s">
        <v>470</v>
      </c>
      <c r="H94" t="s">
        <v>475</v>
      </c>
      <c r="I94">
        <v>24611.38</v>
      </c>
    </row>
    <row r="95" spans="1:9">
      <c r="A95" s="90" t="s">
        <v>216</v>
      </c>
      <c r="B95" s="87">
        <v>45747</v>
      </c>
      <c r="C95" t="s">
        <v>567</v>
      </c>
      <c r="D95" t="s">
        <v>480</v>
      </c>
      <c r="E95" t="s">
        <v>468</v>
      </c>
      <c r="F95" t="s">
        <v>568</v>
      </c>
      <c r="G95" t="s">
        <v>470</v>
      </c>
      <c r="H95" t="s">
        <v>487</v>
      </c>
      <c r="I95">
        <v>333333.33</v>
      </c>
    </row>
    <row r="96" spans="1:9">
      <c r="A96" s="90" t="s">
        <v>216</v>
      </c>
      <c r="B96" s="87">
        <v>45747</v>
      </c>
      <c r="C96" t="s">
        <v>511</v>
      </c>
      <c r="D96" t="s">
        <v>512</v>
      </c>
      <c r="E96" t="s">
        <v>468</v>
      </c>
      <c r="F96" t="s">
        <v>474</v>
      </c>
      <c r="G96" t="s">
        <v>470</v>
      </c>
      <c r="H96" t="s">
        <v>475</v>
      </c>
      <c r="I96">
        <v>316315.08</v>
      </c>
    </row>
    <row r="97" spans="1:9">
      <c r="A97" s="90" t="s">
        <v>216</v>
      </c>
      <c r="B97" s="87">
        <v>45747</v>
      </c>
      <c r="C97" t="s">
        <v>524</v>
      </c>
      <c r="D97" t="s">
        <v>477</v>
      </c>
      <c r="E97" t="s">
        <v>468</v>
      </c>
      <c r="F97" t="s">
        <v>525</v>
      </c>
      <c r="G97" t="s">
        <v>470</v>
      </c>
      <c r="H97" t="s">
        <v>516</v>
      </c>
      <c r="I97">
        <v>11719.2</v>
      </c>
    </row>
    <row r="98" spans="1:9">
      <c r="A98" s="90" t="s">
        <v>216</v>
      </c>
      <c r="B98" s="87">
        <v>45747</v>
      </c>
      <c r="C98" t="s">
        <v>524</v>
      </c>
      <c r="D98" t="s">
        <v>477</v>
      </c>
      <c r="E98" t="s">
        <v>468</v>
      </c>
      <c r="F98" t="s">
        <v>525</v>
      </c>
      <c r="G98" t="s">
        <v>470</v>
      </c>
      <c r="H98" t="s">
        <v>516</v>
      </c>
      <c r="I98">
        <v>266.39999999999998</v>
      </c>
    </row>
    <row r="99" spans="1:9">
      <c r="A99" s="90" t="s">
        <v>216</v>
      </c>
      <c r="B99" s="87">
        <v>45748</v>
      </c>
      <c r="C99" t="s">
        <v>507</v>
      </c>
      <c r="D99" t="s">
        <v>508</v>
      </c>
      <c r="E99" t="s">
        <v>569</v>
      </c>
      <c r="F99" t="s">
        <v>510</v>
      </c>
      <c r="G99" t="s">
        <v>470</v>
      </c>
      <c r="H99" t="s">
        <v>516</v>
      </c>
      <c r="I99">
        <v>14794.94</v>
      </c>
    </row>
    <row r="100" spans="1:9">
      <c r="A100" s="90" t="s">
        <v>216</v>
      </c>
      <c r="B100" s="87">
        <v>45748</v>
      </c>
      <c r="C100" t="s">
        <v>511</v>
      </c>
      <c r="D100" t="s">
        <v>512</v>
      </c>
      <c r="E100" t="s">
        <v>569</v>
      </c>
      <c r="F100" t="s">
        <v>474</v>
      </c>
      <c r="G100" t="s">
        <v>470</v>
      </c>
      <c r="H100" t="s">
        <v>475</v>
      </c>
      <c r="I100">
        <v>648.01</v>
      </c>
    </row>
    <row r="101" spans="1:9">
      <c r="A101" s="90" t="s">
        <v>216</v>
      </c>
      <c r="B101" s="87">
        <v>45750</v>
      </c>
      <c r="C101" t="s">
        <v>511</v>
      </c>
      <c r="D101" t="s">
        <v>512</v>
      </c>
      <c r="E101" t="s">
        <v>569</v>
      </c>
      <c r="F101" t="s">
        <v>474</v>
      </c>
      <c r="G101" t="s">
        <v>470</v>
      </c>
      <c r="H101" t="s">
        <v>475</v>
      </c>
      <c r="I101">
        <v>42932.76</v>
      </c>
    </row>
    <row r="102" spans="1:9">
      <c r="A102" s="90" t="s">
        <v>216</v>
      </c>
      <c r="B102" s="87">
        <v>45751</v>
      </c>
      <c r="C102" t="s">
        <v>570</v>
      </c>
      <c r="D102" t="s">
        <v>571</v>
      </c>
      <c r="E102" t="s">
        <v>572</v>
      </c>
      <c r="F102" t="s">
        <v>490</v>
      </c>
      <c r="G102" t="s">
        <v>470</v>
      </c>
      <c r="H102" t="s">
        <v>540</v>
      </c>
      <c r="I102">
        <v>69388</v>
      </c>
    </row>
    <row r="103" spans="1:9">
      <c r="A103" s="90" t="s">
        <v>216</v>
      </c>
      <c r="B103" s="87">
        <v>45751</v>
      </c>
      <c r="C103" t="s">
        <v>573</v>
      </c>
      <c r="D103" t="s">
        <v>571</v>
      </c>
      <c r="E103" t="s">
        <v>574</v>
      </c>
      <c r="F103" t="s">
        <v>490</v>
      </c>
      <c r="G103" t="s">
        <v>470</v>
      </c>
      <c r="H103" t="s">
        <v>540</v>
      </c>
      <c r="I103">
        <v>86240</v>
      </c>
    </row>
    <row r="104" spans="1:9">
      <c r="A104" s="90" t="s">
        <v>216</v>
      </c>
      <c r="B104" s="87">
        <v>45751</v>
      </c>
      <c r="C104" t="s">
        <v>575</v>
      </c>
      <c r="D104" t="s">
        <v>571</v>
      </c>
      <c r="E104" t="s">
        <v>576</v>
      </c>
      <c r="F104" t="s">
        <v>490</v>
      </c>
      <c r="G104" t="s">
        <v>470</v>
      </c>
      <c r="H104" t="s">
        <v>540</v>
      </c>
      <c r="I104">
        <v>82676</v>
      </c>
    </row>
    <row r="105" spans="1:9">
      <c r="A105" s="90" t="s">
        <v>216</v>
      </c>
      <c r="B105" s="87">
        <v>45751</v>
      </c>
      <c r="C105" t="s">
        <v>577</v>
      </c>
      <c r="D105" t="s">
        <v>571</v>
      </c>
      <c r="E105" t="s">
        <v>578</v>
      </c>
      <c r="F105" t="s">
        <v>490</v>
      </c>
      <c r="G105" t="s">
        <v>470</v>
      </c>
      <c r="H105" t="s">
        <v>540</v>
      </c>
      <c r="I105">
        <v>83204</v>
      </c>
    </row>
    <row r="106" spans="1:9">
      <c r="A106" s="90" t="s">
        <v>216</v>
      </c>
      <c r="B106" s="87">
        <v>45751</v>
      </c>
      <c r="C106" t="s">
        <v>579</v>
      </c>
      <c r="D106" t="s">
        <v>571</v>
      </c>
      <c r="E106" t="s">
        <v>580</v>
      </c>
      <c r="F106" t="s">
        <v>490</v>
      </c>
      <c r="G106" t="s">
        <v>470</v>
      </c>
      <c r="H106" t="s">
        <v>540</v>
      </c>
      <c r="I106">
        <v>106920</v>
      </c>
    </row>
    <row r="107" spans="1:9">
      <c r="A107" s="90" t="s">
        <v>216</v>
      </c>
      <c r="B107" s="87">
        <v>45751</v>
      </c>
      <c r="C107" t="s">
        <v>581</v>
      </c>
      <c r="D107" t="s">
        <v>571</v>
      </c>
      <c r="E107" t="s">
        <v>582</v>
      </c>
      <c r="F107" t="s">
        <v>490</v>
      </c>
      <c r="G107" t="s">
        <v>470</v>
      </c>
      <c r="H107" t="s">
        <v>540</v>
      </c>
      <c r="I107">
        <v>109252</v>
      </c>
    </row>
    <row r="108" spans="1:9">
      <c r="A108" s="90" t="s">
        <v>216</v>
      </c>
      <c r="B108" s="87">
        <v>45751</v>
      </c>
      <c r="C108" t="s">
        <v>517</v>
      </c>
      <c r="D108" t="s">
        <v>512</v>
      </c>
      <c r="E108" t="s">
        <v>569</v>
      </c>
      <c r="F108" t="s">
        <v>474</v>
      </c>
      <c r="G108" t="s">
        <v>470</v>
      </c>
      <c r="H108" t="s">
        <v>475</v>
      </c>
      <c r="I108">
        <v>474950.96</v>
      </c>
    </row>
    <row r="109" spans="1:9">
      <c r="A109" s="90" t="s">
        <v>216</v>
      </c>
      <c r="B109" s="87">
        <v>45754</v>
      </c>
      <c r="C109" t="s">
        <v>511</v>
      </c>
      <c r="D109" t="s">
        <v>512</v>
      </c>
      <c r="E109" t="s">
        <v>569</v>
      </c>
      <c r="F109" t="s">
        <v>474</v>
      </c>
      <c r="G109" t="s">
        <v>470</v>
      </c>
      <c r="H109" t="s">
        <v>475</v>
      </c>
      <c r="I109">
        <v>307526.07</v>
      </c>
    </row>
    <row r="110" spans="1:9">
      <c r="A110" s="90" t="s">
        <v>216</v>
      </c>
      <c r="B110" s="87">
        <v>45755</v>
      </c>
      <c r="C110" t="s">
        <v>511</v>
      </c>
      <c r="D110" t="s">
        <v>512</v>
      </c>
      <c r="E110" t="s">
        <v>569</v>
      </c>
      <c r="F110" t="s">
        <v>474</v>
      </c>
      <c r="G110" t="s">
        <v>470</v>
      </c>
      <c r="H110" t="s">
        <v>475</v>
      </c>
      <c r="I110">
        <v>51612.93</v>
      </c>
    </row>
    <row r="111" spans="1:9">
      <c r="A111" s="90" t="s">
        <v>216</v>
      </c>
      <c r="B111" s="87">
        <v>45757</v>
      </c>
      <c r="C111" t="s">
        <v>511</v>
      </c>
      <c r="D111" t="s">
        <v>512</v>
      </c>
      <c r="E111" t="s">
        <v>569</v>
      </c>
      <c r="F111" t="s">
        <v>474</v>
      </c>
      <c r="G111" t="s">
        <v>470</v>
      </c>
      <c r="H111" t="s">
        <v>475</v>
      </c>
      <c r="I111">
        <v>72590.58</v>
      </c>
    </row>
    <row r="112" spans="1:9">
      <c r="A112" s="90" t="s">
        <v>216</v>
      </c>
      <c r="B112" s="87">
        <v>45758</v>
      </c>
      <c r="C112" t="s">
        <v>583</v>
      </c>
      <c r="D112" t="s">
        <v>571</v>
      </c>
      <c r="E112" t="s">
        <v>584</v>
      </c>
      <c r="F112" t="s">
        <v>490</v>
      </c>
      <c r="G112" t="s">
        <v>470</v>
      </c>
      <c r="H112" t="s">
        <v>540</v>
      </c>
      <c r="I112">
        <v>105952</v>
      </c>
    </row>
    <row r="113" spans="1:9">
      <c r="A113" s="90" t="s">
        <v>216</v>
      </c>
      <c r="B113" s="87">
        <v>45758</v>
      </c>
      <c r="C113" t="s">
        <v>585</v>
      </c>
      <c r="D113" t="s">
        <v>571</v>
      </c>
      <c r="E113" t="s">
        <v>586</v>
      </c>
      <c r="F113" t="s">
        <v>490</v>
      </c>
      <c r="G113" t="s">
        <v>470</v>
      </c>
      <c r="H113" t="s">
        <v>540</v>
      </c>
      <c r="I113">
        <v>78848</v>
      </c>
    </row>
    <row r="114" spans="1:9">
      <c r="A114" s="90" t="s">
        <v>216</v>
      </c>
      <c r="B114" s="87">
        <v>45758</v>
      </c>
      <c r="C114" t="s">
        <v>587</v>
      </c>
      <c r="D114" t="s">
        <v>571</v>
      </c>
      <c r="E114" t="s">
        <v>588</v>
      </c>
      <c r="F114" t="s">
        <v>490</v>
      </c>
      <c r="G114" t="s">
        <v>470</v>
      </c>
      <c r="H114" t="s">
        <v>540</v>
      </c>
      <c r="I114">
        <v>105864</v>
      </c>
    </row>
    <row r="115" spans="1:9">
      <c r="A115" s="90" t="s">
        <v>216</v>
      </c>
      <c r="B115" s="87">
        <v>45758</v>
      </c>
      <c r="C115" t="s">
        <v>589</v>
      </c>
      <c r="D115" t="s">
        <v>571</v>
      </c>
      <c r="E115" t="s">
        <v>590</v>
      </c>
      <c r="F115" t="s">
        <v>490</v>
      </c>
      <c r="G115" t="s">
        <v>470</v>
      </c>
      <c r="H115" t="s">
        <v>540</v>
      </c>
      <c r="I115">
        <v>105732</v>
      </c>
    </row>
    <row r="116" spans="1:9">
      <c r="A116" s="90" t="s">
        <v>216</v>
      </c>
      <c r="B116" s="87">
        <v>45758</v>
      </c>
      <c r="C116" t="s">
        <v>591</v>
      </c>
      <c r="D116" t="s">
        <v>571</v>
      </c>
      <c r="E116" t="s">
        <v>592</v>
      </c>
      <c r="F116" t="s">
        <v>490</v>
      </c>
      <c r="G116" t="s">
        <v>470</v>
      </c>
      <c r="H116" t="s">
        <v>540</v>
      </c>
      <c r="I116">
        <v>105820</v>
      </c>
    </row>
    <row r="117" spans="1:9">
      <c r="A117" s="90" t="s">
        <v>216</v>
      </c>
      <c r="B117" s="87">
        <v>45758</v>
      </c>
      <c r="C117" t="s">
        <v>593</v>
      </c>
      <c r="D117" t="s">
        <v>571</v>
      </c>
      <c r="E117" t="s">
        <v>594</v>
      </c>
      <c r="F117" t="s">
        <v>490</v>
      </c>
      <c r="G117" t="s">
        <v>470</v>
      </c>
      <c r="H117" t="s">
        <v>540</v>
      </c>
      <c r="I117">
        <v>82764</v>
      </c>
    </row>
    <row r="118" spans="1:9">
      <c r="A118" s="90" t="s">
        <v>216</v>
      </c>
      <c r="B118" s="87">
        <v>45758</v>
      </c>
      <c r="C118" t="s">
        <v>595</v>
      </c>
      <c r="D118" t="s">
        <v>571</v>
      </c>
      <c r="E118" t="s">
        <v>596</v>
      </c>
      <c r="F118" t="s">
        <v>490</v>
      </c>
      <c r="G118" t="s">
        <v>470</v>
      </c>
      <c r="H118" t="s">
        <v>540</v>
      </c>
      <c r="I118">
        <v>86812</v>
      </c>
    </row>
    <row r="119" spans="1:9">
      <c r="A119" s="90" t="s">
        <v>216</v>
      </c>
      <c r="B119" s="87">
        <v>45758</v>
      </c>
      <c r="C119" t="s">
        <v>597</v>
      </c>
      <c r="D119" t="s">
        <v>571</v>
      </c>
      <c r="E119" t="s">
        <v>598</v>
      </c>
      <c r="F119" t="s">
        <v>490</v>
      </c>
      <c r="G119" t="s">
        <v>470</v>
      </c>
      <c r="H119" t="s">
        <v>540</v>
      </c>
      <c r="I119">
        <v>105688</v>
      </c>
    </row>
    <row r="120" spans="1:9">
      <c r="A120" s="90" t="s">
        <v>216</v>
      </c>
      <c r="B120" s="87">
        <v>45758</v>
      </c>
      <c r="C120" t="s">
        <v>599</v>
      </c>
      <c r="D120" t="s">
        <v>571</v>
      </c>
      <c r="E120" t="s">
        <v>600</v>
      </c>
      <c r="F120" t="s">
        <v>490</v>
      </c>
      <c r="G120" t="s">
        <v>470</v>
      </c>
      <c r="H120" t="s">
        <v>540</v>
      </c>
      <c r="I120">
        <v>86152</v>
      </c>
    </row>
    <row r="121" spans="1:9">
      <c r="A121" s="90" t="s">
        <v>216</v>
      </c>
      <c r="B121" s="87">
        <v>45758</v>
      </c>
      <c r="C121" t="s">
        <v>601</v>
      </c>
      <c r="D121" t="s">
        <v>571</v>
      </c>
      <c r="E121" t="s">
        <v>602</v>
      </c>
      <c r="F121" t="s">
        <v>490</v>
      </c>
      <c r="G121" t="s">
        <v>470</v>
      </c>
      <c r="H121" t="s">
        <v>540</v>
      </c>
      <c r="I121">
        <v>107448</v>
      </c>
    </row>
    <row r="122" spans="1:9">
      <c r="A122" s="90" t="s">
        <v>216</v>
      </c>
      <c r="B122" s="87">
        <v>45758</v>
      </c>
      <c r="C122" t="s">
        <v>603</v>
      </c>
      <c r="D122" t="s">
        <v>571</v>
      </c>
      <c r="E122" t="s">
        <v>604</v>
      </c>
      <c r="F122" t="s">
        <v>490</v>
      </c>
      <c r="G122" t="s">
        <v>470</v>
      </c>
      <c r="H122" t="s">
        <v>540</v>
      </c>
      <c r="I122">
        <v>103400</v>
      </c>
    </row>
    <row r="123" spans="1:9">
      <c r="A123" s="90" t="s">
        <v>216</v>
      </c>
      <c r="B123" s="87">
        <v>45758</v>
      </c>
      <c r="C123" t="s">
        <v>605</v>
      </c>
      <c r="D123" t="s">
        <v>571</v>
      </c>
      <c r="E123" t="s">
        <v>606</v>
      </c>
      <c r="F123" t="s">
        <v>490</v>
      </c>
      <c r="G123" t="s">
        <v>470</v>
      </c>
      <c r="H123" t="s">
        <v>540</v>
      </c>
      <c r="I123">
        <v>104632</v>
      </c>
    </row>
    <row r="124" spans="1:9">
      <c r="A124" s="90" t="s">
        <v>216</v>
      </c>
      <c r="B124" s="87">
        <v>45758</v>
      </c>
      <c r="C124" t="s">
        <v>607</v>
      </c>
      <c r="D124" t="s">
        <v>571</v>
      </c>
      <c r="E124" t="s">
        <v>608</v>
      </c>
      <c r="F124" t="s">
        <v>490</v>
      </c>
      <c r="G124" t="s">
        <v>470</v>
      </c>
      <c r="H124" t="s">
        <v>540</v>
      </c>
      <c r="I124">
        <v>102740</v>
      </c>
    </row>
    <row r="125" spans="1:9">
      <c r="A125" s="90" t="s">
        <v>216</v>
      </c>
      <c r="B125" s="87">
        <v>45758</v>
      </c>
      <c r="C125" t="s">
        <v>609</v>
      </c>
      <c r="D125" t="s">
        <v>571</v>
      </c>
      <c r="E125" t="s">
        <v>610</v>
      </c>
      <c r="F125" t="s">
        <v>490</v>
      </c>
      <c r="G125" t="s">
        <v>470</v>
      </c>
      <c r="H125" t="s">
        <v>540</v>
      </c>
      <c r="I125">
        <v>86724</v>
      </c>
    </row>
    <row r="126" spans="1:9">
      <c r="A126" s="90" t="s">
        <v>216</v>
      </c>
      <c r="B126" s="87">
        <v>45758</v>
      </c>
      <c r="C126" t="s">
        <v>517</v>
      </c>
      <c r="D126" t="s">
        <v>512</v>
      </c>
      <c r="E126" t="s">
        <v>569</v>
      </c>
      <c r="F126" t="s">
        <v>474</v>
      </c>
      <c r="G126" t="s">
        <v>470</v>
      </c>
      <c r="H126" t="s">
        <v>475</v>
      </c>
      <c r="I126">
        <v>311335.65000000002</v>
      </c>
    </row>
    <row r="127" spans="1:9">
      <c r="A127" s="90" t="s">
        <v>216</v>
      </c>
      <c r="B127" s="87">
        <v>45761</v>
      </c>
      <c r="C127" t="s">
        <v>611</v>
      </c>
      <c r="D127" t="s">
        <v>477</v>
      </c>
      <c r="E127" t="s">
        <v>612</v>
      </c>
      <c r="F127" t="s">
        <v>515</v>
      </c>
      <c r="G127" t="s">
        <v>470</v>
      </c>
      <c r="H127" t="s">
        <v>516</v>
      </c>
      <c r="I127">
        <v>1860000</v>
      </c>
    </row>
    <row r="128" spans="1:9">
      <c r="A128" s="90" t="s">
        <v>216</v>
      </c>
      <c r="B128" s="87">
        <v>45761</v>
      </c>
      <c r="C128" t="s">
        <v>517</v>
      </c>
      <c r="D128" t="s">
        <v>512</v>
      </c>
      <c r="E128" t="s">
        <v>569</v>
      </c>
      <c r="F128" t="s">
        <v>474</v>
      </c>
      <c r="G128" t="s">
        <v>470</v>
      </c>
      <c r="H128" t="s">
        <v>475</v>
      </c>
      <c r="I128">
        <v>583250.1</v>
      </c>
    </row>
    <row r="129" spans="1:9">
      <c r="A129" s="90" t="s">
        <v>216</v>
      </c>
      <c r="B129" s="87">
        <v>45762</v>
      </c>
      <c r="C129" t="s">
        <v>511</v>
      </c>
      <c r="D129" t="s">
        <v>512</v>
      </c>
      <c r="E129" t="s">
        <v>569</v>
      </c>
      <c r="F129" t="s">
        <v>474</v>
      </c>
      <c r="G129" t="s">
        <v>470</v>
      </c>
      <c r="H129" t="s">
        <v>475</v>
      </c>
      <c r="I129">
        <v>7841.05</v>
      </c>
    </row>
    <row r="130" spans="1:9">
      <c r="A130" s="90" t="s">
        <v>216</v>
      </c>
      <c r="B130" s="87">
        <v>45763</v>
      </c>
      <c r="C130" t="s">
        <v>613</v>
      </c>
      <c r="D130" t="s">
        <v>512</v>
      </c>
      <c r="E130" t="s">
        <v>569</v>
      </c>
      <c r="F130" t="s">
        <v>474</v>
      </c>
      <c r="G130" t="s">
        <v>470</v>
      </c>
      <c r="H130" t="s">
        <v>475</v>
      </c>
      <c r="I130">
        <v>100000</v>
      </c>
    </row>
    <row r="131" spans="1:9">
      <c r="A131" s="90" t="s">
        <v>216</v>
      </c>
      <c r="B131" s="87">
        <v>45763</v>
      </c>
      <c r="C131" t="s">
        <v>511</v>
      </c>
      <c r="D131" t="s">
        <v>512</v>
      </c>
      <c r="E131" t="s">
        <v>569</v>
      </c>
      <c r="F131" t="s">
        <v>474</v>
      </c>
      <c r="G131" t="s">
        <v>470</v>
      </c>
      <c r="H131" t="s">
        <v>475</v>
      </c>
      <c r="I131">
        <v>149917.65</v>
      </c>
    </row>
    <row r="132" spans="1:9">
      <c r="A132" s="90" t="s">
        <v>216</v>
      </c>
      <c r="B132" s="87">
        <v>45764</v>
      </c>
      <c r="C132" t="s">
        <v>511</v>
      </c>
      <c r="D132" t="s">
        <v>512</v>
      </c>
      <c r="E132" t="s">
        <v>569</v>
      </c>
      <c r="F132" t="s">
        <v>474</v>
      </c>
      <c r="G132" t="s">
        <v>470</v>
      </c>
      <c r="H132" t="s">
        <v>475</v>
      </c>
      <c r="I132">
        <v>120560.88</v>
      </c>
    </row>
    <row r="133" spans="1:9">
      <c r="A133" s="90" t="s">
        <v>216</v>
      </c>
      <c r="B133" s="87">
        <v>45769</v>
      </c>
      <c r="C133" t="s">
        <v>614</v>
      </c>
      <c r="D133" t="s">
        <v>571</v>
      </c>
      <c r="E133" t="s">
        <v>615</v>
      </c>
      <c r="F133" t="s">
        <v>490</v>
      </c>
      <c r="G133" t="s">
        <v>470</v>
      </c>
      <c r="H133" t="s">
        <v>540</v>
      </c>
      <c r="I133">
        <v>82852</v>
      </c>
    </row>
    <row r="134" spans="1:9">
      <c r="A134" s="90" t="s">
        <v>216</v>
      </c>
      <c r="B134" s="87">
        <v>45769</v>
      </c>
      <c r="C134" t="s">
        <v>616</v>
      </c>
      <c r="D134" t="s">
        <v>571</v>
      </c>
      <c r="E134" t="s">
        <v>617</v>
      </c>
      <c r="F134" t="s">
        <v>490</v>
      </c>
      <c r="G134" t="s">
        <v>470</v>
      </c>
      <c r="H134" t="s">
        <v>540</v>
      </c>
      <c r="I134">
        <v>108020</v>
      </c>
    </row>
    <row r="135" spans="1:9">
      <c r="A135" s="90" t="s">
        <v>216</v>
      </c>
      <c r="B135" s="87">
        <v>45769</v>
      </c>
      <c r="C135" t="s">
        <v>618</v>
      </c>
      <c r="D135" t="s">
        <v>571</v>
      </c>
      <c r="E135" t="s">
        <v>619</v>
      </c>
      <c r="F135" t="s">
        <v>490</v>
      </c>
      <c r="G135" t="s">
        <v>470</v>
      </c>
      <c r="H135" t="s">
        <v>540</v>
      </c>
      <c r="I135">
        <v>84920</v>
      </c>
    </row>
    <row r="136" spans="1:9">
      <c r="A136" s="90" t="s">
        <v>216</v>
      </c>
      <c r="B136" s="87">
        <v>45769</v>
      </c>
      <c r="C136" t="s">
        <v>620</v>
      </c>
      <c r="D136" t="s">
        <v>571</v>
      </c>
      <c r="E136" t="s">
        <v>621</v>
      </c>
      <c r="F136" t="s">
        <v>490</v>
      </c>
      <c r="G136" t="s">
        <v>470</v>
      </c>
      <c r="H136" t="s">
        <v>540</v>
      </c>
      <c r="I136">
        <v>88968</v>
      </c>
    </row>
    <row r="137" spans="1:9">
      <c r="A137" s="90" t="s">
        <v>216</v>
      </c>
      <c r="B137" s="87">
        <v>45769</v>
      </c>
      <c r="C137" t="s">
        <v>622</v>
      </c>
      <c r="D137" t="s">
        <v>571</v>
      </c>
      <c r="E137" t="s">
        <v>623</v>
      </c>
      <c r="F137" t="s">
        <v>490</v>
      </c>
      <c r="G137" t="s">
        <v>470</v>
      </c>
      <c r="H137" t="s">
        <v>540</v>
      </c>
      <c r="I137">
        <v>109252</v>
      </c>
    </row>
    <row r="138" spans="1:9">
      <c r="A138" s="90" t="s">
        <v>216</v>
      </c>
      <c r="B138" s="87">
        <v>45769</v>
      </c>
      <c r="C138" t="s">
        <v>511</v>
      </c>
      <c r="D138" t="s">
        <v>512</v>
      </c>
      <c r="E138" t="s">
        <v>569</v>
      </c>
      <c r="F138" t="s">
        <v>474</v>
      </c>
      <c r="G138" t="s">
        <v>470</v>
      </c>
      <c r="H138" t="s">
        <v>475</v>
      </c>
      <c r="I138">
        <v>258268.02</v>
      </c>
    </row>
    <row r="139" spans="1:9">
      <c r="A139" s="90" t="s">
        <v>216</v>
      </c>
      <c r="B139" s="87">
        <v>45771</v>
      </c>
      <c r="C139" t="s">
        <v>511</v>
      </c>
      <c r="D139" t="s">
        <v>512</v>
      </c>
      <c r="E139" t="s">
        <v>569</v>
      </c>
      <c r="F139" t="s">
        <v>474</v>
      </c>
      <c r="G139" t="s">
        <v>470</v>
      </c>
      <c r="H139" t="s">
        <v>475</v>
      </c>
      <c r="I139">
        <v>93886.59</v>
      </c>
    </row>
    <row r="140" spans="1:9">
      <c r="A140" s="90" t="s">
        <v>216</v>
      </c>
      <c r="B140" s="87">
        <v>45772</v>
      </c>
      <c r="C140" t="s">
        <v>624</v>
      </c>
      <c r="D140" t="s">
        <v>571</v>
      </c>
      <c r="E140" t="s">
        <v>625</v>
      </c>
      <c r="F140" t="s">
        <v>490</v>
      </c>
      <c r="G140" t="s">
        <v>470</v>
      </c>
      <c r="H140" t="s">
        <v>540</v>
      </c>
      <c r="I140">
        <v>88968</v>
      </c>
    </row>
    <row r="141" spans="1:9">
      <c r="A141" s="90" t="s">
        <v>216</v>
      </c>
      <c r="B141" s="87">
        <v>45772</v>
      </c>
      <c r="C141" t="s">
        <v>626</v>
      </c>
      <c r="D141" t="s">
        <v>571</v>
      </c>
      <c r="E141" t="s">
        <v>627</v>
      </c>
      <c r="F141" t="s">
        <v>490</v>
      </c>
      <c r="G141" t="s">
        <v>470</v>
      </c>
      <c r="H141" t="s">
        <v>540</v>
      </c>
      <c r="I141">
        <v>85976</v>
      </c>
    </row>
    <row r="142" spans="1:9">
      <c r="A142" s="90" t="s">
        <v>216</v>
      </c>
      <c r="B142" s="87">
        <v>45772</v>
      </c>
      <c r="C142" t="s">
        <v>628</v>
      </c>
      <c r="D142" t="s">
        <v>571</v>
      </c>
      <c r="E142" t="s">
        <v>629</v>
      </c>
      <c r="F142" t="s">
        <v>490</v>
      </c>
      <c r="G142" t="s">
        <v>470</v>
      </c>
      <c r="H142" t="s">
        <v>540</v>
      </c>
      <c r="I142">
        <v>62500.33</v>
      </c>
    </row>
    <row r="143" spans="1:9">
      <c r="A143" s="90" t="s">
        <v>216</v>
      </c>
      <c r="B143" s="87">
        <v>45772</v>
      </c>
      <c r="C143" t="s">
        <v>630</v>
      </c>
      <c r="D143" t="s">
        <v>571</v>
      </c>
      <c r="E143" t="s">
        <v>631</v>
      </c>
      <c r="F143" t="s">
        <v>490</v>
      </c>
      <c r="G143" t="s">
        <v>470</v>
      </c>
      <c r="H143" t="s">
        <v>540</v>
      </c>
      <c r="I143">
        <v>84788</v>
      </c>
    </row>
    <row r="144" spans="1:9">
      <c r="A144" s="90" t="s">
        <v>216</v>
      </c>
      <c r="B144" s="87">
        <v>45772</v>
      </c>
      <c r="C144" t="s">
        <v>632</v>
      </c>
      <c r="D144" t="s">
        <v>571</v>
      </c>
      <c r="E144" t="s">
        <v>633</v>
      </c>
      <c r="F144" t="s">
        <v>490</v>
      </c>
      <c r="G144" t="s">
        <v>470</v>
      </c>
      <c r="H144" t="s">
        <v>540</v>
      </c>
      <c r="I144">
        <v>78214.33</v>
      </c>
    </row>
    <row r="145" spans="1:9">
      <c r="A145" s="90" t="s">
        <v>216</v>
      </c>
      <c r="B145" s="87">
        <v>45772</v>
      </c>
      <c r="C145" t="s">
        <v>634</v>
      </c>
      <c r="D145" t="s">
        <v>571</v>
      </c>
      <c r="E145" t="s">
        <v>635</v>
      </c>
      <c r="F145" t="s">
        <v>490</v>
      </c>
      <c r="G145" t="s">
        <v>470</v>
      </c>
      <c r="H145" t="s">
        <v>540</v>
      </c>
      <c r="I145">
        <v>78764</v>
      </c>
    </row>
    <row r="146" spans="1:9">
      <c r="A146" s="90" t="s">
        <v>216</v>
      </c>
      <c r="B146" s="87">
        <v>45772</v>
      </c>
      <c r="C146" t="s">
        <v>636</v>
      </c>
      <c r="D146" t="s">
        <v>571</v>
      </c>
      <c r="E146" t="s">
        <v>637</v>
      </c>
      <c r="F146" t="s">
        <v>490</v>
      </c>
      <c r="G146" t="s">
        <v>470</v>
      </c>
      <c r="H146" t="s">
        <v>540</v>
      </c>
      <c r="I146">
        <v>80639.33</v>
      </c>
    </row>
    <row r="147" spans="1:9">
      <c r="A147" s="90" t="s">
        <v>216</v>
      </c>
      <c r="B147" s="87">
        <v>45772</v>
      </c>
      <c r="C147" t="s">
        <v>638</v>
      </c>
      <c r="D147" t="s">
        <v>571</v>
      </c>
      <c r="E147" t="s">
        <v>639</v>
      </c>
      <c r="F147" t="s">
        <v>490</v>
      </c>
      <c r="G147" t="s">
        <v>470</v>
      </c>
      <c r="H147" t="s">
        <v>540</v>
      </c>
      <c r="I147">
        <v>63373.33</v>
      </c>
    </row>
    <row r="148" spans="1:9">
      <c r="A148" s="90" t="s">
        <v>216</v>
      </c>
      <c r="B148" s="87">
        <v>45772</v>
      </c>
      <c r="C148" t="s">
        <v>640</v>
      </c>
      <c r="D148" t="s">
        <v>571</v>
      </c>
      <c r="E148" t="s">
        <v>641</v>
      </c>
      <c r="F148" t="s">
        <v>490</v>
      </c>
      <c r="G148" t="s">
        <v>470</v>
      </c>
      <c r="H148" t="s">
        <v>540</v>
      </c>
      <c r="I148">
        <v>79572.33</v>
      </c>
    </row>
    <row r="149" spans="1:9">
      <c r="A149" s="90" t="s">
        <v>216</v>
      </c>
      <c r="B149" s="87">
        <v>45772</v>
      </c>
      <c r="C149" t="s">
        <v>642</v>
      </c>
      <c r="D149" t="s">
        <v>571</v>
      </c>
      <c r="E149" t="s">
        <v>643</v>
      </c>
      <c r="F149" t="s">
        <v>490</v>
      </c>
      <c r="G149" t="s">
        <v>470</v>
      </c>
      <c r="H149" t="s">
        <v>540</v>
      </c>
      <c r="I149">
        <v>57909</v>
      </c>
    </row>
    <row r="150" spans="1:9">
      <c r="A150" s="90" t="s">
        <v>216</v>
      </c>
      <c r="B150" s="87">
        <v>45772</v>
      </c>
      <c r="C150" t="s">
        <v>644</v>
      </c>
      <c r="D150" t="s">
        <v>571</v>
      </c>
      <c r="E150" t="s">
        <v>645</v>
      </c>
      <c r="F150" t="s">
        <v>490</v>
      </c>
      <c r="G150" t="s">
        <v>470</v>
      </c>
      <c r="H150" t="s">
        <v>540</v>
      </c>
      <c r="I150">
        <v>67027</v>
      </c>
    </row>
    <row r="151" spans="1:9">
      <c r="A151" s="90" t="s">
        <v>216</v>
      </c>
      <c r="B151" s="87">
        <v>45772</v>
      </c>
      <c r="C151" t="s">
        <v>646</v>
      </c>
      <c r="D151" t="s">
        <v>571</v>
      </c>
      <c r="E151" t="s">
        <v>647</v>
      </c>
      <c r="F151" t="s">
        <v>490</v>
      </c>
      <c r="G151" t="s">
        <v>470</v>
      </c>
      <c r="H151" t="s">
        <v>540</v>
      </c>
      <c r="I151">
        <v>80671.67</v>
      </c>
    </row>
    <row r="152" spans="1:9">
      <c r="A152" s="90" t="s">
        <v>216</v>
      </c>
      <c r="B152" s="87">
        <v>45772</v>
      </c>
      <c r="C152" t="s">
        <v>648</v>
      </c>
      <c r="D152" t="s">
        <v>571</v>
      </c>
      <c r="E152" t="s">
        <v>649</v>
      </c>
      <c r="F152" t="s">
        <v>490</v>
      </c>
      <c r="G152" t="s">
        <v>470</v>
      </c>
      <c r="H152" t="s">
        <v>540</v>
      </c>
      <c r="I152">
        <v>79281.33</v>
      </c>
    </row>
    <row r="153" spans="1:9">
      <c r="A153" s="90" t="s">
        <v>216</v>
      </c>
      <c r="B153" s="87">
        <v>45772</v>
      </c>
      <c r="C153" t="s">
        <v>650</v>
      </c>
      <c r="D153" t="s">
        <v>571</v>
      </c>
      <c r="E153" t="s">
        <v>651</v>
      </c>
      <c r="F153" t="s">
        <v>490</v>
      </c>
      <c r="G153" t="s">
        <v>470</v>
      </c>
      <c r="H153" t="s">
        <v>540</v>
      </c>
      <c r="I153">
        <v>65766</v>
      </c>
    </row>
    <row r="154" spans="1:9">
      <c r="A154" s="90" t="s">
        <v>216</v>
      </c>
      <c r="B154" s="87">
        <v>45772</v>
      </c>
      <c r="C154" t="s">
        <v>652</v>
      </c>
      <c r="D154" t="s">
        <v>571</v>
      </c>
      <c r="E154" t="s">
        <v>653</v>
      </c>
      <c r="F154" t="s">
        <v>490</v>
      </c>
      <c r="G154" t="s">
        <v>470</v>
      </c>
      <c r="H154" t="s">
        <v>540</v>
      </c>
      <c r="I154">
        <v>51668.67</v>
      </c>
    </row>
    <row r="155" spans="1:9">
      <c r="A155" s="90" t="s">
        <v>216</v>
      </c>
      <c r="B155" s="87">
        <v>45772</v>
      </c>
      <c r="C155" t="s">
        <v>654</v>
      </c>
      <c r="D155" t="s">
        <v>571</v>
      </c>
      <c r="E155" t="s">
        <v>655</v>
      </c>
      <c r="F155" t="s">
        <v>490</v>
      </c>
      <c r="G155" t="s">
        <v>470</v>
      </c>
      <c r="H155" t="s">
        <v>540</v>
      </c>
      <c r="I155">
        <v>59978.33</v>
      </c>
    </row>
    <row r="156" spans="1:9">
      <c r="A156" s="90" t="s">
        <v>216</v>
      </c>
      <c r="B156" s="87">
        <v>45772</v>
      </c>
      <c r="C156" t="s">
        <v>656</v>
      </c>
      <c r="D156" t="s">
        <v>571</v>
      </c>
      <c r="E156" t="s">
        <v>657</v>
      </c>
      <c r="F156" t="s">
        <v>490</v>
      </c>
      <c r="G156" t="s">
        <v>470</v>
      </c>
      <c r="H156" t="s">
        <v>540</v>
      </c>
      <c r="I156">
        <v>61465.67</v>
      </c>
    </row>
    <row r="157" spans="1:9">
      <c r="A157" s="90" t="s">
        <v>216</v>
      </c>
      <c r="B157" s="87">
        <v>45772</v>
      </c>
      <c r="C157" t="s">
        <v>658</v>
      </c>
      <c r="D157" t="s">
        <v>571</v>
      </c>
      <c r="E157" t="s">
        <v>659</v>
      </c>
      <c r="F157" t="s">
        <v>490</v>
      </c>
      <c r="G157" t="s">
        <v>470</v>
      </c>
      <c r="H157" t="s">
        <v>540</v>
      </c>
      <c r="I157">
        <v>80219</v>
      </c>
    </row>
    <row r="158" spans="1:9">
      <c r="A158" s="90" t="s">
        <v>216</v>
      </c>
      <c r="B158" s="87">
        <v>45772</v>
      </c>
      <c r="C158" t="s">
        <v>660</v>
      </c>
      <c r="D158" t="s">
        <v>571</v>
      </c>
      <c r="E158" t="s">
        <v>661</v>
      </c>
      <c r="F158" t="s">
        <v>490</v>
      </c>
      <c r="G158" t="s">
        <v>470</v>
      </c>
      <c r="H158" t="s">
        <v>540</v>
      </c>
      <c r="I158">
        <v>61271.67</v>
      </c>
    </row>
    <row r="159" spans="1:9">
      <c r="A159" s="90" t="s">
        <v>216</v>
      </c>
      <c r="B159" s="87">
        <v>45772</v>
      </c>
      <c r="C159" t="s">
        <v>662</v>
      </c>
      <c r="D159" t="s">
        <v>571</v>
      </c>
      <c r="E159" t="s">
        <v>663</v>
      </c>
      <c r="F159" t="s">
        <v>490</v>
      </c>
      <c r="G159" t="s">
        <v>470</v>
      </c>
      <c r="H159" t="s">
        <v>540</v>
      </c>
      <c r="I159">
        <v>55678</v>
      </c>
    </row>
    <row r="160" spans="1:9">
      <c r="A160" s="90" t="s">
        <v>216</v>
      </c>
      <c r="B160" s="87">
        <v>45772</v>
      </c>
      <c r="C160" t="s">
        <v>664</v>
      </c>
      <c r="D160" t="s">
        <v>571</v>
      </c>
      <c r="E160" t="s">
        <v>665</v>
      </c>
      <c r="F160" t="s">
        <v>490</v>
      </c>
      <c r="G160" t="s">
        <v>470</v>
      </c>
      <c r="H160" t="s">
        <v>540</v>
      </c>
      <c r="I160">
        <v>6357.73</v>
      </c>
    </row>
    <row r="161" spans="1:9">
      <c r="A161" s="90" t="s">
        <v>216</v>
      </c>
      <c r="B161" s="87">
        <v>45772</v>
      </c>
      <c r="C161" t="s">
        <v>666</v>
      </c>
      <c r="D161" t="s">
        <v>571</v>
      </c>
      <c r="E161" t="s">
        <v>667</v>
      </c>
      <c r="F161" t="s">
        <v>490</v>
      </c>
      <c r="G161" t="s">
        <v>470</v>
      </c>
      <c r="H161" t="s">
        <v>540</v>
      </c>
      <c r="I161">
        <v>15947.95</v>
      </c>
    </row>
    <row r="162" spans="1:9">
      <c r="A162" s="90" t="s">
        <v>216</v>
      </c>
      <c r="B162" s="87">
        <v>45772</v>
      </c>
      <c r="C162" t="s">
        <v>517</v>
      </c>
      <c r="D162" t="s">
        <v>512</v>
      </c>
      <c r="E162" t="s">
        <v>569</v>
      </c>
      <c r="F162" t="s">
        <v>474</v>
      </c>
      <c r="G162" t="s">
        <v>470</v>
      </c>
      <c r="H162" t="s">
        <v>475</v>
      </c>
      <c r="I162">
        <v>1298739.8799999999</v>
      </c>
    </row>
    <row r="163" spans="1:9">
      <c r="A163" s="90" t="s">
        <v>216</v>
      </c>
      <c r="B163" s="87">
        <v>45775</v>
      </c>
      <c r="C163" t="s">
        <v>668</v>
      </c>
      <c r="D163" t="s">
        <v>535</v>
      </c>
      <c r="E163" t="s">
        <v>669</v>
      </c>
      <c r="F163" t="s">
        <v>537</v>
      </c>
      <c r="G163" t="s">
        <v>470</v>
      </c>
      <c r="H163" t="s">
        <v>475</v>
      </c>
      <c r="I163">
        <v>1300000</v>
      </c>
    </row>
    <row r="164" spans="1:9">
      <c r="A164" s="90" t="s">
        <v>216</v>
      </c>
      <c r="B164" s="87">
        <v>45775</v>
      </c>
      <c r="C164" t="s">
        <v>670</v>
      </c>
      <c r="D164" t="s">
        <v>535</v>
      </c>
      <c r="E164" t="s">
        <v>671</v>
      </c>
      <c r="F164" t="s">
        <v>537</v>
      </c>
      <c r="G164" t="s">
        <v>470</v>
      </c>
      <c r="H164" t="s">
        <v>475</v>
      </c>
      <c r="I164">
        <v>1500000</v>
      </c>
    </row>
    <row r="165" spans="1:9">
      <c r="A165" s="90" t="s">
        <v>216</v>
      </c>
      <c r="B165" s="87">
        <v>45775</v>
      </c>
      <c r="C165" t="s">
        <v>517</v>
      </c>
      <c r="D165" t="s">
        <v>512</v>
      </c>
      <c r="E165" t="s">
        <v>569</v>
      </c>
      <c r="F165" t="s">
        <v>474</v>
      </c>
      <c r="G165" t="s">
        <v>470</v>
      </c>
      <c r="H165" t="s">
        <v>475</v>
      </c>
      <c r="I165">
        <v>2000000</v>
      </c>
    </row>
    <row r="166" spans="1:9">
      <c r="A166" s="90" t="s">
        <v>216</v>
      </c>
      <c r="B166" s="87">
        <v>45775</v>
      </c>
      <c r="C166" t="s">
        <v>511</v>
      </c>
      <c r="D166" t="s">
        <v>512</v>
      </c>
      <c r="E166" t="s">
        <v>569</v>
      </c>
      <c r="F166" t="s">
        <v>474</v>
      </c>
      <c r="G166" t="s">
        <v>470</v>
      </c>
      <c r="H166" t="s">
        <v>475</v>
      </c>
      <c r="I166">
        <v>1320772.25</v>
      </c>
    </row>
    <row r="167" spans="1:9">
      <c r="A167" s="90" t="s">
        <v>216</v>
      </c>
      <c r="B167" s="87">
        <v>45776</v>
      </c>
      <c r="C167" t="s">
        <v>511</v>
      </c>
      <c r="D167" t="s">
        <v>512</v>
      </c>
      <c r="E167" t="s">
        <v>569</v>
      </c>
      <c r="F167" t="s">
        <v>474</v>
      </c>
      <c r="G167" t="s">
        <v>470</v>
      </c>
      <c r="H167" t="s">
        <v>475</v>
      </c>
      <c r="I167">
        <v>72294.3</v>
      </c>
    </row>
    <row r="168" spans="1:9">
      <c r="A168" s="90" t="s">
        <v>216</v>
      </c>
      <c r="B168" s="87">
        <v>45777</v>
      </c>
      <c r="C168" t="s">
        <v>672</v>
      </c>
      <c r="D168" t="s">
        <v>546</v>
      </c>
      <c r="E168" t="s">
        <v>673</v>
      </c>
      <c r="F168" t="s">
        <v>490</v>
      </c>
      <c r="G168" t="s">
        <v>470</v>
      </c>
      <c r="H168" t="s">
        <v>540</v>
      </c>
      <c r="I168">
        <v>91840</v>
      </c>
    </row>
    <row r="169" spans="1:9">
      <c r="A169" s="90" t="s">
        <v>216</v>
      </c>
      <c r="B169" s="87">
        <v>45777</v>
      </c>
      <c r="C169" t="s">
        <v>674</v>
      </c>
      <c r="D169" t="s">
        <v>546</v>
      </c>
      <c r="E169" t="s">
        <v>675</v>
      </c>
      <c r="F169" t="s">
        <v>490</v>
      </c>
      <c r="G169" t="s">
        <v>470</v>
      </c>
      <c r="H169" t="s">
        <v>540</v>
      </c>
      <c r="I169">
        <v>93650.67</v>
      </c>
    </row>
    <row r="170" spans="1:9">
      <c r="A170" s="90" t="s">
        <v>216</v>
      </c>
      <c r="B170" s="87">
        <v>45777</v>
      </c>
      <c r="C170" t="s">
        <v>676</v>
      </c>
      <c r="D170" t="s">
        <v>546</v>
      </c>
      <c r="E170" t="s">
        <v>677</v>
      </c>
      <c r="F170" t="s">
        <v>490</v>
      </c>
      <c r="G170" t="s">
        <v>470</v>
      </c>
      <c r="H170" t="s">
        <v>540</v>
      </c>
      <c r="I170">
        <v>92026.67</v>
      </c>
    </row>
    <row r="171" spans="1:9">
      <c r="A171" s="90" t="s">
        <v>216</v>
      </c>
      <c r="B171" s="87">
        <v>45777</v>
      </c>
      <c r="C171" t="s">
        <v>678</v>
      </c>
      <c r="D171" t="s">
        <v>546</v>
      </c>
      <c r="E171" t="s">
        <v>679</v>
      </c>
      <c r="F171" t="s">
        <v>490</v>
      </c>
      <c r="G171" t="s">
        <v>470</v>
      </c>
      <c r="H171" t="s">
        <v>540</v>
      </c>
      <c r="I171">
        <v>91354.67</v>
      </c>
    </row>
    <row r="172" spans="1:9">
      <c r="A172" s="90" t="s">
        <v>216</v>
      </c>
      <c r="B172" s="87">
        <v>45777</v>
      </c>
      <c r="C172" t="s">
        <v>680</v>
      </c>
      <c r="D172" t="s">
        <v>546</v>
      </c>
      <c r="E172" t="s">
        <v>681</v>
      </c>
      <c r="F172" t="s">
        <v>490</v>
      </c>
      <c r="G172" t="s">
        <v>470</v>
      </c>
      <c r="H172" t="s">
        <v>540</v>
      </c>
      <c r="I172">
        <v>91504</v>
      </c>
    </row>
    <row r="173" spans="1:9">
      <c r="A173" s="90" t="s">
        <v>216</v>
      </c>
      <c r="B173" s="87">
        <v>45777</v>
      </c>
      <c r="C173" t="s">
        <v>682</v>
      </c>
      <c r="D173" t="s">
        <v>546</v>
      </c>
      <c r="E173" t="s">
        <v>683</v>
      </c>
      <c r="F173" t="s">
        <v>490</v>
      </c>
      <c r="G173" t="s">
        <v>470</v>
      </c>
      <c r="H173" t="s">
        <v>540</v>
      </c>
      <c r="I173">
        <v>91728</v>
      </c>
    </row>
    <row r="174" spans="1:9">
      <c r="A174" s="90" t="s">
        <v>216</v>
      </c>
      <c r="B174" s="87">
        <v>45777</v>
      </c>
      <c r="C174" t="s">
        <v>684</v>
      </c>
      <c r="D174" t="s">
        <v>546</v>
      </c>
      <c r="E174" t="s">
        <v>685</v>
      </c>
      <c r="F174" t="s">
        <v>490</v>
      </c>
      <c r="G174" t="s">
        <v>470</v>
      </c>
      <c r="H174" t="s">
        <v>540</v>
      </c>
      <c r="I174">
        <v>91112</v>
      </c>
    </row>
    <row r="175" spans="1:9">
      <c r="A175" s="90" t="s">
        <v>216</v>
      </c>
      <c r="B175" s="87">
        <v>45777</v>
      </c>
      <c r="C175" t="s">
        <v>686</v>
      </c>
      <c r="D175" t="s">
        <v>546</v>
      </c>
      <c r="E175" t="s">
        <v>687</v>
      </c>
      <c r="F175" t="s">
        <v>490</v>
      </c>
      <c r="G175" t="s">
        <v>470</v>
      </c>
      <c r="H175" t="s">
        <v>540</v>
      </c>
      <c r="I175">
        <v>93557.33</v>
      </c>
    </row>
    <row r="176" spans="1:9">
      <c r="A176" s="90" t="s">
        <v>216</v>
      </c>
      <c r="B176" s="87">
        <v>45777</v>
      </c>
      <c r="C176" t="s">
        <v>688</v>
      </c>
      <c r="D176" t="s">
        <v>546</v>
      </c>
      <c r="E176" t="s">
        <v>689</v>
      </c>
      <c r="F176" t="s">
        <v>490</v>
      </c>
      <c r="G176" t="s">
        <v>470</v>
      </c>
      <c r="H176" t="s">
        <v>540</v>
      </c>
      <c r="I176">
        <v>94733.33</v>
      </c>
    </row>
    <row r="177" spans="1:9">
      <c r="A177" s="90" t="s">
        <v>216</v>
      </c>
      <c r="B177" s="87">
        <v>45777</v>
      </c>
      <c r="C177" t="s">
        <v>690</v>
      </c>
      <c r="D177" t="s">
        <v>546</v>
      </c>
      <c r="E177" t="s">
        <v>691</v>
      </c>
      <c r="F177" t="s">
        <v>490</v>
      </c>
      <c r="G177" t="s">
        <v>470</v>
      </c>
      <c r="H177" t="s">
        <v>540</v>
      </c>
      <c r="I177">
        <v>91616</v>
      </c>
    </row>
    <row r="178" spans="1:9">
      <c r="A178" s="90" t="s">
        <v>216</v>
      </c>
      <c r="B178" s="87">
        <v>45777</v>
      </c>
      <c r="C178" t="s">
        <v>692</v>
      </c>
      <c r="D178" t="s">
        <v>546</v>
      </c>
      <c r="E178" t="s">
        <v>693</v>
      </c>
      <c r="F178" t="s">
        <v>490</v>
      </c>
      <c r="G178" t="s">
        <v>470</v>
      </c>
      <c r="H178" t="s">
        <v>540</v>
      </c>
      <c r="I178">
        <v>91821.33</v>
      </c>
    </row>
    <row r="179" spans="1:9">
      <c r="A179" s="90" t="s">
        <v>216</v>
      </c>
      <c r="B179" s="87">
        <v>45777</v>
      </c>
      <c r="C179" t="s">
        <v>694</v>
      </c>
      <c r="D179" t="s">
        <v>546</v>
      </c>
      <c r="E179" t="s">
        <v>695</v>
      </c>
      <c r="F179" t="s">
        <v>490</v>
      </c>
      <c r="G179" t="s">
        <v>470</v>
      </c>
      <c r="H179" t="s">
        <v>540</v>
      </c>
      <c r="I179">
        <v>91634.67</v>
      </c>
    </row>
    <row r="180" spans="1:9">
      <c r="A180" s="90" t="s">
        <v>216</v>
      </c>
      <c r="B180" s="87">
        <v>45777</v>
      </c>
      <c r="C180" t="s">
        <v>696</v>
      </c>
      <c r="D180" t="s">
        <v>546</v>
      </c>
      <c r="E180" t="s">
        <v>697</v>
      </c>
      <c r="F180" t="s">
        <v>490</v>
      </c>
      <c r="G180" t="s">
        <v>470</v>
      </c>
      <c r="H180" t="s">
        <v>540</v>
      </c>
      <c r="I180">
        <v>91840</v>
      </c>
    </row>
    <row r="181" spans="1:9">
      <c r="A181" s="90" t="s">
        <v>216</v>
      </c>
      <c r="B181" s="87">
        <v>45777</v>
      </c>
      <c r="C181" t="s">
        <v>698</v>
      </c>
      <c r="D181" t="s">
        <v>546</v>
      </c>
      <c r="E181" t="s">
        <v>699</v>
      </c>
      <c r="F181" t="s">
        <v>490</v>
      </c>
      <c r="G181" t="s">
        <v>470</v>
      </c>
      <c r="H181" t="s">
        <v>540</v>
      </c>
      <c r="I181">
        <v>91317.33</v>
      </c>
    </row>
    <row r="182" spans="1:9">
      <c r="A182" s="90" t="s">
        <v>216</v>
      </c>
      <c r="B182" s="87">
        <v>45777</v>
      </c>
      <c r="C182" t="s">
        <v>700</v>
      </c>
      <c r="D182" t="s">
        <v>546</v>
      </c>
      <c r="E182" t="s">
        <v>701</v>
      </c>
      <c r="F182" t="s">
        <v>490</v>
      </c>
      <c r="G182" t="s">
        <v>470</v>
      </c>
      <c r="H182" t="s">
        <v>540</v>
      </c>
      <c r="I182">
        <v>54264</v>
      </c>
    </row>
    <row r="183" spans="1:9">
      <c r="A183" s="90" t="s">
        <v>216</v>
      </c>
      <c r="B183" s="87">
        <v>45777</v>
      </c>
      <c r="C183" t="s">
        <v>702</v>
      </c>
      <c r="D183" t="s">
        <v>512</v>
      </c>
      <c r="E183" t="s">
        <v>569</v>
      </c>
      <c r="F183" t="s">
        <v>474</v>
      </c>
      <c r="G183" t="s">
        <v>470</v>
      </c>
      <c r="H183" t="s">
        <v>475</v>
      </c>
      <c r="I183">
        <v>1344000</v>
      </c>
    </row>
    <row r="184" spans="1:9">
      <c r="A184" s="90" t="s">
        <v>216</v>
      </c>
      <c r="B184" s="87">
        <v>45777</v>
      </c>
      <c r="C184" t="s">
        <v>511</v>
      </c>
      <c r="D184" t="s">
        <v>512</v>
      </c>
      <c r="E184" t="s">
        <v>569</v>
      </c>
      <c r="F184" t="s">
        <v>474</v>
      </c>
      <c r="G184" t="s">
        <v>470</v>
      </c>
      <c r="H184" t="s">
        <v>475</v>
      </c>
      <c r="I184">
        <v>213100.29</v>
      </c>
    </row>
    <row r="185" spans="1:9">
      <c r="A185" s="90" t="s">
        <v>216</v>
      </c>
      <c r="B185" s="87">
        <v>45777</v>
      </c>
      <c r="C185" t="s">
        <v>511</v>
      </c>
      <c r="D185" t="s">
        <v>512</v>
      </c>
      <c r="E185" t="s">
        <v>569</v>
      </c>
      <c r="F185" t="s">
        <v>474</v>
      </c>
      <c r="G185" t="s">
        <v>470</v>
      </c>
      <c r="H185" t="s">
        <v>475</v>
      </c>
      <c r="I185">
        <v>503940.38</v>
      </c>
    </row>
    <row r="186" spans="1:9">
      <c r="A186" s="90" t="s">
        <v>216</v>
      </c>
      <c r="B186" s="87">
        <v>45777</v>
      </c>
      <c r="C186" t="s">
        <v>524</v>
      </c>
      <c r="D186" t="s">
        <v>477</v>
      </c>
      <c r="E186" t="s">
        <v>569</v>
      </c>
      <c r="F186" t="s">
        <v>525</v>
      </c>
      <c r="G186" t="s">
        <v>470</v>
      </c>
      <c r="H186" t="s">
        <v>516</v>
      </c>
      <c r="I186">
        <v>409.39</v>
      </c>
    </row>
    <row r="187" spans="1:9">
      <c r="A187" s="90" t="s">
        <v>216</v>
      </c>
      <c r="B187" s="87">
        <v>45777</v>
      </c>
      <c r="C187" t="s">
        <v>703</v>
      </c>
      <c r="D187" t="s">
        <v>477</v>
      </c>
      <c r="E187" t="s">
        <v>569</v>
      </c>
      <c r="F187" t="s">
        <v>525</v>
      </c>
      <c r="G187" t="s">
        <v>470</v>
      </c>
      <c r="H187" t="s">
        <v>516</v>
      </c>
      <c r="I187">
        <v>9097.24</v>
      </c>
    </row>
    <row r="188" spans="1:9">
      <c r="A188" s="90" t="s">
        <v>216</v>
      </c>
      <c r="B188" s="87">
        <v>45779</v>
      </c>
      <c r="C188" t="s">
        <v>704</v>
      </c>
      <c r="D188" t="s">
        <v>571</v>
      </c>
      <c r="E188" t="s">
        <v>665</v>
      </c>
      <c r="F188" t="s">
        <v>490</v>
      </c>
      <c r="G188" t="s">
        <v>470</v>
      </c>
      <c r="H188" t="s">
        <v>487</v>
      </c>
      <c r="I188">
        <v>10577.6</v>
      </c>
    </row>
    <row r="189" spans="1:9">
      <c r="A189" s="90" t="s">
        <v>216</v>
      </c>
      <c r="B189" s="87">
        <v>45779</v>
      </c>
      <c r="C189" t="s">
        <v>705</v>
      </c>
      <c r="D189" t="s">
        <v>571</v>
      </c>
      <c r="E189" t="s">
        <v>667</v>
      </c>
      <c r="F189" t="s">
        <v>490</v>
      </c>
      <c r="G189" t="s">
        <v>470</v>
      </c>
      <c r="H189" t="s">
        <v>540</v>
      </c>
      <c r="I189">
        <v>7931.37</v>
      </c>
    </row>
    <row r="190" spans="1:9">
      <c r="A190" s="90" t="s">
        <v>216</v>
      </c>
      <c r="B190" s="87">
        <v>45779</v>
      </c>
      <c r="C190" t="s">
        <v>507</v>
      </c>
      <c r="D190" t="s">
        <v>508</v>
      </c>
      <c r="E190" t="s">
        <v>706</v>
      </c>
      <c r="F190" t="s">
        <v>510</v>
      </c>
      <c r="G190" t="s">
        <v>470</v>
      </c>
      <c r="H190" t="s">
        <v>487</v>
      </c>
      <c r="I190">
        <v>14955.83</v>
      </c>
    </row>
    <row r="191" spans="1:9">
      <c r="A191" s="90" t="s">
        <v>216</v>
      </c>
      <c r="B191" s="87">
        <v>45779</v>
      </c>
      <c r="C191" t="s">
        <v>517</v>
      </c>
      <c r="D191" t="s">
        <v>512</v>
      </c>
      <c r="E191" t="s">
        <v>706</v>
      </c>
      <c r="F191" t="s">
        <v>474</v>
      </c>
      <c r="G191" t="s">
        <v>470</v>
      </c>
      <c r="H191" t="s">
        <v>475</v>
      </c>
      <c r="I191">
        <v>9725.32</v>
      </c>
    </row>
    <row r="192" spans="1:9">
      <c r="A192" s="90" t="s">
        <v>216</v>
      </c>
      <c r="B192" s="87">
        <v>45782</v>
      </c>
      <c r="C192" t="s">
        <v>511</v>
      </c>
      <c r="D192" t="s">
        <v>512</v>
      </c>
      <c r="E192" t="s">
        <v>706</v>
      </c>
      <c r="F192" t="s">
        <v>474</v>
      </c>
      <c r="G192" t="s">
        <v>470</v>
      </c>
      <c r="H192" t="s">
        <v>475</v>
      </c>
      <c r="I192">
        <v>9725.3700000000008</v>
      </c>
    </row>
    <row r="193" spans="1:9">
      <c r="A193" s="90" t="s">
        <v>216</v>
      </c>
      <c r="B193" s="87">
        <v>45782</v>
      </c>
      <c r="C193" t="s">
        <v>511</v>
      </c>
      <c r="D193" t="s">
        <v>512</v>
      </c>
      <c r="E193" t="s">
        <v>706</v>
      </c>
      <c r="F193" t="s">
        <v>474</v>
      </c>
      <c r="G193" t="s">
        <v>470</v>
      </c>
      <c r="H193" t="s">
        <v>475</v>
      </c>
      <c r="I193">
        <v>79836.84</v>
      </c>
    </row>
    <row r="194" spans="1:9">
      <c r="A194" s="90" t="s">
        <v>216</v>
      </c>
      <c r="B194" s="87">
        <v>45783</v>
      </c>
      <c r="C194" t="s">
        <v>511</v>
      </c>
      <c r="D194" t="s">
        <v>512</v>
      </c>
      <c r="E194" t="s">
        <v>706</v>
      </c>
      <c r="F194" t="s">
        <v>474</v>
      </c>
      <c r="G194" t="s">
        <v>470</v>
      </c>
      <c r="H194" t="s">
        <v>475</v>
      </c>
      <c r="I194">
        <v>1565</v>
      </c>
    </row>
    <row r="195" spans="1:9">
      <c r="A195" s="90" t="s">
        <v>216</v>
      </c>
      <c r="B195" s="87">
        <v>45784</v>
      </c>
      <c r="C195" t="s">
        <v>511</v>
      </c>
      <c r="D195" t="s">
        <v>512</v>
      </c>
      <c r="E195" t="s">
        <v>706</v>
      </c>
      <c r="F195" t="s">
        <v>474</v>
      </c>
      <c r="G195" t="s">
        <v>470</v>
      </c>
      <c r="H195" t="s">
        <v>475</v>
      </c>
      <c r="I195">
        <v>545.34</v>
      </c>
    </row>
    <row r="196" spans="1:9">
      <c r="A196" s="90" t="s">
        <v>216</v>
      </c>
      <c r="B196" s="87">
        <v>45786</v>
      </c>
      <c r="C196" t="s">
        <v>707</v>
      </c>
      <c r="D196" t="s">
        <v>571</v>
      </c>
      <c r="E196" t="s">
        <v>708</v>
      </c>
      <c r="F196" t="s">
        <v>490</v>
      </c>
      <c r="G196" t="s">
        <v>470</v>
      </c>
      <c r="H196" t="s">
        <v>540</v>
      </c>
      <c r="I196">
        <v>81863.33</v>
      </c>
    </row>
    <row r="197" spans="1:9">
      <c r="A197" s="90" t="s">
        <v>216</v>
      </c>
      <c r="B197" s="87">
        <v>45786</v>
      </c>
      <c r="C197" t="s">
        <v>709</v>
      </c>
      <c r="D197" t="s">
        <v>571</v>
      </c>
      <c r="E197" t="s">
        <v>710</v>
      </c>
      <c r="F197" t="s">
        <v>490</v>
      </c>
      <c r="G197" t="s">
        <v>470</v>
      </c>
      <c r="H197" t="s">
        <v>540</v>
      </c>
      <c r="I197">
        <v>82256.25</v>
      </c>
    </row>
    <row r="198" spans="1:9">
      <c r="A198" s="90" t="s">
        <v>216</v>
      </c>
      <c r="B198" s="87">
        <v>45786</v>
      </c>
      <c r="C198" t="s">
        <v>711</v>
      </c>
      <c r="D198" t="s">
        <v>571</v>
      </c>
      <c r="E198" t="s">
        <v>712</v>
      </c>
      <c r="F198" t="s">
        <v>490</v>
      </c>
      <c r="G198" t="s">
        <v>470</v>
      </c>
      <c r="H198" t="s">
        <v>540</v>
      </c>
      <c r="I198">
        <v>84665</v>
      </c>
    </row>
    <row r="199" spans="1:9">
      <c r="A199" s="90" t="s">
        <v>216</v>
      </c>
      <c r="B199" s="87">
        <v>45786</v>
      </c>
      <c r="C199" t="s">
        <v>713</v>
      </c>
      <c r="D199" t="s">
        <v>571</v>
      </c>
      <c r="E199" t="s">
        <v>714</v>
      </c>
      <c r="F199" t="s">
        <v>490</v>
      </c>
      <c r="G199" t="s">
        <v>470</v>
      </c>
      <c r="H199" t="s">
        <v>540</v>
      </c>
      <c r="I199">
        <v>63925.83</v>
      </c>
    </row>
    <row r="200" spans="1:9">
      <c r="A200" s="90" t="s">
        <v>216</v>
      </c>
      <c r="B200" s="87">
        <v>45786</v>
      </c>
      <c r="C200" t="s">
        <v>715</v>
      </c>
      <c r="D200" t="s">
        <v>571</v>
      </c>
      <c r="E200" t="s">
        <v>716</v>
      </c>
      <c r="F200" t="s">
        <v>490</v>
      </c>
      <c r="G200" t="s">
        <v>470</v>
      </c>
      <c r="H200" t="s">
        <v>540</v>
      </c>
      <c r="I200">
        <v>82854.17</v>
      </c>
    </row>
    <row r="201" spans="1:9">
      <c r="A201" s="90" t="s">
        <v>216</v>
      </c>
      <c r="B201" s="87">
        <v>45786</v>
      </c>
      <c r="C201" t="s">
        <v>717</v>
      </c>
      <c r="D201" t="s">
        <v>571</v>
      </c>
      <c r="E201" t="s">
        <v>718</v>
      </c>
      <c r="F201" t="s">
        <v>490</v>
      </c>
      <c r="G201" t="s">
        <v>470</v>
      </c>
      <c r="H201" t="s">
        <v>540</v>
      </c>
      <c r="I201">
        <v>84391.67</v>
      </c>
    </row>
    <row r="202" spans="1:9">
      <c r="A202" s="90" t="s">
        <v>216</v>
      </c>
      <c r="B202" s="87">
        <v>45786</v>
      </c>
      <c r="C202" t="s">
        <v>719</v>
      </c>
      <c r="D202" t="s">
        <v>571</v>
      </c>
      <c r="E202" t="s">
        <v>720</v>
      </c>
      <c r="F202" t="s">
        <v>490</v>
      </c>
      <c r="G202" t="s">
        <v>470</v>
      </c>
      <c r="H202" t="s">
        <v>540</v>
      </c>
      <c r="I202">
        <v>83486.25</v>
      </c>
    </row>
    <row r="203" spans="1:9">
      <c r="A203" s="90" t="s">
        <v>216</v>
      </c>
      <c r="B203" s="87">
        <v>45786</v>
      </c>
      <c r="C203" t="s">
        <v>721</v>
      </c>
      <c r="D203" t="s">
        <v>571</v>
      </c>
      <c r="E203" t="s">
        <v>722</v>
      </c>
      <c r="F203" t="s">
        <v>490</v>
      </c>
      <c r="G203" t="s">
        <v>470</v>
      </c>
      <c r="H203" t="s">
        <v>540</v>
      </c>
      <c r="I203">
        <v>83896.25</v>
      </c>
    </row>
    <row r="204" spans="1:9">
      <c r="A204" s="90" t="s">
        <v>216</v>
      </c>
      <c r="B204" s="87">
        <v>45786</v>
      </c>
      <c r="C204" t="s">
        <v>723</v>
      </c>
      <c r="D204" t="s">
        <v>571</v>
      </c>
      <c r="E204" t="s">
        <v>724</v>
      </c>
      <c r="F204" t="s">
        <v>490</v>
      </c>
      <c r="G204" t="s">
        <v>470</v>
      </c>
      <c r="H204" t="s">
        <v>540</v>
      </c>
      <c r="I204">
        <v>83588.75</v>
      </c>
    </row>
    <row r="205" spans="1:9">
      <c r="A205" s="90" t="s">
        <v>216</v>
      </c>
      <c r="B205" s="87">
        <v>45786</v>
      </c>
      <c r="C205" t="s">
        <v>725</v>
      </c>
      <c r="D205" t="s">
        <v>571</v>
      </c>
      <c r="E205" t="s">
        <v>726</v>
      </c>
      <c r="F205" t="s">
        <v>490</v>
      </c>
      <c r="G205" t="s">
        <v>470</v>
      </c>
      <c r="H205" t="s">
        <v>540</v>
      </c>
      <c r="I205">
        <v>82222.080000000002</v>
      </c>
    </row>
    <row r="206" spans="1:9">
      <c r="A206" s="90" t="s">
        <v>216</v>
      </c>
      <c r="B206" s="87">
        <v>45786</v>
      </c>
      <c r="C206" t="s">
        <v>727</v>
      </c>
      <c r="D206" t="s">
        <v>571</v>
      </c>
      <c r="E206" t="s">
        <v>728</v>
      </c>
      <c r="F206" t="s">
        <v>490</v>
      </c>
      <c r="G206" t="s">
        <v>470</v>
      </c>
      <c r="H206" t="s">
        <v>540</v>
      </c>
      <c r="I206">
        <v>81367.92</v>
      </c>
    </row>
    <row r="207" spans="1:9">
      <c r="A207" s="90" t="s">
        <v>216</v>
      </c>
      <c r="B207" s="87">
        <v>45786</v>
      </c>
      <c r="C207" t="s">
        <v>729</v>
      </c>
      <c r="D207" t="s">
        <v>571</v>
      </c>
      <c r="E207" t="s">
        <v>730</v>
      </c>
      <c r="F207" t="s">
        <v>490</v>
      </c>
      <c r="G207" t="s">
        <v>470</v>
      </c>
      <c r="H207" t="s">
        <v>540</v>
      </c>
      <c r="I207">
        <v>82666.25</v>
      </c>
    </row>
    <row r="208" spans="1:9">
      <c r="A208" s="90" t="s">
        <v>216</v>
      </c>
      <c r="B208" s="87">
        <v>45786</v>
      </c>
      <c r="C208" t="s">
        <v>731</v>
      </c>
      <c r="D208" t="s">
        <v>571</v>
      </c>
      <c r="E208" t="s">
        <v>732</v>
      </c>
      <c r="F208" t="s">
        <v>490</v>
      </c>
      <c r="G208" t="s">
        <v>470</v>
      </c>
      <c r="H208" t="s">
        <v>540</v>
      </c>
      <c r="I208">
        <v>47816.25</v>
      </c>
    </row>
    <row r="209" spans="1:9">
      <c r="A209" s="90" t="s">
        <v>216</v>
      </c>
      <c r="B209" s="87">
        <v>45786</v>
      </c>
      <c r="C209" t="s">
        <v>517</v>
      </c>
      <c r="D209" t="s">
        <v>512</v>
      </c>
      <c r="E209" t="s">
        <v>706</v>
      </c>
      <c r="F209" t="s">
        <v>474</v>
      </c>
      <c r="G209" t="s">
        <v>470</v>
      </c>
      <c r="H209" t="s">
        <v>475</v>
      </c>
      <c r="I209">
        <v>1023768.05</v>
      </c>
    </row>
    <row r="210" spans="1:9">
      <c r="A210" s="90" t="s">
        <v>216</v>
      </c>
      <c r="B210" s="87">
        <v>45789</v>
      </c>
      <c r="C210" t="s">
        <v>511</v>
      </c>
      <c r="D210" t="s">
        <v>512</v>
      </c>
      <c r="E210" t="s">
        <v>706</v>
      </c>
      <c r="F210" t="s">
        <v>474</v>
      </c>
      <c r="G210" t="s">
        <v>470</v>
      </c>
      <c r="H210" t="s">
        <v>475</v>
      </c>
      <c r="I210">
        <v>738144.08</v>
      </c>
    </row>
    <row r="211" spans="1:9">
      <c r="A211" s="90" t="s">
        <v>216</v>
      </c>
      <c r="B211" s="87">
        <v>45790</v>
      </c>
      <c r="C211" t="s">
        <v>733</v>
      </c>
      <c r="D211" t="s">
        <v>480</v>
      </c>
      <c r="E211" t="s">
        <v>706</v>
      </c>
      <c r="F211" t="s">
        <v>474</v>
      </c>
      <c r="G211" t="s">
        <v>470</v>
      </c>
      <c r="H211" t="s">
        <v>475</v>
      </c>
      <c r="I211">
        <v>700000</v>
      </c>
    </row>
    <row r="212" spans="1:9">
      <c r="A212" s="90" t="s">
        <v>216</v>
      </c>
      <c r="B212" s="87">
        <v>45790</v>
      </c>
      <c r="C212" t="s">
        <v>517</v>
      </c>
      <c r="D212" t="s">
        <v>512</v>
      </c>
      <c r="E212" t="s">
        <v>706</v>
      </c>
      <c r="F212" t="s">
        <v>474</v>
      </c>
      <c r="G212" t="s">
        <v>470</v>
      </c>
      <c r="H212" t="s">
        <v>475</v>
      </c>
      <c r="I212">
        <v>700000</v>
      </c>
    </row>
    <row r="213" spans="1:9">
      <c r="A213" s="90" t="s">
        <v>216</v>
      </c>
      <c r="B213" s="87">
        <v>45790</v>
      </c>
      <c r="C213" t="s">
        <v>511</v>
      </c>
      <c r="D213" t="s">
        <v>512</v>
      </c>
      <c r="E213" t="s">
        <v>706</v>
      </c>
      <c r="F213" t="s">
        <v>474</v>
      </c>
      <c r="G213" t="s">
        <v>470</v>
      </c>
      <c r="H213" t="s">
        <v>475</v>
      </c>
      <c r="I213">
        <v>972.4</v>
      </c>
    </row>
    <row r="214" spans="1:9">
      <c r="A214" s="90" t="s">
        <v>216</v>
      </c>
      <c r="B214" s="87">
        <v>45791</v>
      </c>
      <c r="C214" t="s">
        <v>511</v>
      </c>
      <c r="D214" t="s">
        <v>512</v>
      </c>
      <c r="E214" t="s">
        <v>706</v>
      </c>
      <c r="F214" t="s">
        <v>474</v>
      </c>
      <c r="G214" t="s">
        <v>470</v>
      </c>
      <c r="H214" t="s">
        <v>475</v>
      </c>
      <c r="I214">
        <v>210287.63</v>
      </c>
    </row>
    <row r="215" spans="1:9">
      <c r="A215" s="90" t="s">
        <v>216</v>
      </c>
      <c r="B215" s="87">
        <v>45792</v>
      </c>
      <c r="C215" t="s">
        <v>511</v>
      </c>
      <c r="D215" t="s">
        <v>512</v>
      </c>
      <c r="E215" t="s">
        <v>706</v>
      </c>
      <c r="F215" t="s">
        <v>474</v>
      </c>
      <c r="G215" t="s">
        <v>470</v>
      </c>
      <c r="H215" t="s">
        <v>475</v>
      </c>
      <c r="I215">
        <v>9612.58</v>
      </c>
    </row>
    <row r="216" spans="1:9">
      <c r="A216" s="90" t="s">
        <v>216</v>
      </c>
      <c r="B216" s="87">
        <v>45793</v>
      </c>
      <c r="C216" t="s">
        <v>734</v>
      </c>
      <c r="D216" t="s">
        <v>571</v>
      </c>
      <c r="E216" t="s">
        <v>735</v>
      </c>
      <c r="F216" t="s">
        <v>490</v>
      </c>
      <c r="G216" t="s">
        <v>470</v>
      </c>
      <c r="H216" t="s">
        <v>540</v>
      </c>
      <c r="I216">
        <v>34744</v>
      </c>
    </row>
    <row r="217" spans="1:9">
      <c r="A217" s="90" t="s">
        <v>216</v>
      </c>
      <c r="B217" s="87">
        <v>45793</v>
      </c>
      <c r="C217" t="s">
        <v>517</v>
      </c>
      <c r="D217" t="s">
        <v>512</v>
      </c>
      <c r="E217" t="s">
        <v>706</v>
      </c>
      <c r="F217" t="s">
        <v>474</v>
      </c>
      <c r="G217" t="s">
        <v>470</v>
      </c>
      <c r="H217" t="s">
        <v>475</v>
      </c>
      <c r="I217">
        <v>34744</v>
      </c>
    </row>
    <row r="218" spans="1:9">
      <c r="A218" s="90" t="s">
        <v>216</v>
      </c>
      <c r="B218" s="87">
        <v>45796</v>
      </c>
      <c r="C218" t="s">
        <v>511</v>
      </c>
      <c r="D218" t="s">
        <v>512</v>
      </c>
      <c r="E218" t="s">
        <v>706</v>
      </c>
      <c r="F218" t="s">
        <v>474</v>
      </c>
      <c r="G218" t="s">
        <v>470</v>
      </c>
      <c r="H218" t="s">
        <v>475</v>
      </c>
      <c r="I218">
        <v>32077.17</v>
      </c>
    </row>
    <row r="219" spans="1:9">
      <c r="A219" s="90" t="s">
        <v>216</v>
      </c>
      <c r="B219" s="87">
        <v>45797</v>
      </c>
      <c r="C219" t="s">
        <v>511</v>
      </c>
      <c r="D219" t="s">
        <v>512</v>
      </c>
      <c r="E219" t="s">
        <v>706</v>
      </c>
      <c r="F219" t="s">
        <v>474</v>
      </c>
      <c r="G219" t="s">
        <v>470</v>
      </c>
      <c r="H219" t="s">
        <v>475</v>
      </c>
      <c r="I219">
        <v>67432.92</v>
      </c>
    </row>
    <row r="220" spans="1:9">
      <c r="A220" s="90" t="s">
        <v>216</v>
      </c>
      <c r="B220" s="87">
        <v>45797</v>
      </c>
      <c r="C220" t="s">
        <v>511</v>
      </c>
      <c r="D220" t="s">
        <v>512</v>
      </c>
      <c r="E220" t="s">
        <v>706</v>
      </c>
      <c r="F220" t="s">
        <v>474</v>
      </c>
      <c r="G220" t="s">
        <v>470</v>
      </c>
      <c r="H220" t="s">
        <v>475</v>
      </c>
      <c r="I220">
        <v>316683.89</v>
      </c>
    </row>
    <row r="221" spans="1:9">
      <c r="A221" s="90" t="s">
        <v>216</v>
      </c>
      <c r="B221" s="87">
        <v>45798</v>
      </c>
      <c r="C221" t="s">
        <v>736</v>
      </c>
      <c r="D221" t="s">
        <v>737</v>
      </c>
      <c r="E221" t="s">
        <v>738</v>
      </c>
      <c r="F221" t="s">
        <v>739</v>
      </c>
      <c r="G221" t="s">
        <v>470</v>
      </c>
      <c r="H221" t="s">
        <v>540</v>
      </c>
      <c r="I221">
        <v>166.05</v>
      </c>
    </row>
    <row r="222" spans="1:9">
      <c r="A222" s="90" t="s">
        <v>216</v>
      </c>
      <c r="B222" s="87">
        <v>45798</v>
      </c>
      <c r="C222" t="s">
        <v>511</v>
      </c>
      <c r="D222" t="s">
        <v>512</v>
      </c>
      <c r="E222" t="s">
        <v>706</v>
      </c>
      <c r="F222" t="s">
        <v>474</v>
      </c>
      <c r="G222" t="s">
        <v>470</v>
      </c>
      <c r="H222" t="s">
        <v>475</v>
      </c>
      <c r="I222">
        <v>19430.52</v>
      </c>
    </row>
    <row r="223" spans="1:9">
      <c r="A223" s="90" t="s">
        <v>216</v>
      </c>
      <c r="B223" s="87">
        <v>45803</v>
      </c>
      <c r="C223" t="s">
        <v>511</v>
      </c>
      <c r="D223" t="s">
        <v>512</v>
      </c>
      <c r="E223" t="s">
        <v>706</v>
      </c>
      <c r="F223" t="s">
        <v>474</v>
      </c>
      <c r="G223" t="s">
        <v>470</v>
      </c>
      <c r="H223" t="s">
        <v>475</v>
      </c>
      <c r="I223">
        <v>61816.17</v>
      </c>
    </row>
    <row r="224" spans="1:9">
      <c r="A224" s="90" t="s">
        <v>216</v>
      </c>
      <c r="B224" s="87">
        <v>45804</v>
      </c>
      <c r="C224" t="s">
        <v>511</v>
      </c>
      <c r="D224" t="s">
        <v>512</v>
      </c>
      <c r="E224" t="s">
        <v>706</v>
      </c>
      <c r="F224" t="s">
        <v>474</v>
      </c>
      <c r="G224" t="s">
        <v>470</v>
      </c>
      <c r="H224" t="s">
        <v>475</v>
      </c>
      <c r="I224">
        <v>1076.7</v>
      </c>
    </row>
    <row r="225" spans="1:9">
      <c r="A225" s="90" t="s">
        <v>216</v>
      </c>
      <c r="B225" s="87">
        <v>45805</v>
      </c>
      <c r="C225" t="s">
        <v>740</v>
      </c>
      <c r="D225" t="s">
        <v>737</v>
      </c>
      <c r="E225" t="s">
        <v>738</v>
      </c>
      <c r="F225" t="s">
        <v>739</v>
      </c>
      <c r="G225" t="s">
        <v>470</v>
      </c>
      <c r="H225" t="s">
        <v>540</v>
      </c>
      <c r="I225">
        <v>24264</v>
      </c>
    </row>
    <row r="226" spans="1:9">
      <c r="A226" s="90" t="s">
        <v>216</v>
      </c>
      <c r="B226" s="87">
        <v>45805</v>
      </c>
      <c r="C226" t="s">
        <v>517</v>
      </c>
      <c r="D226" t="s">
        <v>512</v>
      </c>
      <c r="E226" t="s">
        <v>706</v>
      </c>
      <c r="F226" t="s">
        <v>474</v>
      </c>
      <c r="G226" t="s">
        <v>470</v>
      </c>
      <c r="H226" t="s">
        <v>475</v>
      </c>
      <c r="I226">
        <v>11565.75</v>
      </c>
    </row>
    <row r="227" spans="1:9">
      <c r="A227" s="90" t="s">
        <v>216</v>
      </c>
      <c r="B227" s="87">
        <v>45807</v>
      </c>
      <c r="C227" t="s">
        <v>511</v>
      </c>
      <c r="D227" t="s">
        <v>512</v>
      </c>
      <c r="E227" t="s">
        <v>706</v>
      </c>
      <c r="F227" t="s">
        <v>474</v>
      </c>
      <c r="G227" t="s">
        <v>470</v>
      </c>
      <c r="H227" t="s">
        <v>475</v>
      </c>
      <c r="I227">
        <v>7672.57</v>
      </c>
    </row>
    <row r="228" spans="1:9">
      <c r="A228" s="90" t="s">
        <v>216</v>
      </c>
      <c r="B228" s="87">
        <v>45807</v>
      </c>
      <c r="C228" t="s">
        <v>524</v>
      </c>
      <c r="D228" t="s">
        <v>477</v>
      </c>
      <c r="E228" t="s">
        <v>706</v>
      </c>
      <c r="F228" t="s">
        <v>525</v>
      </c>
      <c r="G228" t="s">
        <v>470</v>
      </c>
      <c r="H228" t="s">
        <v>516</v>
      </c>
      <c r="I228">
        <v>104.84</v>
      </c>
    </row>
    <row r="229" spans="1:9">
      <c r="A229" s="90" t="s">
        <v>216</v>
      </c>
      <c r="B229" s="87">
        <v>45807</v>
      </c>
      <c r="C229" t="s">
        <v>524</v>
      </c>
      <c r="D229" t="s">
        <v>477</v>
      </c>
      <c r="E229" t="s">
        <v>706</v>
      </c>
      <c r="F229" t="s">
        <v>525</v>
      </c>
      <c r="G229" t="s">
        <v>470</v>
      </c>
      <c r="H229" t="s">
        <v>516</v>
      </c>
      <c r="I229">
        <v>21763.29</v>
      </c>
    </row>
    <row r="230" spans="1:9">
      <c r="A230" s="90" t="s">
        <v>216</v>
      </c>
      <c r="B230" s="87">
        <v>45807</v>
      </c>
      <c r="C230" t="s">
        <v>524</v>
      </c>
      <c r="D230" t="s">
        <v>477</v>
      </c>
      <c r="E230" t="s">
        <v>706</v>
      </c>
      <c r="F230" t="s">
        <v>525</v>
      </c>
      <c r="G230" t="s">
        <v>470</v>
      </c>
      <c r="H230" t="s">
        <v>516</v>
      </c>
      <c r="I230">
        <v>20114.5</v>
      </c>
    </row>
    <row r="231" spans="1:9">
      <c r="A231" s="90" t="s">
        <v>216</v>
      </c>
      <c r="B231" s="87">
        <v>45810</v>
      </c>
      <c r="C231" t="s">
        <v>507</v>
      </c>
      <c r="D231" t="s">
        <v>508</v>
      </c>
      <c r="E231" t="s">
        <v>741</v>
      </c>
      <c r="F231" t="s">
        <v>510</v>
      </c>
      <c r="G231" t="s">
        <v>470</v>
      </c>
      <c r="H231" t="s">
        <v>487</v>
      </c>
      <c r="I231">
        <v>14194.43</v>
      </c>
    </row>
    <row r="232" spans="1:9">
      <c r="A232" s="90" t="s">
        <v>216</v>
      </c>
      <c r="B232" s="87">
        <v>45810</v>
      </c>
      <c r="C232" t="s">
        <v>742</v>
      </c>
      <c r="D232" t="s">
        <v>743</v>
      </c>
      <c r="E232" t="s">
        <v>744</v>
      </c>
      <c r="F232" t="s">
        <v>739</v>
      </c>
      <c r="G232" t="s">
        <v>470</v>
      </c>
      <c r="H232" t="s">
        <v>540</v>
      </c>
      <c r="I232">
        <v>96169.95</v>
      </c>
    </row>
    <row r="233" spans="1:9">
      <c r="A233" s="90" t="s">
        <v>216</v>
      </c>
      <c r="B233" s="87">
        <v>45810</v>
      </c>
      <c r="C233" t="s">
        <v>517</v>
      </c>
      <c r="D233" t="s">
        <v>512</v>
      </c>
      <c r="E233" t="s">
        <v>741</v>
      </c>
      <c r="F233" t="s">
        <v>474</v>
      </c>
      <c r="G233" t="s">
        <v>470</v>
      </c>
      <c r="H233" t="s">
        <v>475</v>
      </c>
      <c r="I233">
        <v>74109.539999999994</v>
      </c>
    </row>
    <row r="234" spans="1:9">
      <c r="A234" s="90" t="s">
        <v>216</v>
      </c>
      <c r="B234" s="87">
        <v>45811</v>
      </c>
      <c r="C234" t="s">
        <v>511</v>
      </c>
      <c r="D234" t="s">
        <v>512</v>
      </c>
      <c r="E234" t="s">
        <v>741</v>
      </c>
      <c r="F234" t="s">
        <v>474</v>
      </c>
      <c r="G234" t="s">
        <v>470</v>
      </c>
      <c r="H234" t="s">
        <v>475</v>
      </c>
      <c r="I234">
        <v>18689.64</v>
      </c>
    </row>
    <row r="235" spans="1:9">
      <c r="A235" s="90" t="s">
        <v>216</v>
      </c>
      <c r="B235" s="87">
        <v>45812</v>
      </c>
      <c r="C235" t="s">
        <v>511</v>
      </c>
      <c r="D235" t="s">
        <v>512</v>
      </c>
      <c r="E235" t="s">
        <v>741</v>
      </c>
      <c r="F235" t="s">
        <v>474</v>
      </c>
      <c r="G235" t="s">
        <v>470</v>
      </c>
      <c r="H235" t="s">
        <v>475</v>
      </c>
      <c r="I235">
        <v>49748.74</v>
      </c>
    </row>
    <row r="236" spans="1:9">
      <c r="A236" s="90" t="s">
        <v>216</v>
      </c>
      <c r="B236" s="87">
        <v>45813</v>
      </c>
      <c r="C236" t="s">
        <v>511</v>
      </c>
      <c r="D236" t="s">
        <v>512</v>
      </c>
      <c r="E236" t="s">
        <v>741</v>
      </c>
      <c r="F236" t="s">
        <v>474</v>
      </c>
      <c r="G236" t="s">
        <v>470</v>
      </c>
      <c r="H236" t="s">
        <v>475</v>
      </c>
      <c r="I236">
        <v>9565</v>
      </c>
    </row>
    <row r="237" spans="1:9">
      <c r="A237" s="90" t="s">
        <v>216</v>
      </c>
      <c r="B237" s="87">
        <v>45813</v>
      </c>
      <c r="C237" t="s">
        <v>511</v>
      </c>
      <c r="D237" t="s">
        <v>512</v>
      </c>
      <c r="E237" t="s">
        <v>741</v>
      </c>
      <c r="F237" t="s">
        <v>474</v>
      </c>
      <c r="G237" t="s">
        <v>470</v>
      </c>
      <c r="H237" t="s">
        <v>475</v>
      </c>
      <c r="I237">
        <v>16185.55</v>
      </c>
    </row>
    <row r="238" spans="1:9">
      <c r="A238" s="90" t="s">
        <v>216</v>
      </c>
      <c r="B238" s="87">
        <v>45814</v>
      </c>
      <c r="C238" t="s">
        <v>511</v>
      </c>
      <c r="D238" t="s">
        <v>512</v>
      </c>
      <c r="E238" t="s">
        <v>741</v>
      </c>
      <c r="F238" t="s">
        <v>474</v>
      </c>
      <c r="G238" t="s">
        <v>470</v>
      </c>
      <c r="H238" t="s">
        <v>475</v>
      </c>
      <c r="I238">
        <v>18769</v>
      </c>
    </row>
    <row r="239" spans="1:9">
      <c r="A239" s="90" t="s">
        <v>216</v>
      </c>
      <c r="B239" s="87">
        <v>45818</v>
      </c>
      <c r="C239" t="s">
        <v>511</v>
      </c>
      <c r="D239" t="s">
        <v>512</v>
      </c>
      <c r="E239" t="s">
        <v>741</v>
      </c>
      <c r="F239" t="s">
        <v>474</v>
      </c>
      <c r="G239" t="s">
        <v>470</v>
      </c>
      <c r="H239" t="s">
        <v>475</v>
      </c>
      <c r="I239">
        <v>50214.71</v>
      </c>
    </row>
    <row r="240" spans="1:9">
      <c r="A240" s="90" t="s">
        <v>216</v>
      </c>
      <c r="B240" s="87">
        <v>45819</v>
      </c>
      <c r="C240" t="s">
        <v>511</v>
      </c>
      <c r="D240" t="s">
        <v>512</v>
      </c>
      <c r="E240" t="s">
        <v>741</v>
      </c>
      <c r="F240" t="s">
        <v>474</v>
      </c>
      <c r="G240" t="s">
        <v>470</v>
      </c>
      <c r="H240" t="s">
        <v>475</v>
      </c>
      <c r="I240">
        <v>9464.65</v>
      </c>
    </row>
    <row r="241" spans="1:9">
      <c r="A241" s="90" t="s">
        <v>216</v>
      </c>
      <c r="B241" s="87">
        <v>45820</v>
      </c>
      <c r="C241" t="s">
        <v>745</v>
      </c>
      <c r="D241" t="s">
        <v>746</v>
      </c>
      <c r="E241" t="s">
        <v>741</v>
      </c>
      <c r="F241" t="s">
        <v>474</v>
      </c>
      <c r="G241" t="s">
        <v>470</v>
      </c>
      <c r="H241" t="s">
        <v>475</v>
      </c>
      <c r="I241">
        <v>2000</v>
      </c>
    </row>
    <row r="242" spans="1:9">
      <c r="A242" s="90" t="s">
        <v>216</v>
      </c>
      <c r="B242" s="87">
        <v>45820</v>
      </c>
      <c r="C242" t="s">
        <v>745</v>
      </c>
      <c r="D242" t="s">
        <v>746</v>
      </c>
      <c r="E242" t="s">
        <v>741</v>
      </c>
      <c r="F242" t="s">
        <v>525</v>
      </c>
      <c r="G242" t="s">
        <v>470</v>
      </c>
      <c r="H242" t="s">
        <v>475</v>
      </c>
      <c r="I242">
        <v>2340.39</v>
      </c>
    </row>
    <row r="243" spans="1:9">
      <c r="A243" s="90" t="s">
        <v>216</v>
      </c>
      <c r="B243" s="87">
        <v>45820</v>
      </c>
      <c r="C243" t="s">
        <v>511</v>
      </c>
      <c r="D243" t="s">
        <v>512</v>
      </c>
      <c r="E243" t="s">
        <v>747</v>
      </c>
      <c r="F243" t="s">
        <v>474</v>
      </c>
      <c r="G243" t="s">
        <v>470</v>
      </c>
      <c r="H243" t="s">
        <v>475</v>
      </c>
      <c r="I243">
        <v>10750.99</v>
      </c>
    </row>
    <row r="244" spans="1:9">
      <c r="A244" s="90" t="s">
        <v>216</v>
      </c>
      <c r="B244" s="87">
        <v>45821</v>
      </c>
      <c r="C244" t="s">
        <v>748</v>
      </c>
      <c r="D244" t="s">
        <v>571</v>
      </c>
      <c r="E244" t="s">
        <v>749</v>
      </c>
      <c r="F244" t="s">
        <v>490</v>
      </c>
      <c r="G244" t="s">
        <v>470</v>
      </c>
      <c r="H244" t="s">
        <v>540</v>
      </c>
      <c r="I244">
        <v>76818</v>
      </c>
    </row>
    <row r="245" spans="1:9">
      <c r="A245" s="90" t="s">
        <v>216</v>
      </c>
      <c r="B245" s="87">
        <v>45821</v>
      </c>
      <c r="C245" t="s">
        <v>750</v>
      </c>
      <c r="D245" t="s">
        <v>571</v>
      </c>
      <c r="E245" t="s">
        <v>751</v>
      </c>
      <c r="F245" t="s">
        <v>490</v>
      </c>
      <c r="G245" t="s">
        <v>470</v>
      </c>
      <c r="H245" t="s">
        <v>540</v>
      </c>
      <c r="I245">
        <v>77376</v>
      </c>
    </row>
    <row r="246" spans="1:9">
      <c r="A246" s="90" t="s">
        <v>216</v>
      </c>
      <c r="B246" s="87">
        <v>45821</v>
      </c>
      <c r="C246" t="s">
        <v>752</v>
      </c>
      <c r="D246" t="s">
        <v>571</v>
      </c>
      <c r="E246" t="s">
        <v>753</v>
      </c>
      <c r="F246" t="s">
        <v>490</v>
      </c>
      <c r="G246" t="s">
        <v>470</v>
      </c>
      <c r="H246" t="s">
        <v>540</v>
      </c>
      <c r="I246">
        <v>74896</v>
      </c>
    </row>
    <row r="247" spans="1:9">
      <c r="A247" s="90" t="s">
        <v>216</v>
      </c>
      <c r="B247" s="87">
        <v>45821</v>
      </c>
      <c r="C247" t="s">
        <v>754</v>
      </c>
      <c r="D247" t="s">
        <v>571</v>
      </c>
      <c r="E247" t="s">
        <v>755</v>
      </c>
      <c r="F247" t="s">
        <v>490</v>
      </c>
      <c r="G247" t="s">
        <v>470</v>
      </c>
      <c r="H247" t="s">
        <v>540</v>
      </c>
      <c r="I247">
        <v>77128</v>
      </c>
    </row>
    <row r="248" spans="1:9">
      <c r="A248" s="90" t="s">
        <v>216</v>
      </c>
      <c r="B248" s="87">
        <v>45821</v>
      </c>
      <c r="C248" t="s">
        <v>756</v>
      </c>
      <c r="D248" t="s">
        <v>571</v>
      </c>
      <c r="E248" t="s">
        <v>757</v>
      </c>
      <c r="F248" t="s">
        <v>490</v>
      </c>
      <c r="G248" t="s">
        <v>470</v>
      </c>
      <c r="H248" t="s">
        <v>540</v>
      </c>
      <c r="I248">
        <v>75671</v>
      </c>
    </row>
    <row r="249" spans="1:9">
      <c r="A249" s="90" t="s">
        <v>216</v>
      </c>
      <c r="B249" s="87">
        <v>45821</v>
      </c>
      <c r="C249" t="s">
        <v>758</v>
      </c>
      <c r="D249" t="s">
        <v>571</v>
      </c>
      <c r="E249" t="s">
        <v>759</v>
      </c>
      <c r="F249" t="s">
        <v>490</v>
      </c>
      <c r="G249" t="s">
        <v>470</v>
      </c>
      <c r="H249" t="s">
        <v>540</v>
      </c>
      <c r="I249">
        <v>48887</v>
      </c>
    </row>
    <row r="250" spans="1:9">
      <c r="A250" s="90" t="s">
        <v>216</v>
      </c>
      <c r="B250" s="87">
        <v>45821</v>
      </c>
      <c r="C250" t="s">
        <v>760</v>
      </c>
      <c r="D250" t="s">
        <v>571</v>
      </c>
      <c r="E250" t="s">
        <v>761</v>
      </c>
      <c r="F250" t="s">
        <v>490</v>
      </c>
      <c r="G250" t="s">
        <v>470</v>
      </c>
      <c r="H250" t="s">
        <v>540</v>
      </c>
      <c r="I250">
        <v>58807</v>
      </c>
    </row>
    <row r="251" spans="1:9">
      <c r="A251" s="90" t="s">
        <v>216</v>
      </c>
      <c r="B251" s="87">
        <v>45821</v>
      </c>
      <c r="C251" t="s">
        <v>762</v>
      </c>
      <c r="D251" t="s">
        <v>571</v>
      </c>
      <c r="E251" t="s">
        <v>763</v>
      </c>
      <c r="F251" t="s">
        <v>490</v>
      </c>
      <c r="G251" t="s">
        <v>470</v>
      </c>
      <c r="H251" t="s">
        <v>540</v>
      </c>
      <c r="I251">
        <v>61566</v>
      </c>
    </row>
    <row r="252" spans="1:9">
      <c r="A252" s="90" t="s">
        <v>216</v>
      </c>
      <c r="B252" s="87">
        <v>45821</v>
      </c>
      <c r="C252" t="s">
        <v>764</v>
      </c>
      <c r="D252" t="s">
        <v>571</v>
      </c>
      <c r="E252" t="s">
        <v>765</v>
      </c>
      <c r="F252" t="s">
        <v>490</v>
      </c>
      <c r="G252" t="s">
        <v>470</v>
      </c>
      <c r="H252" t="s">
        <v>540</v>
      </c>
      <c r="I252">
        <v>77686</v>
      </c>
    </row>
    <row r="253" spans="1:9">
      <c r="A253" s="90" t="s">
        <v>216</v>
      </c>
      <c r="B253" s="87">
        <v>45821</v>
      </c>
      <c r="C253" t="s">
        <v>766</v>
      </c>
      <c r="D253" t="s">
        <v>571</v>
      </c>
      <c r="E253" t="s">
        <v>767</v>
      </c>
      <c r="F253" t="s">
        <v>490</v>
      </c>
      <c r="G253" t="s">
        <v>470</v>
      </c>
      <c r="H253" t="s">
        <v>540</v>
      </c>
      <c r="I253">
        <v>76074</v>
      </c>
    </row>
    <row r="254" spans="1:9">
      <c r="A254" s="90" t="s">
        <v>216</v>
      </c>
      <c r="B254" s="87">
        <v>45821</v>
      </c>
      <c r="C254" t="s">
        <v>768</v>
      </c>
      <c r="D254" t="s">
        <v>571</v>
      </c>
      <c r="E254" t="s">
        <v>769</v>
      </c>
      <c r="F254" t="s">
        <v>490</v>
      </c>
      <c r="G254" t="s">
        <v>470</v>
      </c>
      <c r="H254" t="s">
        <v>540</v>
      </c>
      <c r="I254">
        <v>60419</v>
      </c>
    </row>
    <row r="255" spans="1:9">
      <c r="A255" s="90" t="s">
        <v>216</v>
      </c>
      <c r="B255" s="87">
        <v>45821</v>
      </c>
      <c r="C255" t="s">
        <v>770</v>
      </c>
      <c r="D255" t="s">
        <v>571</v>
      </c>
      <c r="E255" t="s">
        <v>771</v>
      </c>
      <c r="F255" t="s">
        <v>490</v>
      </c>
      <c r="G255" t="s">
        <v>470</v>
      </c>
      <c r="H255" t="s">
        <v>540</v>
      </c>
      <c r="I255">
        <v>23938.2</v>
      </c>
    </row>
    <row r="256" spans="1:9">
      <c r="A256" s="90" t="s">
        <v>216</v>
      </c>
      <c r="B256" s="87">
        <v>45821</v>
      </c>
      <c r="C256" t="s">
        <v>517</v>
      </c>
      <c r="D256" t="s">
        <v>512</v>
      </c>
      <c r="E256" t="s">
        <v>741</v>
      </c>
      <c r="F256" t="s">
        <v>474</v>
      </c>
      <c r="G256" t="s">
        <v>470</v>
      </c>
      <c r="H256" t="s">
        <v>475</v>
      </c>
      <c r="I256">
        <v>761954.23</v>
      </c>
    </row>
    <row r="257" spans="1:9">
      <c r="A257" s="90" t="s">
        <v>216</v>
      </c>
      <c r="B257" s="87">
        <v>45824</v>
      </c>
      <c r="C257" t="s">
        <v>511</v>
      </c>
      <c r="D257" t="s">
        <v>512</v>
      </c>
      <c r="E257" t="s">
        <v>741</v>
      </c>
      <c r="F257" t="s">
        <v>474</v>
      </c>
      <c r="G257" t="s">
        <v>470</v>
      </c>
      <c r="H257" t="s">
        <v>475</v>
      </c>
      <c r="I257">
        <v>8212.41</v>
      </c>
    </row>
    <row r="258" spans="1:9">
      <c r="A258" s="90" t="s">
        <v>216</v>
      </c>
      <c r="B258" s="87">
        <v>45825</v>
      </c>
      <c r="C258" t="s">
        <v>511</v>
      </c>
      <c r="D258" t="s">
        <v>512</v>
      </c>
      <c r="E258" t="s">
        <v>741</v>
      </c>
      <c r="F258" t="s">
        <v>474</v>
      </c>
      <c r="G258" t="s">
        <v>470</v>
      </c>
      <c r="H258" t="s">
        <v>475</v>
      </c>
      <c r="I258">
        <v>62296.56</v>
      </c>
    </row>
    <row r="259" spans="1:9">
      <c r="A259" s="90" t="s">
        <v>216</v>
      </c>
      <c r="B259" s="87">
        <v>45826</v>
      </c>
      <c r="C259" t="s">
        <v>511</v>
      </c>
      <c r="D259" t="s">
        <v>512</v>
      </c>
      <c r="E259" t="s">
        <v>741</v>
      </c>
      <c r="F259" t="s">
        <v>474</v>
      </c>
      <c r="G259" t="s">
        <v>470</v>
      </c>
      <c r="H259" t="s">
        <v>475</v>
      </c>
      <c r="I259">
        <v>3517.83</v>
      </c>
    </row>
    <row r="260" spans="1:9">
      <c r="A260" s="90" t="s">
        <v>216</v>
      </c>
      <c r="B260" s="87">
        <v>45828</v>
      </c>
      <c r="C260" t="s">
        <v>511</v>
      </c>
      <c r="D260" t="s">
        <v>512</v>
      </c>
      <c r="E260" t="s">
        <v>741</v>
      </c>
      <c r="F260" t="s">
        <v>474</v>
      </c>
      <c r="G260" t="s">
        <v>470</v>
      </c>
      <c r="H260" t="s">
        <v>475</v>
      </c>
      <c r="I260">
        <v>191515.37</v>
      </c>
    </row>
    <row r="261" spans="1:9">
      <c r="A261" s="90" t="s">
        <v>216</v>
      </c>
      <c r="B261" s="87">
        <v>45828</v>
      </c>
      <c r="C261" t="s">
        <v>772</v>
      </c>
      <c r="D261" t="s">
        <v>773</v>
      </c>
      <c r="E261" t="s">
        <v>706</v>
      </c>
      <c r="F261" t="s">
        <v>469</v>
      </c>
      <c r="G261" t="s">
        <v>470</v>
      </c>
      <c r="H261" t="s">
        <v>475</v>
      </c>
      <c r="I261">
        <v>3873.07</v>
      </c>
    </row>
    <row r="262" spans="1:9">
      <c r="A262" s="90" t="s">
        <v>216</v>
      </c>
      <c r="B262" s="87">
        <v>45831</v>
      </c>
      <c r="C262" t="s">
        <v>511</v>
      </c>
      <c r="D262" t="s">
        <v>512</v>
      </c>
      <c r="E262" t="s">
        <v>741</v>
      </c>
      <c r="F262" t="s">
        <v>474</v>
      </c>
      <c r="G262" t="s">
        <v>470</v>
      </c>
      <c r="H262" t="s">
        <v>475</v>
      </c>
      <c r="I262">
        <v>19717.87</v>
      </c>
    </row>
    <row r="263" spans="1:9">
      <c r="A263" s="90" t="s">
        <v>216</v>
      </c>
      <c r="B263" s="87">
        <v>45832</v>
      </c>
      <c r="C263" t="s">
        <v>511</v>
      </c>
      <c r="D263" t="s">
        <v>512</v>
      </c>
      <c r="E263" t="s">
        <v>741</v>
      </c>
      <c r="F263" t="s">
        <v>474</v>
      </c>
      <c r="G263" t="s">
        <v>470</v>
      </c>
      <c r="H263" t="s">
        <v>475</v>
      </c>
      <c r="I263">
        <v>1112.5</v>
      </c>
    </row>
    <row r="264" spans="1:9">
      <c r="A264" s="90" t="s">
        <v>216</v>
      </c>
      <c r="B264" s="87">
        <v>45833</v>
      </c>
      <c r="C264" t="s">
        <v>511</v>
      </c>
      <c r="D264" t="s">
        <v>512</v>
      </c>
      <c r="E264" t="s">
        <v>741</v>
      </c>
      <c r="F264" t="s">
        <v>474</v>
      </c>
      <c r="G264" t="s">
        <v>470</v>
      </c>
      <c r="H264" t="s">
        <v>475</v>
      </c>
      <c r="I264">
        <v>15937.38</v>
      </c>
    </row>
    <row r="265" spans="1:9">
      <c r="A265" s="90" t="s">
        <v>216</v>
      </c>
      <c r="B265" s="87">
        <v>45834</v>
      </c>
      <c r="C265" t="s">
        <v>511</v>
      </c>
      <c r="D265" t="s">
        <v>512</v>
      </c>
      <c r="E265" t="s">
        <v>741</v>
      </c>
      <c r="F265" t="s">
        <v>474</v>
      </c>
      <c r="G265" t="s">
        <v>470</v>
      </c>
      <c r="H265" t="s">
        <v>475</v>
      </c>
      <c r="I265">
        <v>160153.14000000001</v>
      </c>
    </row>
    <row r="266" spans="1:9">
      <c r="A266" s="90" t="s">
        <v>216</v>
      </c>
      <c r="B266" s="87">
        <v>45835</v>
      </c>
      <c r="C266" t="s">
        <v>774</v>
      </c>
      <c r="D266" t="s">
        <v>571</v>
      </c>
      <c r="E266" t="s">
        <v>775</v>
      </c>
      <c r="F266" t="s">
        <v>490</v>
      </c>
      <c r="G266" t="s">
        <v>470</v>
      </c>
      <c r="H266" t="s">
        <v>540</v>
      </c>
      <c r="I266">
        <v>49910</v>
      </c>
    </row>
    <row r="267" spans="1:9">
      <c r="A267" s="90" t="s">
        <v>216</v>
      </c>
      <c r="B267" s="87">
        <v>45835</v>
      </c>
      <c r="C267" t="s">
        <v>770</v>
      </c>
      <c r="D267" t="s">
        <v>571</v>
      </c>
      <c r="E267" t="s">
        <v>771</v>
      </c>
      <c r="F267" t="s">
        <v>490</v>
      </c>
      <c r="G267" t="s">
        <v>470</v>
      </c>
      <c r="H267" t="s">
        <v>540</v>
      </c>
      <c r="I267">
        <v>37627.800000000003</v>
      </c>
    </row>
    <row r="268" spans="1:9">
      <c r="A268" s="90" t="s">
        <v>216</v>
      </c>
      <c r="B268" s="87">
        <v>45835</v>
      </c>
      <c r="C268" t="s">
        <v>517</v>
      </c>
      <c r="D268" t="s">
        <v>512</v>
      </c>
      <c r="E268" t="s">
        <v>741</v>
      </c>
      <c r="F268" t="s">
        <v>474</v>
      </c>
      <c r="G268" t="s">
        <v>470</v>
      </c>
      <c r="H268" t="s">
        <v>475</v>
      </c>
      <c r="I268">
        <v>15054.94</v>
      </c>
    </row>
    <row r="269" spans="1:9">
      <c r="A269" s="90" t="s">
        <v>216</v>
      </c>
      <c r="B269" s="87">
        <v>45838</v>
      </c>
      <c r="C269" t="s">
        <v>776</v>
      </c>
      <c r="D269" t="s">
        <v>535</v>
      </c>
      <c r="E269" t="s">
        <v>777</v>
      </c>
      <c r="F269" t="s">
        <v>537</v>
      </c>
      <c r="G269" t="s">
        <v>470</v>
      </c>
      <c r="H269" t="s">
        <v>475</v>
      </c>
      <c r="I269">
        <v>127728.54</v>
      </c>
    </row>
    <row r="270" spans="1:9">
      <c r="A270" s="90" t="s">
        <v>216</v>
      </c>
      <c r="B270" s="87">
        <v>45838</v>
      </c>
      <c r="C270" t="s">
        <v>511</v>
      </c>
      <c r="D270" t="s">
        <v>512</v>
      </c>
      <c r="E270" t="s">
        <v>741</v>
      </c>
      <c r="F270" t="s">
        <v>474</v>
      </c>
      <c r="G270" t="s">
        <v>470</v>
      </c>
      <c r="H270" t="s">
        <v>475</v>
      </c>
      <c r="I270">
        <v>190963.92</v>
      </c>
    </row>
    <row r="271" spans="1:9">
      <c r="A271" s="90" t="s">
        <v>216</v>
      </c>
      <c r="B271" s="87">
        <v>45838</v>
      </c>
      <c r="C271" t="s">
        <v>524</v>
      </c>
      <c r="D271" t="s">
        <v>477</v>
      </c>
      <c r="E271" t="s">
        <v>741</v>
      </c>
      <c r="F271" t="s">
        <v>525</v>
      </c>
      <c r="G271" t="s">
        <v>470</v>
      </c>
      <c r="H271" t="s">
        <v>516</v>
      </c>
      <c r="I271">
        <v>304.33999999999997</v>
      </c>
    </row>
    <row r="272" spans="1:9">
      <c r="A272" s="90" t="s">
        <v>216</v>
      </c>
      <c r="B272" s="87">
        <v>45838</v>
      </c>
      <c r="C272" t="s">
        <v>524</v>
      </c>
      <c r="D272" t="s">
        <v>477</v>
      </c>
      <c r="E272" t="s">
        <v>741</v>
      </c>
      <c r="F272" t="s">
        <v>525</v>
      </c>
      <c r="G272" t="s">
        <v>470</v>
      </c>
      <c r="H272" t="s">
        <v>516</v>
      </c>
      <c r="I272">
        <v>17587.099999999999</v>
      </c>
    </row>
    <row r="273" spans="1:9">
      <c r="A273" s="90" t="s">
        <v>216</v>
      </c>
      <c r="B273" s="87">
        <v>45838</v>
      </c>
      <c r="C273" t="s">
        <v>524</v>
      </c>
      <c r="D273" t="s">
        <v>477</v>
      </c>
      <c r="E273" t="s">
        <v>741</v>
      </c>
      <c r="F273" t="s">
        <v>525</v>
      </c>
      <c r="G273" t="s">
        <v>470</v>
      </c>
      <c r="H273" t="s">
        <v>516</v>
      </c>
      <c r="I273">
        <v>22824.94</v>
      </c>
    </row>
    <row r="274" spans="1:9">
      <c r="A274" s="90" t="s">
        <v>216</v>
      </c>
      <c r="B274" s="87">
        <v>45839</v>
      </c>
      <c r="C274" t="s">
        <v>507</v>
      </c>
      <c r="D274" t="s">
        <v>508</v>
      </c>
      <c r="E274" t="s">
        <v>778</v>
      </c>
      <c r="F274" t="s">
        <v>510</v>
      </c>
      <c r="G274" t="s">
        <v>470</v>
      </c>
      <c r="H274" t="s">
        <v>487</v>
      </c>
      <c r="I274">
        <v>13856.89</v>
      </c>
    </row>
    <row r="275" spans="1:9">
      <c r="A275" s="90" t="s">
        <v>216</v>
      </c>
      <c r="B275" s="87">
        <v>45839</v>
      </c>
      <c r="C275" t="s">
        <v>511</v>
      </c>
      <c r="D275" t="s">
        <v>512</v>
      </c>
      <c r="E275" t="s">
        <v>778</v>
      </c>
      <c r="F275" t="s">
        <v>474</v>
      </c>
      <c r="G275" t="s">
        <v>470</v>
      </c>
      <c r="H275" t="s">
        <v>475</v>
      </c>
      <c r="I275">
        <v>4238.62</v>
      </c>
    </row>
    <row r="276" spans="1:9">
      <c r="A276" s="90" t="s">
        <v>216</v>
      </c>
      <c r="B276" s="87">
        <v>45840</v>
      </c>
      <c r="C276" t="s">
        <v>511</v>
      </c>
      <c r="D276" t="s">
        <v>512</v>
      </c>
      <c r="E276" t="s">
        <v>778</v>
      </c>
      <c r="F276" t="s">
        <v>474</v>
      </c>
      <c r="G276" t="s">
        <v>470</v>
      </c>
      <c r="H276" t="s">
        <v>475</v>
      </c>
      <c r="I276">
        <v>82469.78</v>
      </c>
    </row>
    <row r="277" spans="1:9">
      <c r="A277" s="90" t="s">
        <v>216</v>
      </c>
      <c r="B277" s="87">
        <v>45841</v>
      </c>
      <c r="C277" t="s">
        <v>511</v>
      </c>
      <c r="D277" t="s">
        <v>512</v>
      </c>
      <c r="E277" t="s">
        <v>778</v>
      </c>
      <c r="F277" t="s">
        <v>474</v>
      </c>
      <c r="G277" t="s">
        <v>470</v>
      </c>
      <c r="H277" t="s">
        <v>475</v>
      </c>
      <c r="I277">
        <v>15361</v>
      </c>
    </row>
    <row r="278" spans="1:9">
      <c r="A278" s="90" t="s">
        <v>216</v>
      </c>
      <c r="B278" s="87">
        <v>45842</v>
      </c>
      <c r="C278" t="s">
        <v>511</v>
      </c>
      <c r="D278" t="s">
        <v>512</v>
      </c>
      <c r="E278" t="s">
        <v>778</v>
      </c>
      <c r="F278" t="s">
        <v>474</v>
      </c>
      <c r="G278" t="s">
        <v>470</v>
      </c>
      <c r="H278" t="s">
        <v>475</v>
      </c>
      <c r="I278">
        <v>21632.3</v>
      </c>
    </row>
    <row r="279" spans="1:9">
      <c r="A279" s="90" t="s">
        <v>216</v>
      </c>
      <c r="B279" s="87">
        <v>45842</v>
      </c>
      <c r="C279" t="s">
        <v>511</v>
      </c>
      <c r="D279" t="s">
        <v>512</v>
      </c>
      <c r="E279" t="s">
        <v>778</v>
      </c>
      <c r="F279" t="s">
        <v>474</v>
      </c>
      <c r="G279" t="s">
        <v>470</v>
      </c>
      <c r="H279" t="s">
        <v>475</v>
      </c>
      <c r="I279">
        <v>84184.85</v>
      </c>
    </row>
    <row r="280" spans="1:9">
      <c r="A280" s="90" t="s">
        <v>216</v>
      </c>
      <c r="B280" s="87">
        <v>45845</v>
      </c>
      <c r="C280" t="s">
        <v>511</v>
      </c>
      <c r="D280" t="s">
        <v>512</v>
      </c>
      <c r="E280" t="s">
        <v>778</v>
      </c>
      <c r="F280" t="s">
        <v>474</v>
      </c>
      <c r="G280" t="s">
        <v>470</v>
      </c>
      <c r="H280" t="s">
        <v>475</v>
      </c>
      <c r="I280">
        <v>109499.19</v>
      </c>
    </row>
    <row r="281" spans="1:9">
      <c r="A281" s="90" t="s">
        <v>216</v>
      </c>
      <c r="B281" s="87">
        <v>45846</v>
      </c>
      <c r="C281" t="s">
        <v>511</v>
      </c>
      <c r="D281" t="s">
        <v>512</v>
      </c>
      <c r="E281" t="s">
        <v>778</v>
      </c>
      <c r="F281" t="s">
        <v>474</v>
      </c>
      <c r="G281" t="s">
        <v>470</v>
      </c>
      <c r="H281" t="s">
        <v>475</v>
      </c>
      <c r="I281">
        <v>93827.16</v>
      </c>
    </row>
    <row r="282" spans="1:9">
      <c r="A282" s="90" t="s">
        <v>216</v>
      </c>
      <c r="B282" s="87">
        <v>45847</v>
      </c>
      <c r="C282" t="s">
        <v>779</v>
      </c>
      <c r="D282" t="s">
        <v>512</v>
      </c>
      <c r="E282" t="s">
        <v>778</v>
      </c>
      <c r="F282" t="s">
        <v>474</v>
      </c>
      <c r="G282" t="s">
        <v>470</v>
      </c>
      <c r="H282" t="s">
        <v>475</v>
      </c>
      <c r="I282">
        <v>81452.429999999993</v>
      </c>
    </row>
    <row r="283" spans="1:9">
      <c r="A283" s="90" t="s">
        <v>216</v>
      </c>
      <c r="B283" s="87">
        <v>45848</v>
      </c>
      <c r="C283" t="s">
        <v>511</v>
      </c>
      <c r="D283" t="s">
        <v>512</v>
      </c>
      <c r="E283" t="s">
        <v>778</v>
      </c>
      <c r="F283" t="s">
        <v>474</v>
      </c>
      <c r="G283" t="s">
        <v>470</v>
      </c>
      <c r="H283" t="s">
        <v>475</v>
      </c>
      <c r="I283">
        <v>30225.93</v>
      </c>
    </row>
    <row r="284" spans="1:9">
      <c r="A284" s="90" t="s">
        <v>216</v>
      </c>
      <c r="B284" s="87">
        <v>45849</v>
      </c>
      <c r="C284" t="s">
        <v>511</v>
      </c>
      <c r="D284" t="s">
        <v>512</v>
      </c>
      <c r="E284" t="s">
        <v>780</v>
      </c>
      <c r="F284" t="s">
        <v>474</v>
      </c>
      <c r="G284" t="s">
        <v>470</v>
      </c>
      <c r="H284" t="s">
        <v>475</v>
      </c>
      <c r="I284">
        <v>104155.2</v>
      </c>
    </row>
    <row r="285" spans="1:9">
      <c r="A285" s="90" t="s">
        <v>216</v>
      </c>
      <c r="B285" s="87">
        <v>45852</v>
      </c>
      <c r="C285" t="s">
        <v>511</v>
      </c>
      <c r="D285" t="s">
        <v>512</v>
      </c>
      <c r="E285" t="s">
        <v>778</v>
      </c>
      <c r="F285" t="s">
        <v>474</v>
      </c>
      <c r="G285" t="s">
        <v>470</v>
      </c>
      <c r="H285" t="s">
        <v>475</v>
      </c>
      <c r="I285">
        <v>185084.33</v>
      </c>
    </row>
    <row r="286" spans="1:9">
      <c r="A286" s="90" t="s">
        <v>216</v>
      </c>
      <c r="B286" s="87">
        <v>45853</v>
      </c>
      <c r="C286" t="s">
        <v>511</v>
      </c>
      <c r="D286" t="s">
        <v>512</v>
      </c>
      <c r="E286" t="s">
        <v>778</v>
      </c>
      <c r="F286" t="s">
        <v>474</v>
      </c>
      <c r="G286" t="s">
        <v>470</v>
      </c>
      <c r="H286" t="s">
        <v>475</v>
      </c>
      <c r="I286">
        <v>3954.8</v>
      </c>
    </row>
    <row r="287" spans="1:9">
      <c r="A287" s="90" t="s">
        <v>216</v>
      </c>
      <c r="B287" s="87">
        <v>45854</v>
      </c>
      <c r="C287" t="s">
        <v>511</v>
      </c>
      <c r="D287" t="s">
        <v>512</v>
      </c>
      <c r="E287" t="s">
        <v>778</v>
      </c>
      <c r="F287" t="s">
        <v>474</v>
      </c>
      <c r="G287" t="s">
        <v>470</v>
      </c>
      <c r="H287" t="s">
        <v>475</v>
      </c>
      <c r="I287">
        <v>73142.509999999995</v>
      </c>
    </row>
    <row r="288" spans="1:9">
      <c r="A288" s="90" t="s">
        <v>216</v>
      </c>
      <c r="B288" s="87">
        <v>45855</v>
      </c>
      <c r="C288" t="s">
        <v>511</v>
      </c>
      <c r="D288" t="s">
        <v>512</v>
      </c>
      <c r="E288" t="s">
        <v>778</v>
      </c>
      <c r="F288" t="s">
        <v>474</v>
      </c>
      <c r="G288" t="s">
        <v>470</v>
      </c>
      <c r="H288" t="s">
        <v>475</v>
      </c>
      <c r="I288">
        <v>10992.82</v>
      </c>
    </row>
    <row r="289" spans="1:9">
      <c r="A289" s="90" t="s">
        <v>216</v>
      </c>
      <c r="B289" s="87">
        <v>45856</v>
      </c>
      <c r="C289" t="s">
        <v>772</v>
      </c>
      <c r="D289" t="s">
        <v>773</v>
      </c>
      <c r="E289" t="s">
        <v>778</v>
      </c>
      <c r="F289" t="s">
        <v>469</v>
      </c>
      <c r="G289" t="s">
        <v>470</v>
      </c>
      <c r="H289" t="s">
        <v>475</v>
      </c>
      <c r="I289">
        <v>1263.4100000000001</v>
      </c>
    </row>
    <row r="290" spans="1:9">
      <c r="A290" s="90" t="s">
        <v>216</v>
      </c>
      <c r="B290" s="87">
        <v>45856</v>
      </c>
      <c r="C290" t="s">
        <v>511</v>
      </c>
      <c r="D290" t="s">
        <v>512</v>
      </c>
      <c r="E290" t="s">
        <v>778</v>
      </c>
      <c r="F290" t="s">
        <v>474</v>
      </c>
      <c r="G290" t="s">
        <v>470</v>
      </c>
      <c r="H290" t="s">
        <v>475</v>
      </c>
      <c r="I290">
        <v>91205.07</v>
      </c>
    </row>
    <row r="291" spans="1:9">
      <c r="A291" s="90" t="s">
        <v>216</v>
      </c>
      <c r="B291" s="87">
        <v>45859</v>
      </c>
      <c r="C291" t="s">
        <v>511</v>
      </c>
      <c r="D291" t="s">
        <v>512</v>
      </c>
      <c r="E291" t="s">
        <v>778</v>
      </c>
      <c r="F291" t="s">
        <v>474</v>
      </c>
      <c r="G291" t="s">
        <v>470</v>
      </c>
      <c r="H291" t="s">
        <v>475</v>
      </c>
      <c r="I291">
        <v>199486.44</v>
      </c>
    </row>
    <row r="292" spans="1:9">
      <c r="A292" s="90" t="s">
        <v>216</v>
      </c>
      <c r="B292" s="87">
        <v>45861</v>
      </c>
      <c r="C292" t="s">
        <v>781</v>
      </c>
      <c r="D292" t="s">
        <v>535</v>
      </c>
      <c r="E292" t="s">
        <v>777</v>
      </c>
      <c r="F292" t="s">
        <v>537</v>
      </c>
      <c r="G292" t="s">
        <v>470</v>
      </c>
      <c r="H292" t="s">
        <v>475</v>
      </c>
      <c r="I292">
        <v>2252271.46</v>
      </c>
    </row>
    <row r="293" spans="1:9">
      <c r="A293" s="90" t="s">
        <v>216</v>
      </c>
      <c r="B293" s="87">
        <v>45861</v>
      </c>
      <c r="C293" t="s">
        <v>782</v>
      </c>
      <c r="D293" t="s">
        <v>737</v>
      </c>
      <c r="E293" t="s">
        <v>783</v>
      </c>
      <c r="F293" t="s">
        <v>739</v>
      </c>
      <c r="G293" t="s">
        <v>470</v>
      </c>
      <c r="H293" t="s">
        <v>540</v>
      </c>
      <c r="I293">
        <v>21214.5</v>
      </c>
    </row>
    <row r="294" spans="1:9">
      <c r="A294" s="90" t="s">
        <v>216</v>
      </c>
      <c r="B294" s="87">
        <v>45861</v>
      </c>
      <c r="C294" t="s">
        <v>517</v>
      </c>
      <c r="D294" t="s">
        <v>512</v>
      </c>
      <c r="E294" t="s">
        <v>778</v>
      </c>
      <c r="F294" t="s">
        <v>474</v>
      </c>
      <c r="G294" t="s">
        <v>470</v>
      </c>
      <c r="H294" t="s">
        <v>475</v>
      </c>
      <c r="I294">
        <v>2000000</v>
      </c>
    </row>
    <row r="295" spans="1:9">
      <c r="A295" s="90" t="s">
        <v>216</v>
      </c>
      <c r="B295" s="87">
        <v>45861</v>
      </c>
      <c r="C295" t="s">
        <v>517</v>
      </c>
      <c r="D295" t="s">
        <v>512</v>
      </c>
      <c r="E295" t="s">
        <v>778</v>
      </c>
      <c r="F295" t="s">
        <v>474</v>
      </c>
      <c r="G295" t="s">
        <v>470</v>
      </c>
      <c r="H295" t="s">
        <v>475</v>
      </c>
      <c r="I295">
        <v>193868.79999999999</v>
      </c>
    </row>
    <row r="296" spans="1:9">
      <c r="A296" s="90" t="s">
        <v>216</v>
      </c>
      <c r="B296" s="87">
        <v>45862</v>
      </c>
      <c r="C296" t="s">
        <v>511</v>
      </c>
      <c r="D296" t="s">
        <v>512</v>
      </c>
      <c r="E296" t="s">
        <v>778</v>
      </c>
      <c r="F296" t="s">
        <v>474</v>
      </c>
      <c r="G296" t="s">
        <v>470</v>
      </c>
      <c r="H296" t="s">
        <v>475</v>
      </c>
      <c r="I296">
        <v>18014.32</v>
      </c>
    </row>
    <row r="297" spans="1:9">
      <c r="A297" s="90" t="s">
        <v>216</v>
      </c>
      <c r="B297" s="87">
        <v>45863</v>
      </c>
      <c r="C297" t="s">
        <v>511</v>
      </c>
      <c r="D297" t="s">
        <v>512</v>
      </c>
      <c r="E297" t="s">
        <v>778</v>
      </c>
      <c r="F297" t="s">
        <v>474</v>
      </c>
      <c r="G297" t="s">
        <v>470</v>
      </c>
      <c r="H297" t="s">
        <v>475</v>
      </c>
      <c r="I297">
        <v>111563.24</v>
      </c>
    </row>
    <row r="298" spans="1:9">
      <c r="A298" s="90" t="s">
        <v>216</v>
      </c>
      <c r="B298" s="87">
        <v>45866</v>
      </c>
      <c r="C298" t="s">
        <v>511</v>
      </c>
      <c r="D298" t="s">
        <v>512</v>
      </c>
      <c r="E298" t="s">
        <v>778</v>
      </c>
      <c r="F298" t="s">
        <v>474</v>
      </c>
      <c r="G298" t="s">
        <v>470</v>
      </c>
      <c r="H298" t="s">
        <v>475</v>
      </c>
      <c r="I298">
        <v>52649.46</v>
      </c>
    </row>
    <row r="299" spans="1:9">
      <c r="A299" s="90" t="s">
        <v>216</v>
      </c>
      <c r="B299" s="87">
        <v>45867</v>
      </c>
      <c r="C299" t="s">
        <v>511</v>
      </c>
      <c r="D299" t="s">
        <v>512</v>
      </c>
      <c r="E299" t="s">
        <v>778</v>
      </c>
      <c r="F299" t="s">
        <v>474</v>
      </c>
      <c r="G299" t="s">
        <v>470</v>
      </c>
      <c r="H299" t="s">
        <v>475</v>
      </c>
      <c r="I299">
        <v>9815.2800000000007</v>
      </c>
    </row>
    <row r="300" spans="1:9">
      <c r="A300" s="90" t="s">
        <v>216</v>
      </c>
      <c r="B300" s="87">
        <v>45868</v>
      </c>
      <c r="C300" t="s">
        <v>784</v>
      </c>
      <c r="D300" t="s">
        <v>785</v>
      </c>
      <c r="E300" t="s">
        <v>778</v>
      </c>
      <c r="F300" t="s">
        <v>469</v>
      </c>
      <c r="G300" t="s">
        <v>470</v>
      </c>
      <c r="H300" t="s">
        <v>475</v>
      </c>
      <c r="I300">
        <v>65933.119999999995</v>
      </c>
    </row>
    <row r="301" spans="1:9">
      <c r="A301" s="90" t="s">
        <v>216</v>
      </c>
      <c r="B301" s="87">
        <v>45868</v>
      </c>
      <c r="C301" t="s">
        <v>511</v>
      </c>
      <c r="D301" t="s">
        <v>512</v>
      </c>
      <c r="E301" t="s">
        <v>778</v>
      </c>
      <c r="F301" t="s">
        <v>474</v>
      </c>
      <c r="G301" t="s">
        <v>470</v>
      </c>
      <c r="H301" t="s">
        <v>475</v>
      </c>
      <c r="I301">
        <v>1828.82</v>
      </c>
    </row>
    <row r="302" spans="1:9">
      <c r="A302" s="90" t="s">
        <v>216</v>
      </c>
      <c r="B302" s="87">
        <v>45868</v>
      </c>
      <c r="C302" t="s">
        <v>511</v>
      </c>
      <c r="D302" t="s">
        <v>512</v>
      </c>
      <c r="E302" t="s">
        <v>778</v>
      </c>
      <c r="F302" t="s">
        <v>474</v>
      </c>
      <c r="G302" t="s">
        <v>470</v>
      </c>
      <c r="H302" t="s">
        <v>475</v>
      </c>
      <c r="I302">
        <v>1374.66</v>
      </c>
    </row>
    <row r="303" spans="1:9">
      <c r="A303" s="90" t="s">
        <v>216</v>
      </c>
      <c r="B303" s="87">
        <v>45869</v>
      </c>
      <c r="C303" t="s">
        <v>511</v>
      </c>
      <c r="D303" t="s">
        <v>512</v>
      </c>
      <c r="E303" t="s">
        <v>778</v>
      </c>
      <c r="F303" t="s">
        <v>474</v>
      </c>
      <c r="G303" t="s">
        <v>470</v>
      </c>
      <c r="H303" t="s">
        <v>475</v>
      </c>
      <c r="I303">
        <v>33359.78</v>
      </c>
    </row>
    <row r="304" spans="1:9">
      <c r="A304" s="90" t="s">
        <v>216</v>
      </c>
      <c r="B304" s="87">
        <v>45869</v>
      </c>
      <c r="C304" t="s">
        <v>524</v>
      </c>
      <c r="D304" t="s">
        <v>786</v>
      </c>
      <c r="E304" t="s">
        <v>778</v>
      </c>
      <c r="F304" t="s">
        <v>525</v>
      </c>
      <c r="G304" t="s">
        <v>470</v>
      </c>
      <c r="H304" t="s">
        <v>787</v>
      </c>
      <c r="I304">
        <v>12588.26</v>
      </c>
    </row>
    <row r="305" spans="1:9">
      <c r="A305" s="90" t="s">
        <v>216</v>
      </c>
      <c r="B305" s="87">
        <v>45869</v>
      </c>
      <c r="C305" t="s">
        <v>524</v>
      </c>
      <c r="D305" t="s">
        <v>477</v>
      </c>
      <c r="E305" t="s">
        <v>778</v>
      </c>
      <c r="F305" t="s">
        <v>525</v>
      </c>
      <c r="G305" t="s">
        <v>470</v>
      </c>
      <c r="H305" t="s">
        <v>516</v>
      </c>
      <c r="I305">
        <v>33657.72</v>
      </c>
    </row>
    <row r="306" spans="1:9">
      <c r="A306" s="90" t="s">
        <v>216</v>
      </c>
      <c r="B306" s="87">
        <v>45869</v>
      </c>
      <c r="C306" t="s">
        <v>524</v>
      </c>
      <c r="D306" t="s">
        <v>477</v>
      </c>
      <c r="E306" t="s">
        <v>778</v>
      </c>
      <c r="F306" t="s">
        <v>525</v>
      </c>
      <c r="G306" t="s">
        <v>470</v>
      </c>
      <c r="H306" t="s">
        <v>516</v>
      </c>
      <c r="I306">
        <v>41.29</v>
      </c>
    </row>
    <row r="307" spans="1:9">
      <c r="A307" s="90" t="s">
        <v>216</v>
      </c>
      <c r="B307" s="87">
        <v>45870</v>
      </c>
      <c r="C307" t="s">
        <v>507</v>
      </c>
      <c r="D307" t="s">
        <v>508</v>
      </c>
      <c r="E307" t="s">
        <v>788</v>
      </c>
      <c r="F307" t="s">
        <v>510</v>
      </c>
      <c r="G307" t="s">
        <v>470</v>
      </c>
      <c r="H307" t="s">
        <v>516</v>
      </c>
      <c r="I307">
        <v>13735.57</v>
      </c>
    </row>
    <row r="308" spans="1:9">
      <c r="A308" s="90" t="s">
        <v>216</v>
      </c>
      <c r="B308" s="87">
        <v>45870</v>
      </c>
      <c r="C308" t="s">
        <v>511</v>
      </c>
      <c r="D308" t="s">
        <v>512</v>
      </c>
      <c r="E308" t="s">
        <v>788</v>
      </c>
      <c r="F308" t="s">
        <v>474</v>
      </c>
      <c r="G308" t="s">
        <v>470</v>
      </c>
      <c r="H308" t="s">
        <v>475</v>
      </c>
      <c r="I308">
        <v>41658.01</v>
      </c>
    </row>
    <row r="309" spans="1:9">
      <c r="A309" s="90" t="s">
        <v>216</v>
      </c>
      <c r="B309" s="87">
        <v>45873</v>
      </c>
      <c r="C309" t="s">
        <v>511</v>
      </c>
      <c r="D309" t="s">
        <v>512</v>
      </c>
      <c r="E309" t="s">
        <v>788</v>
      </c>
      <c r="F309" t="s">
        <v>474</v>
      </c>
      <c r="G309" t="s">
        <v>470</v>
      </c>
      <c r="H309" t="s">
        <v>475</v>
      </c>
      <c r="I309">
        <v>4928.17</v>
      </c>
    </row>
    <row r="310" spans="1:9">
      <c r="A310" s="90" t="s">
        <v>216</v>
      </c>
      <c r="B310" s="87">
        <v>45873</v>
      </c>
      <c r="C310" t="s">
        <v>789</v>
      </c>
      <c r="D310" t="s">
        <v>477</v>
      </c>
      <c r="E310" t="s">
        <v>788</v>
      </c>
      <c r="F310" t="s">
        <v>469</v>
      </c>
      <c r="G310" t="s">
        <v>470</v>
      </c>
      <c r="H310" t="s">
        <v>516</v>
      </c>
      <c r="I310">
        <v>65.209999999999994</v>
      </c>
    </row>
    <row r="311" spans="1:9">
      <c r="A311" s="90" t="s">
        <v>216</v>
      </c>
      <c r="B311" s="87">
        <v>45873</v>
      </c>
      <c r="C311" t="s">
        <v>790</v>
      </c>
      <c r="D311" t="s">
        <v>512</v>
      </c>
      <c r="E311" t="s">
        <v>788</v>
      </c>
      <c r="F311" t="s">
        <v>474</v>
      </c>
      <c r="G311" t="s">
        <v>470</v>
      </c>
      <c r="H311" t="s">
        <v>475</v>
      </c>
      <c r="I311">
        <v>4928.17</v>
      </c>
    </row>
    <row r="312" spans="1:9">
      <c r="A312" s="90" t="s">
        <v>216</v>
      </c>
      <c r="B312" s="87">
        <v>45873</v>
      </c>
      <c r="C312" t="s">
        <v>511</v>
      </c>
      <c r="D312" t="s">
        <v>512</v>
      </c>
      <c r="E312" t="s">
        <v>788</v>
      </c>
      <c r="F312" t="s">
        <v>474</v>
      </c>
      <c r="G312" t="s">
        <v>470</v>
      </c>
      <c r="H312" t="s">
        <v>475</v>
      </c>
      <c r="I312">
        <v>4862.96</v>
      </c>
    </row>
    <row r="313" spans="1:9">
      <c r="A313" s="90" t="s">
        <v>216</v>
      </c>
      <c r="B313" s="87">
        <v>45874</v>
      </c>
      <c r="C313" t="s">
        <v>511</v>
      </c>
      <c r="D313" t="s">
        <v>512</v>
      </c>
      <c r="E313" t="s">
        <v>788</v>
      </c>
      <c r="F313" t="s">
        <v>474</v>
      </c>
      <c r="G313" t="s">
        <v>470</v>
      </c>
      <c r="H313" t="s">
        <v>475</v>
      </c>
      <c r="I313">
        <v>2260.92</v>
      </c>
    </row>
    <row r="314" spans="1:9">
      <c r="A314" s="90" t="s">
        <v>216</v>
      </c>
      <c r="B314" s="87">
        <v>45875</v>
      </c>
      <c r="C314" t="s">
        <v>511</v>
      </c>
      <c r="D314" t="s">
        <v>512</v>
      </c>
      <c r="E314" t="s">
        <v>788</v>
      </c>
      <c r="F314" t="s">
        <v>474</v>
      </c>
      <c r="G314" t="s">
        <v>470</v>
      </c>
      <c r="H314" t="s">
        <v>475</v>
      </c>
      <c r="I314">
        <v>2192.4</v>
      </c>
    </row>
    <row r="315" spans="1:9">
      <c r="A315" s="90" t="s">
        <v>216</v>
      </c>
      <c r="B315" s="87">
        <v>45876</v>
      </c>
      <c r="C315" t="s">
        <v>511</v>
      </c>
      <c r="D315" t="s">
        <v>512</v>
      </c>
      <c r="E315" t="s">
        <v>778</v>
      </c>
      <c r="F315" t="s">
        <v>474</v>
      </c>
      <c r="G315" t="s">
        <v>470</v>
      </c>
      <c r="H315" t="s">
        <v>475</v>
      </c>
      <c r="I315">
        <v>56766.34</v>
      </c>
    </row>
    <row r="316" spans="1:9">
      <c r="A316" s="90" t="s">
        <v>216</v>
      </c>
      <c r="B316" s="87">
        <v>45877</v>
      </c>
      <c r="C316" t="s">
        <v>511</v>
      </c>
      <c r="D316" t="s">
        <v>512</v>
      </c>
      <c r="E316" t="s">
        <v>788</v>
      </c>
      <c r="F316" t="s">
        <v>474</v>
      </c>
      <c r="G316" t="s">
        <v>470</v>
      </c>
      <c r="H316" t="s">
        <v>475</v>
      </c>
      <c r="I316">
        <v>8896.9500000000007</v>
      </c>
    </row>
    <row r="317" spans="1:9">
      <c r="A317" s="90" t="s">
        <v>216</v>
      </c>
      <c r="B317" s="87">
        <v>45880</v>
      </c>
      <c r="C317" t="s">
        <v>511</v>
      </c>
      <c r="D317" t="s">
        <v>512</v>
      </c>
      <c r="E317" t="s">
        <v>788</v>
      </c>
      <c r="F317" t="s">
        <v>474</v>
      </c>
      <c r="G317" t="s">
        <v>470</v>
      </c>
      <c r="H317" t="s">
        <v>475</v>
      </c>
      <c r="I317">
        <v>89058.57</v>
      </c>
    </row>
    <row r="318" spans="1:9">
      <c r="A318" s="90" t="s">
        <v>216</v>
      </c>
      <c r="B318" s="87">
        <v>45881</v>
      </c>
      <c r="C318" t="s">
        <v>511</v>
      </c>
      <c r="D318" t="s">
        <v>512</v>
      </c>
      <c r="E318" t="s">
        <v>788</v>
      </c>
      <c r="F318" t="s">
        <v>474</v>
      </c>
      <c r="G318" t="s">
        <v>470</v>
      </c>
      <c r="H318" t="s">
        <v>475</v>
      </c>
      <c r="I318">
        <v>16570.05</v>
      </c>
    </row>
    <row r="319" spans="1:9">
      <c r="A319" s="90" t="s">
        <v>216</v>
      </c>
      <c r="B319" s="87">
        <v>45883</v>
      </c>
      <c r="C319" t="s">
        <v>511</v>
      </c>
      <c r="D319" t="s">
        <v>512</v>
      </c>
      <c r="E319" t="s">
        <v>788</v>
      </c>
      <c r="F319" t="s">
        <v>474</v>
      </c>
      <c r="G319" t="s">
        <v>470</v>
      </c>
      <c r="H319" t="s">
        <v>475</v>
      </c>
      <c r="I319">
        <v>3753.95</v>
      </c>
    </row>
    <row r="320" spans="1:9">
      <c r="A320" s="90" t="s">
        <v>216</v>
      </c>
      <c r="B320" s="87">
        <v>45884</v>
      </c>
      <c r="C320" t="s">
        <v>511</v>
      </c>
      <c r="D320" t="s">
        <v>512</v>
      </c>
      <c r="E320" t="s">
        <v>788</v>
      </c>
      <c r="F320" t="s">
        <v>474</v>
      </c>
      <c r="G320" t="s">
        <v>470</v>
      </c>
      <c r="H320" t="s">
        <v>475</v>
      </c>
      <c r="I320">
        <v>22395.759999999998</v>
      </c>
    </row>
    <row r="321" spans="1:9">
      <c r="A321" s="90" t="s">
        <v>216</v>
      </c>
      <c r="B321" s="87">
        <v>45887</v>
      </c>
      <c r="C321" t="s">
        <v>511</v>
      </c>
      <c r="D321" t="s">
        <v>512</v>
      </c>
      <c r="E321" t="s">
        <v>788</v>
      </c>
      <c r="F321" t="s">
        <v>474</v>
      </c>
      <c r="G321" t="s">
        <v>470</v>
      </c>
      <c r="H321" t="s">
        <v>475</v>
      </c>
      <c r="I321">
        <v>27712.05</v>
      </c>
    </row>
    <row r="322" spans="1:9">
      <c r="A322" s="90" t="s">
        <v>216</v>
      </c>
      <c r="B322" s="87">
        <v>45888</v>
      </c>
      <c r="C322" t="s">
        <v>511</v>
      </c>
      <c r="D322" t="s">
        <v>512</v>
      </c>
      <c r="E322" t="s">
        <v>788</v>
      </c>
      <c r="F322" t="s">
        <v>474</v>
      </c>
      <c r="G322" t="s">
        <v>470</v>
      </c>
      <c r="H322" t="s">
        <v>475</v>
      </c>
      <c r="I322">
        <v>498290</v>
      </c>
    </row>
    <row r="323" spans="1:9">
      <c r="A323" s="90" t="s">
        <v>216</v>
      </c>
      <c r="B323" s="87">
        <v>45888</v>
      </c>
      <c r="C323" t="s">
        <v>511</v>
      </c>
      <c r="D323" t="s">
        <v>512</v>
      </c>
      <c r="E323" t="s">
        <v>788</v>
      </c>
      <c r="F323" t="s">
        <v>474</v>
      </c>
      <c r="G323" t="s">
        <v>470</v>
      </c>
      <c r="H323" t="s">
        <v>475</v>
      </c>
      <c r="I323">
        <v>9652</v>
      </c>
    </row>
    <row r="324" spans="1:9">
      <c r="A324" s="90" t="s">
        <v>216</v>
      </c>
      <c r="B324" s="87">
        <v>45889</v>
      </c>
      <c r="C324" t="s">
        <v>791</v>
      </c>
      <c r="D324" t="s">
        <v>477</v>
      </c>
      <c r="E324" t="s">
        <v>792</v>
      </c>
      <c r="F324" t="s">
        <v>218</v>
      </c>
      <c r="G324" t="s">
        <v>470</v>
      </c>
      <c r="H324" t="s">
        <v>516</v>
      </c>
      <c r="I324">
        <v>7235</v>
      </c>
    </row>
    <row r="325" spans="1:9">
      <c r="A325" s="90" t="s">
        <v>216</v>
      </c>
      <c r="B325" s="87">
        <v>45889</v>
      </c>
      <c r="C325" t="s">
        <v>511</v>
      </c>
      <c r="D325" t="s">
        <v>512</v>
      </c>
      <c r="E325" t="s">
        <v>788</v>
      </c>
      <c r="F325" t="s">
        <v>474</v>
      </c>
      <c r="G325" t="s">
        <v>470</v>
      </c>
      <c r="H325" t="s">
        <v>475</v>
      </c>
      <c r="I325">
        <v>133755.01999999999</v>
      </c>
    </row>
    <row r="326" spans="1:9">
      <c r="A326" s="90" t="s">
        <v>216</v>
      </c>
      <c r="B326" s="87">
        <v>45890</v>
      </c>
      <c r="C326" t="s">
        <v>793</v>
      </c>
      <c r="D326" t="s">
        <v>794</v>
      </c>
      <c r="E326" t="s">
        <v>795</v>
      </c>
      <c r="F326" t="s">
        <v>490</v>
      </c>
      <c r="G326" t="s">
        <v>470</v>
      </c>
      <c r="H326" t="s">
        <v>796</v>
      </c>
      <c r="I326">
        <v>71632</v>
      </c>
    </row>
    <row r="327" spans="1:9">
      <c r="A327" s="90" t="s">
        <v>216</v>
      </c>
      <c r="B327" s="87">
        <v>45890</v>
      </c>
      <c r="C327" t="s">
        <v>517</v>
      </c>
      <c r="D327" t="s">
        <v>512</v>
      </c>
      <c r="E327" t="s">
        <v>788</v>
      </c>
      <c r="F327" t="s">
        <v>474</v>
      </c>
      <c r="G327" t="s">
        <v>470</v>
      </c>
      <c r="H327" t="s">
        <v>475</v>
      </c>
      <c r="I327">
        <v>71630.44</v>
      </c>
    </row>
    <row r="328" spans="1:9">
      <c r="A328" s="90" t="s">
        <v>216</v>
      </c>
      <c r="B328" s="87">
        <v>45891</v>
      </c>
      <c r="C328" t="s">
        <v>511</v>
      </c>
      <c r="D328" t="s">
        <v>512</v>
      </c>
      <c r="E328" t="s">
        <v>788</v>
      </c>
      <c r="F328" t="s">
        <v>474</v>
      </c>
      <c r="G328" t="s">
        <v>470</v>
      </c>
      <c r="H328" t="s">
        <v>475</v>
      </c>
      <c r="I328">
        <v>71630.570000000007</v>
      </c>
    </row>
    <row r="329" spans="1:9">
      <c r="A329" s="90" t="s">
        <v>216</v>
      </c>
      <c r="B329" s="87">
        <v>45891</v>
      </c>
      <c r="C329" t="s">
        <v>511</v>
      </c>
      <c r="D329" t="s">
        <v>512</v>
      </c>
      <c r="E329" t="s">
        <v>788</v>
      </c>
      <c r="F329" t="s">
        <v>474</v>
      </c>
      <c r="G329" t="s">
        <v>470</v>
      </c>
      <c r="H329" t="s">
        <v>475</v>
      </c>
      <c r="I329">
        <v>64632.23</v>
      </c>
    </row>
    <row r="330" spans="1:9">
      <c r="A330" s="90" t="s">
        <v>216</v>
      </c>
      <c r="B330" s="87">
        <v>45894</v>
      </c>
      <c r="C330" t="s">
        <v>511</v>
      </c>
      <c r="D330" t="s">
        <v>512</v>
      </c>
      <c r="E330" t="s">
        <v>788</v>
      </c>
      <c r="F330" t="s">
        <v>474</v>
      </c>
      <c r="G330" t="s">
        <v>470</v>
      </c>
      <c r="H330" t="s">
        <v>475</v>
      </c>
      <c r="I330">
        <v>278880</v>
      </c>
    </row>
    <row r="331" spans="1:9">
      <c r="A331" s="90" t="s">
        <v>216</v>
      </c>
      <c r="B331" s="87">
        <v>45894</v>
      </c>
      <c r="C331" t="s">
        <v>797</v>
      </c>
      <c r="D331" t="s">
        <v>737</v>
      </c>
      <c r="E331" t="s">
        <v>798</v>
      </c>
      <c r="F331" t="s">
        <v>739</v>
      </c>
      <c r="G331" t="s">
        <v>470</v>
      </c>
      <c r="H331" t="s">
        <v>540</v>
      </c>
      <c r="I331">
        <v>50280.46</v>
      </c>
    </row>
    <row r="332" spans="1:9">
      <c r="A332" s="90" t="s">
        <v>216</v>
      </c>
      <c r="B332" s="87">
        <v>45894</v>
      </c>
      <c r="C332" t="s">
        <v>517</v>
      </c>
      <c r="D332" t="s">
        <v>512</v>
      </c>
      <c r="E332" t="s">
        <v>788</v>
      </c>
      <c r="F332" t="s">
        <v>474</v>
      </c>
      <c r="G332" t="s">
        <v>470</v>
      </c>
      <c r="H332" t="s">
        <v>475</v>
      </c>
      <c r="I332">
        <v>15116.49</v>
      </c>
    </row>
    <row r="333" spans="1:9">
      <c r="A333" s="90" t="s">
        <v>216</v>
      </c>
      <c r="B333" s="87">
        <v>45895</v>
      </c>
      <c r="C333" t="s">
        <v>511</v>
      </c>
      <c r="D333" t="s">
        <v>512</v>
      </c>
      <c r="E333" t="s">
        <v>788</v>
      </c>
      <c r="F333" t="s">
        <v>474</v>
      </c>
      <c r="G333" t="s">
        <v>470</v>
      </c>
      <c r="H333" t="s">
        <v>475</v>
      </c>
      <c r="I333">
        <v>40000</v>
      </c>
    </row>
    <row r="334" spans="1:9">
      <c r="A334" s="90" t="s">
        <v>216</v>
      </c>
      <c r="B334" s="87">
        <v>45895</v>
      </c>
      <c r="C334" t="s">
        <v>799</v>
      </c>
      <c r="D334" t="s">
        <v>800</v>
      </c>
      <c r="E334" t="s">
        <v>788</v>
      </c>
      <c r="F334" t="s">
        <v>526</v>
      </c>
      <c r="G334" t="s">
        <v>470</v>
      </c>
      <c r="H334" t="s">
        <v>801</v>
      </c>
      <c r="I334">
        <v>7385.03</v>
      </c>
    </row>
    <row r="335" spans="1:9">
      <c r="A335" s="90" t="s">
        <v>216</v>
      </c>
      <c r="B335" s="87">
        <v>45895</v>
      </c>
      <c r="C335" t="s">
        <v>511</v>
      </c>
      <c r="D335" t="s">
        <v>512</v>
      </c>
      <c r="E335" t="s">
        <v>788</v>
      </c>
      <c r="F335" t="s">
        <v>474</v>
      </c>
      <c r="G335" t="s">
        <v>470</v>
      </c>
      <c r="H335" t="s">
        <v>475</v>
      </c>
      <c r="I335">
        <v>15116.53</v>
      </c>
    </row>
    <row r="336" spans="1:9">
      <c r="A336" s="90" t="s">
        <v>216</v>
      </c>
      <c r="B336" s="87">
        <v>45895</v>
      </c>
      <c r="C336" t="s">
        <v>511</v>
      </c>
      <c r="D336" t="s">
        <v>512</v>
      </c>
      <c r="E336" t="s">
        <v>788</v>
      </c>
      <c r="F336" t="s">
        <v>474</v>
      </c>
      <c r="G336" t="s">
        <v>470</v>
      </c>
      <c r="H336" t="s">
        <v>475</v>
      </c>
      <c r="I336">
        <v>25483.9</v>
      </c>
    </row>
    <row r="337" spans="1:9">
      <c r="A337" s="90" t="s">
        <v>216</v>
      </c>
      <c r="B337" s="87">
        <v>45896</v>
      </c>
      <c r="C337" t="s">
        <v>511</v>
      </c>
      <c r="D337" t="s">
        <v>512</v>
      </c>
      <c r="E337" t="s">
        <v>788</v>
      </c>
      <c r="F337" t="s">
        <v>474</v>
      </c>
      <c r="G337" t="s">
        <v>470</v>
      </c>
      <c r="H337" t="s">
        <v>475</v>
      </c>
      <c r="I337">
        <v>6016.62</v>
      </c>
    </row>
    <row r="338" spans="1:9">
      <c r="A338" s="90" t="s">
        <v>216</v>
      </c>
      <c r="B338" s="87">
        <v>45897</v>
      </c>
      <c r="C338" t="s">
        <v>511</v>
      </c>
      <c r="D338" t="s">
        <v>512</v>
      </c>
      <c r="E338" t="s">
        <v>788</v>
      </c>
      <c r="F338" t="s">
        <v>474</v>
      </c>
      <c r="G338" t="s">
        <v>470</v>
      </c>
      <c r="H338" t="s">
        <v>475</v>
      </c>
      <c r="I338">
        <v>130000</v>
      </c>
    </row>
    <row r="339" spans="1:9">
      <c r="A339" s="90" t="s">
        <v>216</v>
      </c>
      <c r="B339" s="87">
        <v>45897</v>
      </c>
      <c r="C339" t="s">
        <v>511</v>
      </c>
      <c r="D339" t="s">
        <v>512</v>
      </c>
      <c r="E339" t="s">
        <v>788</v>
      </c>
      <c r="F339" t="s">
        <v>474</v>
      </c>
      <c r="G339" t="s">
        <v>470</v>
      </c>
      <c r="H339" t="s">
        <v>475</v>
      </c>
      <c r="I339">
        <v>9338.99</v>
      </c>
    </row>
    <row r="340" spans="1:9">
      <c r="A340" s="90" t="s">
        <v>216</v>
      </c>
      <c r="B340" s="87">
        <v>45898</v>
      </c>
      <c r="C340" t="s">
        <v>511</v>
      </c>
      <c r="D340" t="s">
        <v>512</v>
      </c>
      <c r="E340" t="s">
        <v>788</v>
      </c>
      <c r="F340" t="s">
        <v>474</v>
      </c>
      <c r="G340" t="s">
        <v>470</v>
      </c>
      <c r="H340" t="s">
        <v>475</v>
      </c>
      <c r="I340">
        <v>62000</v>
      </c>
    </row>
    <row r="341" spans="1:9">
      <c r="A341" s="90" t="s">
        <v>216</v>
      </c>
      <c r="B341" s="87">
        <v>45898</v>
      </c>
      <c r="C341" t="s">
        <v>517</v>
      </c>
      <c r="D341" t="s">
        <v>512</v>
      </c>
      <c r="E341" t="s">
        <v>788</v>
      </c>
      <c r="F341" t="s">
        <v>474</v>
      </c>
      <c r="G341" t="s">
        <v>470</v>
      </c>
      <c r="H341" t="s">
        <v>475</v>
      </c>
      <c r="I341">
        <v>31.81</v>
      </c>
    </row>
    <row r="342" spans="1:9">
      <c r="A342" s="90" t="s">
        <v>216</v>
      </c>
      <c r="B342" s="87">
        <v>45898</v>
      </c>
      <c r="C342" t="s">
        <v>524</v>
      </c>
      <c r="D342" t="s">
        <v>477</v>
      </c>
      <c r="E342" t="s">
        <v>788</v>
      </c>
      <c r="F342" t="s">
        <v>525</v>
      </c>
      <c r="G342" t="s">
        <v>470</v>
      </c>
      <c r="H342" t="s">
        <v>516</v>
      </c>
      <c r="I342">
        <v>3134.18</v>
      </c>
    </row>
    <row r="343" spans="1:9">
      <c r="A343" s="90" t="s">
        <v>216</v>
      </c>
      <c r="B343" s="87">
        <v>45898</v>
      </c>
      <c r="C343" t="s">
        <v>524</v>
      </c>
      <c r="D343" t="s">
        <v>477</v>
      </c>
      <c r="E343" t="s">
        <v>788</v>
      </c>
      <c r="F343" t="s">
        <v>525</v>
      </c>
      <c r="G343" t="s">
        <v>470</v>
      </c>
      <c r="H343" t="s">
        <v>516</v>
      </c>
      <c r="I343">
        <v>45311.09</v>
      </c>
    </row>
    <row r="344" spans="1:9">
      <c r="A344" s="90" t="s">
        <v>216</v>
      </c>
      <c r="B344" s="87">
        <v>45898</v>
      </c>
      <c r="C344" t="s">
        <v>524</v>
      </c>
      <c r="D344" t="s">
        <v>477</v>
      </c>
      <c r="E344" t="s">
        <v>788</v>
      </c>
      <c r="F344" t="s">
        <v>525</v>
      </c>
      <c r="G344" t="s">
        <v>470</v>
      </c>
      <c r="H344" t="s">
        <v>516</v>
      </c>
      <c r="I344">
        <v>4.7699999999999996</v>
      </c>
    </row>
    <row r="345" spans="1:9">
      <c r="A345" s="90" t="s">
        <v>216</v>
      </c>
      <c r="B345" s="87">
        <v>45901</v>
      </c>
      <c r="C345" t="s">
        <v>511</v>
      </c>
      <c r="D345" t="s">
        <v>512</v>
      </c>
      <c r="E345" t="s">
        <v>802</v>
      </c>
      <c r="F345" t="s">
        <v>474</v>
      </c>
      <c r="G345" t="s">
        <v>470</v>
      </c>
      <c r="H345" t="s">
        <v>475</v>
      </c>
      <c r="I345">
        <v>1038000</v>
      </c>
    </row>
    <row r="346" spans="1:9">
      <c r="A346" s="90" t="s">
        <v>216</v>
      </c>
      <c r="B346" s="87">
        <v>45901</v>
      </c>
      <c r="C346" t="s">
        <v>507</v>
      </c>
      <c r="D346" t="s">
        <v>508</v>
      </c>
      <c r="E346" t="s">
        <v>802</v>
      </c>
      <c r="F346" t="s">
        <v>510</v>
      </c>
      <c r="G346" t="s">
        <v>470</v>
      </c>
      <c r="H346" t="s">
        <v>516</v>
      </c>
      <c r="I346">
        <v>10570.92</v>
      </c>
    </row>
    <row r="347" spans="1:9">
      <c r="A347" s="90" t="s">
        <v>216</v>
      </c>
      <c r="B347" s="87">
        <v>45901</v>
      </c>
      <c r="C347" t="s">
        <v>517</v>
      </c>
      <c r="D347" t="s">
        <v>512</v>
      </c>
      <c r="E347" t="s">
        <v>802</v>
      </c>
      <c r="F347" t="s">
        <v>474</v>
      </c>
      <c r="G347" t="s">
        <v>470</v>
      </c>
      <c r="H347" t="s">
        <v>475</v>
      </c>
      <c r="I347">
        <v>5372.33</v>
      </c>
    </row>
    <row r="348" spans="1:9">
      <c r="A348" s="90" t="s">
        <v>216</v>
      </c>
      <c r="B348" s="87">
        <v>45902</v>
      </c>
      <c r="C348" t="s">
        <v>803</v>
      </c>
      <c r="D348" t="s">
        <v>794</v>
      </c>
      <c r="E348" t="s">
        <v>804</v>
      </c>
      <c r="F348" t="s">
        <v>490</v>
      </c>
      <c r="G348" t="s">
        <v>470</v>
      </c>
      <c r="H348" t="s">
        <v>796</v>
      </c>
      <c r="I348">
        <v>71750.399999999994</v>
      </c>
    </row>
    <row r="349" spans="1:9">
      <c r="A349" s="90" t="s">
        <v>216</v>
      </c>
      <c r="B349" s="87">
        <v>45902</v>
      </c>
      <c r="C349" t="s">
        <v>805</v>
      </c>
      <c r="D349" t="s">
        <v>794</v>
      </c>
      <c r="E349" t="s">
        <v>806</v>
      </c>
      <c r="F349" t="s">
        <v>490</v>
      </c>
      <c r="G349" t="s">
        <v>470</v>
      </c>
      <c r="H349" t="s">
        <v>796</v>
      </c>
      <c r="I349">
        <v>63788</v>
      </c>
    </row>
    <row r="350" spans="1:9">
      <c r="A350" s="90" t="s">
        <v>216</v>
      </c>
      <c r="B350" s="87">
        <v>45902</v>
      </c>
      <c r="C350" t="s">
        <v>511</v>
      </c>
      <c r="D350" t="s">
        <v>512</v>
      </c>
      <c r="E350" t="s">
        <v>802</v>
      </c>
      <c r="F350" t="s">
        <v>474</v>
      </c>
      <c r="G350" t="s">
        <v>470</v>
      </c>
      <c r="H350" t="s">
        <v>475</v>
      </c>
      <c r="I350">
        <v>28271.46</v>
      </c>
    </row>
    <row r="351" spans="1:9">
      <c r="A351" s="90" t="s">
        <v>216</v>
      </c>
      <c r="B351" s="87">
        <v>45902</v>
      </c>
      <c r="C351" t="s">
        <v>511</v>
      </c>
      <c r="D351" t="s">
        <v>512</v>
      </c>
      <c r="E351" t="s">
        <v>802</v>
      </c>
      <c r="F351" t="s">
        <v>474</v>
      </c>
      <c r="G351" t="s">
        <v>470</v>
      </c>
      <c r="H351" t="s">
        <v>475</v>
      </c>
      <c r="I351">
        <v>1631.8</v>
      </c>
    </row>
    <row r="352" spans="1:9">
      <c r="A352" s="90" t="s">
        <v>216</v>
      </c>
      <c r="B352" s="87">
        <v>45903</v>
      </c>
      <c r="C352" t="s">
        <v>803</v>
      </c>
      <c r="D352" t="s">
        <v>512</v>
      </c>
      <c r="E352" t="s">
        <v>804</v>
      </c>
      <c r="F352" t="s">
        <v>474</v>
      </c>
      <c r="G352" t="s">
        <v>470</v>
      </c>
      <c r="H352" t="s">
        <v>475</v>
      </c>
      <c r="I352">
        <v>71750.399999999994</v>
      </c>
    </row>
    <row r="353" spans="1:9">
      <c r="A353" s="90" t="s">
        <v>216</v>
      </c>
      <c r="B353" s="87">
        <v>45903</v>
      </c>
      <c r="C353" t="s">
        <v>805</v>
      </c>
      <c r="D353" t="s">
        <v>512</v>
      </c>
      <c r="E353" t="s">
        <v>806</v>
      </c>
      <c r="F353" t="s">
        <v>474</v>
      </c>
      <c r="G353" t="s">
        <v>470</v>
      </c>
      <c r="H353" t="s">
        <v>475</v>
      </c>
      <c r="I353">
        <v>63788</v>
      </c>
    </row>
    <row r="354" spans="1:9">
      <c r="A354" s="90" t="s">
        <v>216</v>
      </c>
      <c r="B354" s="87">
        <v>45903</v>
      </c>
      <c r="C354" t="s">
        <v>807</v>
      </c>
      <c r="D354" t="s">
        <v>477</v>
      </c>
      <c r="E354" t="s">
        <v>808</v>
      </c>
      <c r="F354" t="s">
        <v>218</v>
      </c>
      <c r="G354" t="s">
        <v>470</v>
      </c>
      <c r="H354" t="s">
        <v>516</v>
      </c>
      <c r="I354">
        <v>18790</v>
      </c>
    </row>
    <row r="355" spans="1:9">
      <c r="A355" s="90" t="s">
        <v>216</v>
      </c>
      <c r="B355" s="87">
        <v>45903</v>
      </c>
      <c r="C355" t="s">
        <v>517</v>
      </c>
      <c r="D355" t="s">
        <v>512</v>
      </c>
      <c r="E355" t="s">
        <v>802</v>
      </c>
      <c r="F355" t="s">
        <v>474</v>
      </c>
      <c r="G355" t="s">
        <v>470</v>
      </c>
      <c r="H355" t="s">
        <v>475</v>
      </c>
      <c r="I355">
        <v>154325.28</v>
      </c>
    </row>
    <row r="356" spans="1:9">
      <c r="A356" s="90" t="s">
        <v>216</v>
      </c>
      <c r="B356" s="87">
        <v>45904</v>
      </c>
      <c r="C356" t="s">
        <v>511</v>
      </c>
      <c r="D356" t="s">
        <v>512</v>
      </c>
      <c r="E356" t="s">
        <v>802</v>
      </c>
      <c r="F356" t="s">
        <v>474</v>
      </c>
      <c r="G356" t="s">
        <v>470</v>
      </c>
      <c r="H356" t="s">
        <v>475</v>
      </c>
      <c r="I356">
        <v>13600.33</v>
      </c>
    </row>
    <row r="357" spans="1:9">
      <c r="A357" s="90" t="s">
        <v>216</v>
      </c>
      <c r="B357" s="87">
        <v>45904</v>
      </c>
      <c r="C357" t="s">
        <v>809</v>
      </c>
      <c r="D357" t="s">
        <v>477</v>
      </c>
      <c r="E357" t="s">
        <v>810</v>
      </c>
      <c r="F357" t="s">
        <v>218</v>
      </c>
      <c r="G357" t="s">
        <v>470</v>
      </c>
      <c r="H357" t="s">
        <v>516</v>
      </c>
      <c r="I357">
        <v>6183.27</v>
      </c>
    </row>
    <row r="358" spans="1:9">
      <c r="A358" s="90" t="s">
        <v>216</v>
      </c>
      <c r="B358" s="87">
        <v>45905</v>
      </c>
      <c r="C358" t="s">
        <v>511</v>
      </c>
      <c r="D358" t="s">
        <v>512</v>
      </c>
      <c r="E358" t="s">
        <v>802</v>
      </c>
      <c r="F358" t="s">
        <v>474</v>
      </c>
      <c r="G358" t="s">
        <v>470</v>
      </c>
      <c r="H358" t="s">
        <v>475</v>
      </c>
      <c r="I358">
        <v>8216.4</v>
      </c>
    </row>
    <row r="359" spans="1:9">
      <c r="A359" s="90" t="s">
        <v>216</v>
      </c>
      <c r="B359" s="87">
        <v>45908</v>
      </c>
      <c r="C359" t="s">
        <v>811</v>
      </c>
      <c r="D359" t="s">
        <v>812</v>
      </c>
      <c r="E359" t="s">
        <v>802</v>
      </c>
      <c r="F359" t="s">
        <v>474</v>
      </c>
      <c r="G359" t="s">
        <v>470</v>
      </c>
      <c r="H359" t="s">
        <v>516</v>
      </c>
      <c r="I359">
        <v>7000</v>
      </c>
    </row>
    <row r="360" spans="1:9">
      <c r="A360" s="90" t="s">
        <v>216</v>
      </c>
      <c r="B360" s="87">
        <v>45908</v>
      </c>
      <c r="C360" t="s">
        <v>511</v>
      </c>
      <c r="D360" t="s">
        <v>512</v>
      </c>
      <c r="E360" t="s">
        <v>802</v>
      </c>
      <c r="F360" t="s">
        <v>474</v>
      </c>
      <c r="G360" t="s">
        <v>470</v>
      </c>
      <c r="H360" t="s">
        <v>475</v>
      </c>
      <c r="I360">
        <v>113821.55</v>
      </c>
    </row>
    <row r="361" spans="1:9">
      <c r="A361" s="90" t="s">
        <v>216</v>
      </c>
      <c r="B361" s="87">
        <v>45909</v>
      </c>
      <c r="C361" t="s">
        <v>813</v>
      </c>
      <c r="D361" t="s">
        <v>794</v>
      </c>
      <c r="E361" t="s">
        <v>814</v>
      </c>
      <c r="F361" t="s">
        <v>490</v>
      </c>
      <c r="G361" t="s">
        <v>470</v>
      </c>
      <c r="H361" t="s">
        <v>796</v>
      </c>
      <c r="I361">
        <v>60887.199999999997</v>
      </c>
    </row>
    <row r="362" spans="1:9">
      <c r="A362" s="90" t="s">
        <v>216</v>
      </c>
      <c r="B362" s="87">
        <v>45909</v>
      </c>
      <c r="C362" t="s">
        <v>815</v>
      </c>
      <c r="D362" t="s">
        <v>794</v>
      </c>
      <c r="E362" t="s">
        <v>816</v>
      </c>
      <c r="F362" t="s">
        <v>490</v>
      </c>
      <c r="G362" t="s">
        <v>470</v>
      </c>
      <c r="H362" t="s">
        <v>796</v>
      </c>
      <c r="I362">
        <v>69678.399999999994</v>
      </c>
    </row>
    <row r="363" spans="1:9">
      <c r="A363" s="90" t="s">
        <v>216</v>
      </c>
      <c r="B363" s="87">
        <v>45909</v>
      </c>
      <c r="C363" t="s">
        <v>511</v>
      </c>
      <c r="D363" t="s">
        <v>512</v>
      </c>
      <c r="E363" t="s">
        <v>802</v>
      </c>
      <c r="F363" t="s">
        <v>474</v>
      </c>
      <c r="G363" t="s">
        <v>470</v>
      </c>
      <c r="H363" t="s">
        <v>475</v>
      </c>
      <c r="I363">
        <v>144791.59</v>
      </c>
    </row>
    <row r="364" spans="1:9">
      <c r="A364" s="90" t="s">
        <v>216</v>
      </c>
      <c r="B364" s="87">
        <v>45909</v>
      </c>
      <c r="C364" t="s">
        <v>511</v>
      </c>
      <c r="D364" t="s">
        <v>512</v>
      </c>
      <c r="E364" t="s">
        <v>802</v>
      </c>
      <c r="F364" t="s">
        <v>474</v>
      </c>
      <c r="G364" t="s">
        <v>470</v>
      </c>
      <c r="H364" t="s">
        <v>475</v>
      </c>
      <c r="I364">
        <v>6570.8</v>
      </c>
    </row>
    <row r="365" spans="1:9">
      <c r="A365" s="90" t="s">
        <v>216</v>
      </c>
      <c r="B365" s="87">
        <v>45910</v>
      </c>
      <c r="C365" t="s">
        <v>817</v>
      </c>
      <c r="D365" t="s">
        <v>794</v>
      </c>
      <c r="E365" t="s">
        <v>818</v>
      </c>
      <c r="F365" t="s">
        <v>490</v>
      </c>
      <c r="G365" t="s">
        <v>470</v>
      </c>
      <c r="H365" t="s">
        <v>796</v>
      </c>
      <c r="I365">
        <v>51770.400000000001</v>
      </c>
    </row>
    <row r="366" spans="1:9">
      <c r="A366" s="90" t="s">
        <v>216</v>
      </c>
      <c r="B366" s="87">
        <v>45910</v>
      </c>
      <c r="C366" t="s">
        <v>813</v>
      </c>
      <c r="D366" t="s">
        <v>512</v>
      </c>
      <c r="E366" t="s">
        <v>814</v>
      </c>
      <c r="F366" t="s">
        <v>474</v>
      </c>
      <c r="G366" t="s">
        <v>470</v>
      </c>
      <c r="H366" t="s">
        <v>475</v>
      </c>
      <c r="I366">
        <v>60887.199999999997</v>
      </c>
    </row>
    <row r="367" spans="1:9">
      <c r="A367" s="90" t="s">
        <v>216</v>
      </c>
      <c r="B367" s="87">
        <v>45910</v>
      </c>
      <c r="C367" t="s">
        <v>815</v>
      </c>
      <c r="D367" t="s">
        <v>512</v>
      </c>
      <c r="E367" t="s">
        <v>816</v>
      </c>
      <c r="F367" t="s">
        <v>474</v>
      </c>
      <c r="G367" t="s">
        <v>470</v>
      </c>
      <c r="H367" t="s">
        <v>475</v>
      </c>
      <c r="I367">
        <v>69678.399999999994</v>
      </c>
    </row>
    <row r="368" spans="1:9">
      <c r="A368" s="90" t="s">
        <v>216</v>
      </c>
      <c r="B368" s="87">
        <v>45910</v>
      </c>
      <c r="C368" t="s">
        <v>511</v>
      </c>
      <c r="D368" t="s">
        <v>512</v>
      </c>
      <c r="E368" t="s">
        <v>802</v>
      </c>
      <c r="F368" t="s">
        <v>474</v>
      </c>
      <c r="G368" t="s">
        <v>470</v>
      </c>
      <c r="H368" t="s">
        <v>475</v>
      </c>
      <c r="I368">
        <v>175000</v>
      </c>
    </row>
    <row r="369" spans="1:9">
      <c r="A369" s="90" t="s">
        <v>216</v>
      </c>
      <c r="B369" s="87">
        <v>45910</v>
      </c>
      <c r="C369" t="s">
        <v>819</v>
      </c>
      <c r="D369" t="s">
        <v>512</v>
      </c>
      <c r="E369" t="s">
        <v>802</v>
      </c>
      <c r="F369" t="s">
        <v>474</v>
      </c>
      <c r="G369" t="s">
        <v>470</v>
      </c>
      <c r="H369" t="s">
        <v>475</v>
      </c>
      <c r="I369">
        <v>666.76</v>
      </c>
    </row>
    <row r="370" spans="1:9">
      <c r="A370" s="90" t="s">
        <v>216</v>
      </c>
      <c r="B370" s="87">
        <v>45911</v>
      </c>
      <c r="C370" t="s">
        <v>511</v>
      </c>
      <c r="D370" t="s">
        <v>512</v>
      </c>
      <c r="E370" t="s">
        <v>802</v>
      </c>
      <c r="F370" t="s">
        <v>474</v>
      </c>
      <c r="G370" t="s">
        <v>470</v>
      </c>
      <c r="H370" t="s">
        <v>475</v>
      </c>
      <c r="I370">
        <v>8725.77</v>
      </c>
    </row>
    <row r="371" spans="1:9">
      <c r="A371" s="90" t="s">
        <v>216</v>
      </c>
      <c r="B371" s="87">
        <v>45911</v>
      </c>
      <c r="C371" t="s">
        <v>511</v>
      </c>
      <c r="D371" t="s">
        <v>512</v>
      </c>
      <c r="E371" t="s">
        <v>802</v>
      </c>
      <c r="F371" t="s">
        <v>474</v>
      </c>
      <c r="G371" t="s">
        <v>470</v>
      </c>
      <c r="H371" t="s">
        <v>475</v>
      </c>
      <c r="I371">
        <v>15225.75</v>
      </c>
    </row>
    <row r="372" spans="1:9">
      <c r="A372" s="90" t="s">
        <v>216</v>
      </c>
      <c r="B372" s="87">
        <v>45911</v>
      </c>
      <c r="C372" t="s">
        <v>817</v>
      </c>
      <c r="D372" t="s">
        <v>512</v>
      </c>
      <c r="E372" t="s">
        <v>818</v>
      </c>
      <c r="F372" t="s">
        <v>474</v>
      </c>
      <c r="G372" t="s">
        <v>470</v>
      </c>
      <c r="H372" t="s">
        <v>475</v>
      </c>
      <c r="I372">
        <v>51770.400000000001</v>
      </c>
    </row>
    <row r="373" spans="1:9">
      <c r="A373" s="90" t="s">
        <v>216</v>
      </c>
      <c r="B373" s="87">
        <v>45912</v>
      </c>
      <c r="C373" t="s">
        <v>820</v>
      </c>
      <c r="D373" t="s">
        <v>794</v>
      </c>
      <c r="E373" t="s">
        <v>821</v>
      </c>
      <c r="F373" t="s">
        <v>490</v>
      </c>
      <c r="G373" t="s">
        <v>470</v>
      </c>
      <c r="H373" t="s">
        <v>796</v>
      </c>
      <c r="I373">
        <v>54493.599999999999</v>
      </c>
    </row>
    <row r="374" spans="1:9">
      <c r="A374" s="90" t="s">
        <v>216</v>
      </c>
      <c r="B374" s="87">
        <v>45912</v>
      </c>
      <c r="C374" t="s">
        <v>822</v>
      </c>
      <c r="D374" t="s">
        <v>794</v>
      </c>
      <c r="E374" t="s">
        <v>823</v>
      </c>
      <c r="F374" t="s">
        <v>490</v>
      </c>
      <c r="G374" t="s">
        <v>470</v>
      </c>
      <c r="H374" t="s">
        <v>796</v>
      </c>
      <c r="I374">
        <v>54700.800000000003</v>
      </c>
    </row>
    <row r="375" spans="1:9">
      <c r="A375" s="90" t="s">
        <v>216</v>
      </c>
      <c r="B375" s="87">
        <v>45912</v>
      </c>
      <c r="C375" t="s">
        <v>511</v>
      </c>
      <c r="D375" t="s">
        <v>512</v>
      </c>
      <c r="E375" t="s">
        <v>802</v>
      </c>
      <c r="F375" t="s">
        <v>474</v>
      </c>
      <c r="G375" t="s">
        <v>470</v>
      </c>
      <c r="H375" t="s">
        <v>475</v>
      </c>
      <c r="I375">
        <v>565000</v>
      </c>
    </row>
    <row r="376" spans="1:9">
      <c r="A376" s="90" t="s">
        <v>216</v>
      </c>
      <c r="B376" s="87">
        <v>45912</v>
      </c>
      <c r="C376" t="s">
        <v>517</v>
      </c>
      <c r="D376" t="s">
        <v>512</v>
      </c>
      <c r="E376" t="s">
        <v>802</v>
      </c>
      <c r="F376" t="s">
        <v>474</v>
      </c>
      <c r="G376" t="s">
        <v>470</v>
      </c>
      <c r="H376" t="s">
        <v>475</v>
      </c>
      <c r="I376">
        <v>4599.5</v>
      </c>
    </row>
    <row r="377" spans="1:9">
      <c r="A377" s="90" t="s">
        <v>216</v>
      </c>
      <c r="B377" s="87">
        <v>45915</v>
      </c>
      <c r="C377" t="s">
        <v>820</v>
      </c>
      <c r="D377" t="s">
        <v>512</v>
      </c>
      <c r="E377" t="s">
        <v>821</v>
      </c>
      <c r="F377" t="s">
        <v>474</v>
      </c>
      <c r="G377" t="s">
        <v>470</v>
      </c>
      <c r="H377" t="s">
        <v>475</v>
      </c>
      <c r="I377">
        <v>54493.599999999999</v>
      </c>
    </row>
    <row r="378" spans="1:9">
      <c r="A378" s="90" t="s">
        <v>216</v>
      </c>
      <c r="B378" s="87">
        <v>45915</v>
      </c>
      <c r="C378" t="s">
        <v>822</v>
      </c>
      <c r="D378" t="s">
        <v>512</v>
      </c>
      <c r="E378" t="s">
        <v>802</v>
      </c>
      <c r="F378" t="s">
        <v>474</v>
      </c>
      <c r="G378" t="s">
        <v>470</v>
      </c>
      <c r="H378" t="s">
        <v>475</v>
      </c>
      <c r="I378">
        <v>54700.800000000003</v>
      </c>
    </row>
    <row r="379" spans="1:9">
      <c r="A379" s="90" t="s">
        <v>216</v>
      </c>
      <c r="B379" s="87">
        <v>45915</v>
      </c>
      <c r="C379" t="s">
        <v>824</v>
      </c>
      <c r="D379" t="s">
        <v>477</v>
      </c>
      <c r="E379" t="s">
        <v>825</v>
      </c>
      <c r="F379" t="s">
        <v>218</v>
      </c>
      <c r="G379" t="s">
        <v>470</v>
      </c>
      <c r="H379" t="s">
        <v>516</v>
      </c>
      <c r="I379">
        <v>115604.47</v>
      </c>
    </row>
    <row r="380" spans="1:9">
      <c r="A380" s="90" t="s">
        <v>216</v>
      </c>
      <c r="B380" s="87">
        <v>45915</v>
      </c>
      <c r="C380" t="s">
        <v>517</v>
      </c>
      <c r="D380" t="s">
        <v>512</v>
      </c>
      <c r="E380" t="s">
        <v>802</v>
      </c>
      <c r="F380" t="s">
        <v>474</v>
      </c>
      <c r="G380" t="s">
        <v>470</v>
      </c>
      <c r="H380" t="s">
        <v>475</v>
      </c>
      <c r="I380">
        <v>216517.75</v>
      </c>
    </row>
    <row r="381" spans="1:9">
      <c r="A381" s="90" t="s">
        <v>216</v>
      </c>
      <c r="B381" s="87">
        <v>45916</v>
      </c>
      <c r="C381" t="s">
        <v>511</v>
      </c>
      <c r="D381" t="s">
        <v>512</v>
      </c>
      <c r="E381" t="s">
        <v>802</v>
      </c>
      <c r="F381" t="s">
        <v>474</v>
      </c>
      <c r="G381" t="s">
        <v>470</v>
      </c>
      <c r="H381" t="s">
        <v>475</v>
      </c>
      <c r="I381">
        <v>550000</v>
      </c>
    </row>
    <row r="382" spans="1:9">
      <c r="A382" s="90" t="s">
        <v>216</v>
      </c>
      <c r="B382" s="87">
        <v>45916</v>
      </c>
      <c r="C382" t="s">
        <v>511</v>
      </c>
      <c r="D382" t="s">
        <v>512</v>
      </c>
      <c r="E382" t="s">
        <v>802</v>
      </c>
      <c r="F382" t="s">
        <v>474</v>
      </c>
      <c r="G382" t="s">
        <v>470</v>
      </c>
      <c r="H382" t="s">
        <v>475</v>
      </c>
      <c r="I382">
        <v>126374.54</v>
      </c>
    </row>
    <row r="383" spans="1:9">
      <c r="A383" s="90" t="s">
        <v>216</v>
      </c>
      <c r="B383" s="87">
        <v>45917</v>
      </c>
      <c r="C383" t="s">
        <v>511</v>
      </c>
      <c r="D383" t="s">
        <v>512</v>
      </c>
      <c r="E383" t="s">
        <v>802</v>
      </c>
      <c r="F383" t="s">
        <v>474</v>
      </c>
      <c r="G383" t="s">
        <v>470</v>
      </c>
      <c r="H383" t="s">
        <v>475</v>
      </c>
      <c r="I383">
        <v>28026.36</v>
      </c>
    </row>
    <row r="384" spans="1:9">
      <c r="A384" s="90" t="s">
        <v>216</v>
      </c>
      <c r="B384" s="87">
        <v>45918</v>
      </c>
      <c r="C384" t="s">
        <v>826</v>
      </c>
      <c r="D384" t="s">
        <v>827</v>
      </c>
      <c r="E384" t="s">
        <v>828</v>
      </c>
      <c r="F384" t="s">
        <v>490</v>
      </c>
      <c r="G384" t="s">
        <v>470</v>
      </c>
      <c r="H384" t="s">
        <v>487</v>
      </c>
      <c r="I384">
        <v>50000</v>
      </c>
    </row>
    <row r="385" spans="1:9">
      <c r="A385" s="90" t="s">
        <v>216</v>
      </c>
      <c r="B385" s="87">
        <v>45918</v>
      </c>
      <c r="C385" t="s">
        <v>826</v>
      </c>
      <c r="D385" t="s">
        <v>827</v>
      </c>
      <c r="E385" t="s">
        <v>828</v>
      </c>
      <c r="F385" t="s">
        <v>490</v>
      </c>
      <c r="G385" t="s">
        <v>470</v>
      </c>
      <c r="H385" t="s">
        <v>487</v>
      </c>
      <c r="I385">
        <v>15000</v>
      </c>
    </row>
    <row r="386" spans="1:9">
      <c r="A386" s="90" t="s">
        <v>216</v>
      </c>
      <c r="B386" s="87">
        <v>45918</v>
      </c>
      <c r="C386" t="s">
        <v>829</v>
      </c>
      <c r="D386" t="s">
        <v>827</v>
      </c>
      <c r="E386" t="s">
        <v>828</v>
      </c>
      <c r="F386" t="s">
        <v>490</v>
      </c>
      <c r="G386" t="s">
        <v>470</v>
      </c>
      <c r="H386" t="s">
        <v>487</v>
      </c>
      <c r="I386">
        <v>1885</v>
      </c>
    </row>
    <row r="387" spans="1:9">
      <c r="A387" s="90" t="s">
        <v>216</v>
      </c>
      <c r="B387" s="87">
        <v>45918</v>
      </c>
      <c r="C387" t="s">
        <v>511</v>
      </c>
      <c r="D387" t="s">
        <v>512</v>
      </c>
      <c r="E387" t="s">
        <v>802</v>
      </c>
      <c r="F387" t="s">
        <v>474</v>
      </c>
      <c r="G387" t="s">
        <v>470</v>
      </c>
      <c r="H387" t="s">
        <v>475</v>
      </c>
      <c r="I387">
        <v>80000</v>
      </c>
    </row>
    <row r="388" spans="1:9">
      <c r="A388" s="90" t="s">
        <v>216</v>
      </c>
      <c r="B388" s="87">
        <v>45918</v>
      </c>
      <c r="C388" t="s">
        <v>511</v>
      </c>
      <c r="D388" t="s">
        <v>512</v>
      </c>
      <c r="E388" t="s">
        <v>802</v>
      </c>
      <c r="F388" t="s">
        <v>474</v>
      </c>
      <c r="G388" t="s">
        <v>470</v>
      </c>
      <c r="H388" t="s">
        <v>475</v>
      </c>
      <c r="I388">
        <v>23732.05</v>
      </c>
    </row>
    <row r="389" spans="1:9">
      <c r="A389" s="90" t="s">
        <v>216</v>
      </c>
      <c r="B389" s="87">
        <v>45919</v>
      </c>
      <c r="C389" t="s">
        <v>830</v>
      </c>
      <c r="D389" t="s">
        <v>831</v>
      </c>
      <c r="E389" t="s">
        <v>832</v>
      </c>
      <c r="F389" t="s">
        <v>490</v>
      </c>
      <c r="G389" t="s">
        <v>470</v>
      </c>
      <c r="H389" t="s">
        <v>801</v>
      </c>
      <c r="I389">
        <v>222422.42</v>
      </c>
    </row>
    <row r="390" spans="1:9">
      <c r="A390" s="90" t="s">
        <v>216</v>
      </c>
      <c r="B390" s="87">
        <v>45919</v>
      </c>
      <c r="C390" t="s">
        <v>833</v>
      </c>
      <c r="D390" t="s">
        <v>831</v>
      </c>
      <c r="E390" t="s">
        <v>834</v>
      </c>
      <c r="F390" t="s">
        <v>490</v>
      </c>
      <c r="G390" t="s">
        <v>470</v>
      </c>
      <c r="H390" t="s">
        <v>801</v>
      </c>
      <c r="I390">
        <v>227068.89</v>
      </c>
    </row>
    <row r="391" spans="1:9">
      <c r="A391" s="90" t="s">
        <v>216</v>
      </c>
      <c r="B391" s="87">
        <v>45919</v>
      </c>
      <c r="C391" t="s">
        <v>835</v>
      </c>
      <c r="D391" t="s">
        <v>831</v>
      </c>
      <c r="E391" t="s">
        <v>836</v>
      </c>
      <c r="F391" t="s">
        <v>490</v>
      </c>
      <c r="G391" t="s">
        <v>470</v>
      </c>
      <c r="H391" t="s">
        <v>801</v>
      </c>
      <c r="I391">
        <v>220859.1</v>
      </c>
    </row>
    <row r="392" spans="1:9">
      <c r="A392" s="90" t="s">
        <v>216</v>
      </c>
      <c r="B392" s="87">
        <v>45919</v>
      </c>
      <c r="C392" t="s">
        <v>837</v>
      </c>
      <c r="D392" t="s">
        <v>838</v>
      </c>
      <c r="E392" t="s">
        <v>839</v>
      </c>
      <c r="F392" t="s">
        <v>490</v>
      </c>
      <c r="G392" t="s">
        <v>470</v>
      </c>
      <c r="H392" t="s">
        <v>801</v>
      </c>
      <c r="I392">
        <v>221510.33</v>
      </c>
    </row>
    <row r="393" spans="1:9">
      <c r="A393" s="90" t="s">
        <v>216</v>
      </c>
      <c r="B393" s="87">
        <v>45919</v>
      </c>
      <c r="C393" t="s">
        <v>840</v>
      </c>
      <c r="D393" t="s">
        <v>794</v>
      </c>
      <c r="E393" t="s">
        <v>841</v>
      </c>
      <c r="F393" t="s">
        <v>490</v>
      </c>
      <c r="G393" t="s">
        <v>470</v>
      </c>
      <c r="H393" t="s">
        <v>796</v>
      </c>
      <c r="I393">
        <v>71543.199999999997</v>
      </c>
    </row>
    <row r="394" spans="1:9">
      <c r="A394" s="90" t="s">
        <v>216</v>
      </c>
      <c r="B394" s="87">
        <v>45919</v>
      </c>
      <c r="C394" t="s">
        <v>517</v>
      </c>
      <c r="D394" t="s">
        <v>512</v>
      </c>
      <c r="E394" t="s">
        <v>802</v>
      </c>
      <c r="F394" t="s">
        <v>474</v>
      </c>
      <c r="G394" t="s">
        <v>470</v>
      </c>
      <c r="H394" t="s">
        <v>475</v>
      </c>
      <c r="I394">
        <v>888320.44</v>
      </c>
    </row>
    <row r="395" spans="1:9">
      <c r="A395" s="90" t="s">
        <v>216</v>
      </c>
      <c r="B395" s="87">
        <v>45922</v>
      </c>
      <c r="C395" t="s">
        <v>840</v>
      </c>
      <c r="D395" t="s">
        <v>512</v>
      </c>
      <c r="E395" t="s">
        <v>841</v>
      </c>
      <c r="F395" t="s">
        <v>474</v>
      </c>
      <c r="G395" t="s">
        <v>470</v>
      </c>
      <c r="H395" t="s">
        <v>475</v>
      </c>
      <c r="I395">
        <v>71543.199999999997</v>
      </c>
    </row>
    <row r="396" spans="1:9">
      <c r="A396" s="90" t="s">
        <v>216</v>
      </c>
      <c r="B396" s="87">
        <v>45922</v>
      </c>
      <c r="C396" t="s">
        <v>517</v>
      </c>
      <c r="D396" t="s">
        <v>512</v>
      </c>
      <c r="E396" t="s">
        <v>842</v>
      </c>
      <c r="F396" t="s">
        <v>474</v>
      </c>
      <c r="G396" t="s">
        <v>470</v>
      </c>
      <c r="H396" t="s">
        <v>475</v>
      </c>
      <c r="I396">
        <v>9459.75</v>
      </c>
    </row>
    <row r="397" spans="1:9">
      <c r="A397" s="90" t="s">
        <v>216</v>
      </c>
      <c r="B397" s="87">
        <v>45923</v>
      </c>
      <c r="C397" t="s">
        <v>511</v>
      </c>
      <c r="D397" t="s">
        <v>512</v>
      </c>
      <c r="E397" t="s">
        <v>802</v>
      </c>
      <c r="F397" t="s">
        <v>474</v>
      </c>
      <c r="G397" t="s">
        <v>470</v>
      </c>
      <c r="H397" t="s">
        <v>475</v>
      </c>
      <c r="I397">
        <v>737290</v>
      </c>
    </row>
    <row r="398" spans="1:9">
      <c r="A398" s="90" t="s">
        <v>216</v>
      </c>
      <c r="B398" s="87">
        <v>45924</v>
      </c>
      <c r="C398" t="s">
        <v>843</v>
      </c>
      <c r="D398" t="s">
        <v>794</v>
      </c>
      <c r="E398" t="s">
        <v>844</v>
      </c>
      <c r="F398" t="s">
        <v>490</v>
      </c>
      <c r="G398" t="s">
        <v>470</v>
      </c>
      <c r="H398" t="s">
        <v>796</v>
      </c>
      <c r="I398">
        <v>72490.399999999994</v>
      </c>
    </row>
    <row r="399" spans="1:9">
      <c r="A399" s="90" t="s">
        <v>216</v>
      </c>
      <c r="B399" s="87">
        <v>45924</v>
      </c>
      <c r="C399" t="s">
        <v>511</v>
      </c>
      <c r="D399" t="s">
        <v>512</v>
      </c>
      <c r="E399" t="s">
        <v>802</v>
      </c>
      <c r="F399" t="s">
        <v>474</v>
      </c>
      <c r="G399" t="s">
        <v>470</v>
      </c>
      <c r="H399" t="s">
        <v>475</v>
      </c>
      <c r="I399">
        <v>52390.59</v>
      </c>
    </row>
    <row r="400" spans="1:9">
      <c r="A400" s="90" t="s">
        <v>216</v>
      </c>
      <c r="B400" s="87">
        <v>45925</v>
      </c>
      <c r="C400" t="s">
        <v>843</v>
      </c>
      <c r="D400" t="s">
        <v>512</v>
      </c>
      <c r="E400" t="s">
        <v>844</v>
      </c>
      <c r="F400" t="s">
        <v>474</v>
      </c>
      <c r="G400" t="s">
        <v>470</v>
      </c>
      <c r="H400" t="s">
        <v>475</v>
      </c>
      <c r="I400">
        <v>72490.399999999994</v>
      </c>
    </row>
    <row r="401" spans="1:9">
      <c r="A401" s="90" t="s">
        <v>216</v>
      </c>
      <c r="B401" s="87">
        <v>45925</v>
      </c>
      <c r="C401" t="s">
        <v>517</v>
      </c>
      <c r="D401" t="s">
        <v>512</v>
      </c>
      <c r="E401" t="s">
        <v>802</v>
      </c>
      <c r="F401" t="s">
        <v>474</v>
      </c>
      <c r="G401" t="s">
        <v>470</v>
      </c>
      <c r="H401" t="s">
        <v>475</v>
      </c>
      <c r="I401">
        <v>41671.129999999997</v>
      </c>
    </row>
    <row r="402" spans="1:9">
      <c r="A402" s="90" t="s">
        <v>216</v>
      </c>
      <c r="B402" s="87">
        <v>45926</v>
      </c>
      <c r="C402" t="s">
        <v>845</v>
      </c>
      <c r="D402" t="s">
        <v>477</v>
      </c>
      <c r="E402" t="s">
        <v>846</v>
      </c>
      <c r="F402" t="s">
        <v>218</v>
      </c>
      <c r="G402" t="s">
        <v>470</v>
      </c>
      <c r="H402" t="s">
        <v>516</v>
      </c>
      <c r="I402">
        <v>15429.23</v>
      </c>
    </row>
    <row r="403" spans="1:9">
      <c r="A403" s="90" t="s">
        <v>216</v>
      </c>
      <c r="B403" s="87">
        <v>45926</v>
      </c>
      <c r="C403" t="s">
        <v>847</v>
      </c>
      <c r="D403" t="s">
        <v>477</v>
      </c>
      <c r="E403" t="s">
        <v>848</v>
      </c>
      <c r="F403" t="s">
        <v>218</v>
      </c>
      <c r="G403" t="s">
        <v>470</v>
      </c>
      <c r="H403" t="s">
        <v>516</v>
      </c>
      <c r="I403">
        <v>15149.25</v>
      </c>
    </row>
    <row r="404" spans="1:9">
      <c r="A404" s="90" t="s">
        <v>216</v>
      </c>
      <c r="B404" s="87">
        <v>45926</v>
      </c>
      <c r="C404" t="s">
        <v>511</v>
      </c>
      <c r="D404" t="s">
        <v>512</v>
      </c>
      <c r="E404" t="s">
        <v>802</v>
      </c>
      <c r="F404" t="s">
        <v>474</v>
      </c>
      <c r="G404" t="s">
        <v>470</v>
      </c>
      <c r="H404" t="s">
        <v>475</v>
      </c>
      <c r="I404">
        <v>18753.150000000001</v>
      </c>
    </row>
    <row r="405" spans="1:9">
      <c r="A405" s="90" t="s">
        <v>216</v>
      </c>
      <c r="B405" s="87">
        <v>45929</v>
      </c>
      <c r="C405" t="s">
        <v>511</v>
      </c>
      <c r="D405" t="s">
        <v>512</v>
      </c>
      <c r="E405" t="s">
        <v>802</v>
      </c>
      <c r="F405" t="s">
        <v>474</v>
      </c>
      <c r="G405" t="s">
        <v>470</v>
      </c>
      <c r="H405" t="s">
        <v>475</v>
      </c>
      <c r="I405">
        <v>41919.35</v>
      </c>
    </row>
    <row r="406" spans="1:9">
      <c r="A406" s="90" t="s">
        <v>216</v>
      </c>
      <c r="B406" s="87">
        <v>45930</v>
      </c>
      <c r="C406" t="s">
        <v>849</v>
      </c>
      <c r="D406" t="s">
        <v>794</v>
      </c>
      <c r="E406" t="s">
        <v>850</v>
      </c>
      <c r="F406" t="s">
        <v>490</v>
      </c>
      <c r="G406" t="s">
        <v>470</v>
      </c>
      <c r="H406" t="s">
        <v>796</v>
      </c>
      <c r="I406">
        <v>50142.400000000001</v>
      </c>
    </row>
    <row r="407" spans="1:9">
      <c r="A407" s="90" t="s">
        <v>216</v>
      </c>
      <c r="B407" s="87">
        <v>45930</v>
      </c>
      <c r="C407" t="s">
        <v>511</v>
      </c>
      <c r="D407" t="s">
        <v>512</v>
      </c>
      <c r="E407" t="s">
        <v>802</v>
      </c>
      <c r="F407" t="s">
        <v>474</v>
      </c>
      <c r="G407" t="s">
        <v>470</v>
      </c>
      <c r="H407" t="s">
        <v>475</v>
      </c>
      <c r="I407">
        <v>100000</v>
      </c>
    </row>
    <row r="408" spans="1:9">
      <c r="A408" s="90" t="s">
        <v>216</v>
      </c>
      <c r="B408" s="87">
        <v>45930</v>
      </c>
      <c r="C408" t="s">
        <v>851</v>
      </c>
      <c r="D408" t="s">
        <v>477</v>
      </c>
      <c r="E408" t="s">
        <v>852</v>
      </c>
      <c r="F408" t="s">
        <v>218</v>
      </c>
      <c r="G408" t="s">
        <v>470</v>
      </c>
      <c r="H408" t="s">
        <v>516</v>
      </c>
      <c r="I408">
        <v>15064.25</v>
      </c>
    </row>
    <row r="409" spans="1:9">
      <c r="A409" s="90" t="s">
        <v>216</v>
      </c>
      <c r="B409" s="87">
        <v>45930</v>
      </c>
      <c r="C409" t="s">
        <v>511</v>
      </c>
      <c r="D409" t="s">
        <v>512</v>
      </c>
      <c r="E409" t="s">
        <v>802</v>
      </c>
      <c r="F409" t="s">
        <v>474</v>
      </c>
      <c r="G409" t="s">
        <v>470</v>
      </c>
      <c r="H409" t="s">
        <v>475</v>
      </c>
      <c r="I409">
        <v>88170.28</v>
      </c>
    </row>
    <row r="410" spans="1:9">
      <c r="A410" s="90" t="s">
        <v>216</v>
      </c>
      <c r="B410" s="87">
        <v>45930</v>
      </c>
      <c r="C410" t="s">
        <v>524</v>
      </c>
      <c r="D410" t="s">
        <v>477</v>
      </c>
      <c r="E410" t="s">
        <v>853</v>
      </c>
      <c r="F410" t="s">
        <v>525</v>
      </c>
      <c r="G410" t="s">
        <v>470</v>
      </c>
      <c r="H410" t="s">
        <v>516</v>
      </c>
      <c r="I410">
        <v>89.59</v>
      </c>
    </row>
    <row r="411" spans="1:9">
      <c r="A411" s="90" t="s">
        <v>216</v>
      </c>
      <c r="B411" s="87">
        <v>45930</v>
      </c>
      <c r="C411" t="s">
        <v>524</v>
      </c>
      <c r="D411" t="s">
        <v>477</v>
      </c>
      <c r="E411" t="s">
        <v>802</v>
      </c>
      <c r="F411" t="s">
        <v>525</v>
      </c>
      <c r="G411" t="s">
        <v>470</v>
      </c>
      <c r="H411" t="s">
        <v>516</v>
      </c>
      <c r="I411">
        <v>16195.68</v>
      </c>
    </row>
    <row r="412" spans="1:9">
      <c r="A412" s="90" t="s">
        <v>216</v>
      </c>
      <c r="B412" s="87">
        <v>45930</v>
      </c>
      <c r="C412" t="s">
        <v>524</v>
      </c>
      <c r="D412" t="s">
        <v>477</v>
      </c>
      <c r="E412" t="s">
        <v>802</v>
      </c>
      <c r="F412" t="s">
        <v>525</v>
      </c>
      <c r="G412" t="s">
        <v>470</v>
      </c>
      <c r="H412" t="s">
        <v>516</v>
      </c>
      <c r="I412">
        <v>201.54</v>
      </c>
    </row>
    <row r="413" spans="1:9">
      <c r="A413" s="90" t="s">
        <v>216</v>
      </c>
      <c r="B413" s="87">
        <v>45931</v>
      </c>
      <c r="C413" t="s">
        <v>507</v>
      </c>
      <c r="D413" t="s">
        <v>508</v>
      </c>
      <c r="E413" t="s">
        <v>518</v>
      </c>
      <c r="F413" t="s">
        <v>510</v>
      </c>
      <c r="G413" t="s">
        <v>470</v>
      </c>
      <c r="H413" t="s">
        <v>487</v>
      </c>
      <c r="I413">
        <v>10358.69</v>
      </c>
    </row>
    <row r="414" spans="1:9">
      <c r="A414" s="90" t="s">
        <v>216</v>
      </c>
      <c r="B414" s="87">
        <v>45931</v>
      </c>
      <c r="C414" t="s">
        <v>849</v>
      </c>
      <c r="D414" t="s">
        <v>512</v>
      </c>
      <c r="E414" t="s">
        <v>850</v>
      </c>
      <c r="F414" t="s">
        <v>474</v>
      </c>
      <c r="G414" t="s">
        <v>470</v>
      </c>
      <c r="H414" t="s">
        <v>475</v>
      </c>
      <c r="I414">
        <v>50142.400000000001</v>
      </c>
    </row>
    <row r="415" spans="1:9">
      <c r="A415" s="90" t="s">
        <v>216</v>
      </c>
      <c r="B415" s="87">
        <v>45931</v>
      </c>
      <c r="C415" t="s">
        <v>517</v>
      </c>
      <c r="D415" t="s">
        <v>512</v>
      </c>
      <c r="E415" t="s">
        <v>518</v>
      </c>
      <c r="F415" t="s">
        <v>474</v>
      </c>
      <c r="G415" t="s">
        <v>470</v>
      </c>
      <c r="H415" t="s">
        <v>475</v>
      </c>
      <c r="I415">
        <v>36309.199999999997</v>
      </c>
    </row>
    <row r="416" spans="1:9">
      <c r="A416" s="90" t="s">
        <v>216</v>
      </c>
      <c r="B416" s="87">
        <v>45932</v>
      </c>
      <c r="C416" t="s">
        <v>854</v>
      </c>
      <c r="D416" t="s">
        <v>794</v>
      </c>
      <c r="E416" t="s">
        <v>855</v>
      </c>
      <c r="F416" t="s">
        <v>490</v>
      </c>
      <c r="G416" t="s">
        <v>470</v>
      </c>
      <c r="H416" t="s">
        <v>796</v>
      </c>
      <c r="I416">
        <v>67784</v>
      </c>
    </row>
    <row r="417" spans="1:9">
      <c r="A417" s="90" t="s">
        <v>216</v>
      </c>
      <c r="B417" s="87">
        <v>45932</v>
      </c>
      <c r="C417" t="s">
        <v>856</v>
      </c>
      <c r="D417" t="s">
        <v>794</v>
      </c>
      <c r="E417" t="s">
        <v>857</v>
      </c>
      <c r="F417" t="s">
        <v>490</v>
      </c>
      <c r="G417" t="s">
        <v>470</v>
      </c>
      <c r="H417" t="s">
        <v>796</v>
      </c>
      <c r="I417">
        <v>63373.599999999999</v>
      </c>
    </row>
    <row r="418" spans="1:9">
      <c r="A418" s="90" t="s">
        <v>216</v>
      </c>
      <c r="B418" s="87">
        <v>45932</v>
      </c>
      <c r="C418" t="s">
        <v>511</v>
      </c>
      <c r="D418" t="s">
        <v>512</v>
      </c>
      <c r="E418" t="s">
        <v>518</v>
      </c>
      <c r="F418" t="s">
        <v>474</v>
      </c>
      <c r="G418" t="s">
        <v>470</v>
      </c>
      <c r="H418" t="s">
        <v>475</v>
      </c>
      <c r="I418">
        <v>100000</v>
      </c>
    </row>
    <row r="419" spans="1:9">
      <c r="A419" s="90" t="s">
        <v>216</v>
      </c>
      <c r="B419" s="87">
        <v>45932</v>
      </c>
      <c r="C419" t="s">
        <v>517</v>
      </c>
      <c r="D419" t="s">
        <v>512</v>
      </c>
      <c r="E419" t="s">
        <v>518</v>
      </c>
      <c r="F419" t="s">
        <v>474</v>
      </c>
      <c r="G419" t="s">
        <v>470</v>
      </c>
      <c r="H419" t="s">
        <v>475</v>
      </c>
      <c r="I419">
        <v>15064.54</v>
      </c>
    </row>
    <row r="420" spans="1:9">
      <c r="A420" s="90" t="s">
        <v>216</v>
      </c>
      <c r="B420" s="87">
        <v>45933</v>
      </c>
      <c r="C420" t="s">
        <v>854</v>
      </c>
      <c r="D420" t="s">
        <v>512</v>
      </c>
      <c r="E420" t="s">
        <v>855</v>
      </c>
      <c r="F420" t="s">
        <v>474</v>
      </c>
      <c r="G420" t="s">
        <v>470</v>
      </c>
      <c r="H420" t="s">
        <v>475</v>
      </c>
      <c r="I420">
        <v>67784</v>
      </c>
    </row>
    <row r="421" spans="1:9">
      <c r="A421" s="90" t="s">
        <v>216</v>
      </c>
      <c r="B421" s="87">
        <v>45933</v>
      </c>
      <c r="C421" t="s">
        <v>856</v>
      </c>
      <c r="D421" t="s">
        <v>512</v>
      </c>
      <c r="E421" t="s">
        <v>857</v>
      </c>
      <c r="F421" t="s">
        <v>474</v>
      </c>
      <c r="G421" t="s">
        <v>470</v>
      </c>
      <c r="H421" t="s">
        <v>475</v>
      </c>
      <c r="I421">
        <v>63373.599999999999</v>
      </c>
    </row>
    <row r="422" spans="1:9">
      <c r="A422" s="90" t="s">
        <v>216</v>
      </c>
      <c r="B422" s="87">
        <v>45933</v>
      </c>
      <c r="C422" t="s">
        <v>858</v>
      </c>
      <c r="D422" t="s">
        <v>477</v>
      </c>
      <c r="E422" t="s">
        <v>859</v>
      </c>
      <c r="F422" t="s">
        <v>218</v>
      </c>
      <c r="G422" t="s">
        <v>470</v>
      </c>
      <c r="H422" t="s">
        <v>516</v>
      </c>
      <c r="I422">
        <v>14830</v>
      </c>
    </row>
    <row r="423" spans="1:9">
      <c r="A423" s="90" t="s">
        <v>216</v>
      </c>
      <c r="B423" s="87">
        <v>45933</v>
      </c>
      <c r="C423" t="s">
        <v>860</v>
      </c>
      <c r="D423" t="s">
        <v>477</v>
      </c>
      <c r="E423" t="s">
        <v>861</v>
      </c>
      <c r="F423" t="s">
        <v>218</v>
      </c>
      <c r="G423" t="s">
        <v>470</v>
      </c>
      <c r="H423" t="s">
        <v>516</v>
      </c>
      <c r="I423">
        <v>16543.439999999999</v>
      </c>
    </row>
    <row r="424" spans="1:9">
      <c r="A424" s="90" t="s">
        <v>216</v>
      </c>
      <c r="B424" s="87">
        <v>45933</v>
      </c>
      <c r="C424" t="s">
        <v>517</v>
      </c>
      <c r="D424" t="s">
        <v>512</v>
      </c>
      <c r="E424" t="s">
        <v>518</v>
      </c>
      <c r="F424" t="s">
        <v>474</v>
      </c>
      <c r="G424" t="s">
        <v>470</v>
      </c>
      <c r="H424" t="s">
        <v>475</v>
      </c>
      <c r="I424">
        <v>116162.48</v>
      </c>
    </row>
    <row r="425" spans="1:9">
      <c r="A425" s="90" t="s">
        <v>216</v>
      </c>
      <c r="B425" s="87">
        <v>45936</v>
      </c>
      <c r="C425" t="s">
        <v>862</v>
      </c>
      <c r="D425" t="s">
        <v>863</v>
      </c>
      <c r="E425" t="s">
        <v>864</v>
      </c>
      <c r="F425" t="s">
        <v>490</v>
      </c>
      <c r="G425" t="s">
        <v>470</v>
      </c>
      <c r="H425" t="s">
        <v>487</v>
      </c>
      <c r="I425">
        <v>183333.33</v>
      </c>
    </row>
    <row r="426" spans="1:9">
      <c r="A426" s="90" t="s">
        <v>216</v>
      </c>
      <c r="B426" s="87">
        <v>45936</v>
      </c>
      <c r="C426" t="s">
        <v>865</v>
      </c>
      <c r="D426" t="s">
        <v>863</v>
      </c>
      <c r="E426" t="s">
        <v>866</v>
      </c>
      <c r="F426" t="s">
        <v>490</v>
      </c>
      <c r="G426" t="s">
        <v>470</v>
      </c>
      <c r="H426" t="s">
        <v>487</v>
      </c>
      <c r="I426">
        <v>183333.33</v>
      </c>
    </row>
    <row r="427" spans="1:9">
      <c r="A427" s="90" t="s">
        <v>216</v>
      </c>
      <c r="B427" s="87">
        <v>45936</v>
      </c>
      <c r="C427" t="s">
        <v>511</v>
      </c>
      <c r="D427" t="s">
        <v>512</v>
      </c>
      <c r="E427" t="s">
        <v>518</v>
      </c>
      <c r="F427" t="s">
        <v>474</v>
      </c>
      <c r="G427" t="s">
        <v>470</v>
      </c>
      <c r="H427" t="s">
        <v>475</v>
      </c>
      <c r="I427">
        <v>8486.6299999999992</v>
      </c>
    </row>
    <row r="428" spans="1:9">
      <c r="A428" s="90" t="s">
        <v>216</v>
      </c>
      <c r="B428" s="87">
        <v>45937</v>
      </c>
      <c r="C428" t="s">
        <v>867</v>
      </c>
      <c r="D428" t="s">
        <v>794</v>
      </c>
      <c r="E428" t="s">
        <v>868</v>
      </c>
      <c r="F428" t="s">
        <v>490</v>
      </c>
      <c r="G428" t="s">
        <v>470</v>
      </c>
      <c r="H428" t="s">
        <v>796</v>
      </c>
      <c r="I428">
        <v>51563.199999999997</v>
      </c>
    </row>
    <row r="429" spans="1:9">
      <c r="A429" s="90" t="s">
        <v>216</v>
      </c>
      <c r="B429" s="87">
        <v>45937</v>
      </c>
      <c r="C429" t="s">
        <v>869</v>
      </c>
      <c r="D429" t="s">
        <v>870</v>
      </c>
      <c r="E429" t="s">
        <v>871</v>
      </c>
      <c r="F429" t="s">
        <v>490</v>
      </c>
      <c r="G429" t="s">
        <v>470</v>
      </c>
      <c r="H429" t="s">
        <v>487</v>
      </c>
      <c r="I429">
        <v>51111</v>
      </c>
    </row>
    <row r="430" spans="1:9">
      <c r="A430" s="90" t="s">
        <v>216</v>
      </c>
      <c r="B430" s="87">
        <v>45937</v>
      </c>
      <c r="C430" t="s">
        <v>869</v>
      </c>
      <c r="D430" t="s">
        <v>870</v>
      </c>
      <c r="E430" t="s">
        <v>871</v>
      </c>
      <c r="F430" t="s">
        <v>490</v>
      </c>
      <c r="G430" t="s">
        <v>470</v>
      </c>
      <c r="H430" t="s">
        <v>487</v>
      </c>
      <c r="I430">
        <v>27</v>
      </c>
    </row>
    <row r="431" spans="1:9">
      <c r="A431" s="90" t="s">
        <v>216</v>
      </c>
      <c r="B431" s="87">
        <v>45937</v>
      </c>
      <c r="C431" t="s">
        <v>872</v>
      </c>
      <c r="D431" t="s">
        <v>873</v>
      </c>
      <c r="E431" t="s">
        <v>874</v>
      </c>
      <c r="F431" t="s">
        <v>490</v>
      </c>
      <c r="G431" t="s">
        <v>470</v>
      </c>
      <c r="H431" t="s">
        <v>487</v>
      </c>
      <c r="I431">
        <v>46991</v>
      </c>
    </row>
    <row r="432" spans="1:9">
      <c r="A432" s="90" t="s">
        <v>216</v>
      </c>
      <c r="B432" s="87">
        <v>45937</v>
      </c>
      <c r="C432" t="s">
        <v>875</v>
      </c>
      <c r="D432" t="s">
        <v>870</v>
      </c>
      <c r="E432" t="s">
        <v>876</v>
      </c>
      <c r="F432" t="s">
        <v>490</v>
      </c>
      <c r="G432" t="s">
        <v>470</v>
      </c>
      <c r="H432" t="s">
        <v>487</v>
      </c>
      <c r="I432">
        <v>48249</v>
      </c>
    </row>
    <row r="433" spans="1:9">
      <c r="A433" s="90" t="s">
        <v>216</v>
      </c>
      <c r="B433" s="87">
        <v>45937</v>
      </c>
      <c r="C433" t="s">
        <v>877</v>
      </c>
      <c r="D433" t="s">
        <v>878</v>
      </c>
      <c r="E433" t="s">
        <v>879</v>
      </c>
      <c r="F433" t="s">
        <v>490</v>
      </c>
      <c r="G433" t="s">
        <v>470</v>
      </c>
      <c r="H433" t="s">
        <v>540</v>
      </c>
      <c r="I433">
        <v>50330.400000000001</v>
      </c>
    </row>
    <row r="434" spans="1:9">
      <c r="A434" s="90" t="s">
        <v>216</v>
      </c>
      <c r="B434" s="87">
        <v>45937</v>
      </c>
      <c r="C434" t="s">
        <v>517</v>
      </c>
      <c r="D434" t="s">
        <v>512</v>
      </c>
      <c r="E434" t="s">
        <v>518</v>
      </c>
      <c r="F434" t="s">
        <v>474</v>
      </c>
      <c r="G434" t="s">
        <v>470</v>
      </c>
      <c r="H434" t="s">
        <v>475</v>
      </c>
      <c r="I434">
        <v>156441.97</v>
      </c>
    </row>
    <row r="435" spans="1:9">
      <c r="A435" s="90" t="s">
        <v>216</v>
      </c>
      <c r="B435" s="87">
        <v>45938</v>
      </c>
      <c r="C435" t="s">
        <v>867</v>
      </c>
      <c r="D435" t="s">
        <v>512</v>
      </c>
      <c r="E435" t="s">
        <v>868</v>
      </c>
      <c r="F435" t="s">
        <v>474</v>
      </c>
      <c r="G435" t="s">
        <v>470</v>
      </c>
      <c r="H435" t="s">
        <v>475</v>
      </c>
      <c r="I435">
        <v>51563.199999999997</v>
      </c>
    </row>
    <row r="436" spans="1:9">
      <c r="A436" s="90" t="s">
        <v>216</v>
      </c>
      <c r="B436" s="87">
        <v>45938</v>
      </c>
      <c r="C436" t="s">
        <v>511</v>
      </c>
      <c r="D436" t="s">
        <v>512</v>
      </c>
      <c r="E436" t="s">
        <v>518</v>
      </c>
      <c r="F436" t="s">
        <v>474</v>
      </c>
      <c r="G436" t="s">
        <v>470</v>
      </c>
      <c r="H436" t="s">
        <v>475</v>
      </c>
      <c r="I436">
        <v>12242.29</v>
      </c>
    </row>
    <row r="437" spans="1:9">
      <c r="A437" s="90" t="s">
        <v>216</v>
      </c>
      <c r="B437" s="87">
        <v>45939</v>
      </c>
      <c r="C437" t="s">
        <v>880</v>
      </c>
      <c r="D437" t="s">
        <v>881</v>
      </c>
      <c r="E437" t="s">
        <v>270</v>
      </c>
      <c r="F437" t="s">
        <v>490</v>
      </c>
      <c r="G437" t="s">
        <v>470</v>
      </c>
      <c r="H437" t="s">
        <v>801</v>
      </c>
      <c r="I437">
        <v>238001.87</v>
      </c>
    </row>
    <row r="438" spans="1:9">
      <c r="A438" s="90" t="s">
        <v>216</v>
      </c>
      <c r="B438" s="87">
        <v>45939</v>
      </c>
      <c r="C438" t="s">
        <v>880</v>
      </c>
      <c r="D438" t="s">
        <v>881</v>
      </c>
      <c r="E438" t="s">
        <v>270</v>
      </c>
      <c r="F438" t="s">
        <v>882</v>
      </c>
      <c r="G438" t="s">
        <v>470</v>
      </c>
      <c r="H438" t="s">
        <v>801</v>
      </c>
      <c r="I438">
        <v>228.05</v>
      </c>
    </row>
    <row r="439" spans="1:9">
      <c r="A439" s="90" t="s">
        <v>216</v>
      </c>
      <c r="B439" s="87">
        <v>45939</v>
      </c>
      <c r="C439" t="s">
        <v>883</v>
      </c>
      <c r="D439" t="s">
        <v>870</v>
      </c>
      <c r="E439" t="s">
        <v>884</v>
      </c>
      <c r="F439" t="s">
        <v>490</v>
      </c>
      <c r="G439" t="s">
        <v>470</v>
      </c>
      <c r="H439" t="s">
        <v>475</v>
      </c>
      <c r="I439">
        <v>49383</v>
      </c>
    </row>
    <row r="440" spans="1:9">
      <c r="A440" s="90" t="s">
        <v>216</v>
      </c>
      <c r="B440" s="87">
        <v>45939</v>
      </c>
      <c r="C440" t="s">
        <v>885</v>
      </c>
      <c r="D440" t="s">
        <v>477</v>
      </c>
      <c r="E440" t="s">
        <v>886</v>
      </c>
      <c r="F440" t="s">
        <v>218</v>
      </c>
      <c r="G440" t="s">
        <v>470</v>
      </c>
      <c r="H440" t="s">
        <v>516</v>
      </c>
      <c r="I440">
        <v>17064.150000000001</v>
      </c>
    </row>
    <row r="441" spans="1:9">
      <c r="A441" s="90" t="s">
        <v>216</v>
      </c>
      <c r="B441" s="87">
        <v>45939</v>
      </c>
      <c r="C441" t="s">
        <v>887</v>
      </c>
      <c r="D441" t="s">
        <v>477</v>
      </c>
      <c r="E441" t="s">
        <v>888</v>
      </c>
      <c r="F441" t="s">
        <v>218</v>
      </c>
      <c r="G441" t="s">
        <v>470</v>
      </c>
      <c r="H441" t="s">
        <v>516</v>
      </c>
      <c r="I441">
        <v>15644.22</v>
      </c>
    </row>
    <row r="442" spans="1:9">
      <c r="A442" s="90" t="s">
        <v>216</v>
      </c>
      <c r="B442" s="87">
        <v>45939</v>
      </c>
      <c r="C442" t="s">
        <v>889</v>
      </c>
      <c r="D442" t="s">
        <v>477</v>
      </c>
      <c r="E442" t="s">
        <v>890</v>
      </c>
      <c r="F442" t="s">
        <v>218</v>
      </c>
      <c r="G442" t="s">
        <v>470</v>
      </c>
      <c r="H442" t="s">
        <v>516</v>
      </c>
      <c r="I442">
        <v>15669.22</v>
      </c>
    </row>
    <row r="443" spans="1:9">
      <c r="A443" s="90" t="s">
        <v>216</v>
      </c>
      <c r="B443" s="87">
        <v>45939</v>
      </c>
      <c r="C443" t="s">
        <v>517</v>
      </c>
      <c r="D443" t="s">
        <v>512</v>
      </c>
      <c r="E443" t="s">
        <v>518</v>
      </c>
      <c r="F443" t="s">
        <v>474</v>
      </c>
      <c r="G443" t="s">
        <v>470</v>
      </c>
      <c r="H443" t="s">
        <v>475</v>
      </c>
      <c r="I443">
        <v>300614.73</v>
      </c>
    </row>
    <row r="444" spans="1:9">
      <c r="A444" s="90" t="s">
        <v>216</v>
      </c>
      <c r="B444" s="87">
        <v>45940</v>
      </c>
      <c r="C444" t="s">
        <v>891</v>
      </c>
      <c r="D444" t="s">
        <v>878</v>
      </c>
      <c r="E444" t="s">
        <v>879</v>
      </c>
      <c r="F444" t="s">
        <v>490</v>
      </c>
      <c r="G444" t="s">
        <v>470</v>
      </c>
      <c r="H444" t="s">
        <v>540</v>
      </c>
      <c r="I444">
        <v>509.2</v>
      </c>
    </row>
    <row r="445" spans="1:9">
      <c r="A445" s="90" t="s">
        <v>216</v>
      </c>
      <c r="B445" s="87">
        <v>45940</v>
      </c>
      <c r="C445" t="s">
        <v>511</v>
      </c>
      <c r="D445" t="s">
        <v>512</v>
      </c>
      <c r="E445" t="s">
        <v>518</v>
      </c>
      <c r="F445" t="s">
        <v>474</v>
      </c>
      <c r="G445" t="s">
        <v>470</v>
      </c>
      <c r="H445" t="s">
        <v>475</v>
      </c>
      <c r="I445">
        <v>133686.39999999999</v>
      </c>
    </row>
    <row r="446" spans="1:9">
      <c r="A446" s="90" t="s">
        <v>216</v>
      </c>
      <c r="B446" s="87">
        <v>45943</v>
      </c>
      <c r="C446" t="s">
        <v>511</v>
      </c>
      <c r="D446" t="s">
        <v>512</v>
      </c>
      <c r="E446" t="s">
        <v>518</v>
      </c>
      <c r="F446" t="s">
        <v>474</v>
      </c>
      <c r="G446" t="s">
        <v>470</v>
      </c>
      <c r="H446" t="s">
        <v>475</v>
      </c>
      <c r="I446">
        <v>60326.17</v>
      </c>
    </row>
    <row r="447" spans="1:9">
      <c r="A447" s="90" t="s">
        <v>216</v>
      </c>
      <c r="B447" s="87">
        <v>45944</v>
      </c>
      <c r="C447" t="s">
        <v>511</v>
      </c>
      <c r="D447" t="s">
        <v>512</v>
      </c>
      <c r="E447" t="s">
        <v>518</v>
      </c>
      <c r="F447" t="s">
        <v>474</v>
      </c>
      <c r="G447" t="s">
        <v>470</v>
      </c>
      <c r="H447" t="s">
        <v>475</v>
      </c>
      <c r="I447">
        <v>139362.32</v>
      </c>
    </row>
    <row r="448" spans="1:9">
      <c r="A448" s="90" t="s">
        <v>216</v>
      </c>
      <c r="B448" s="87">
        <v>45944</v>
      </c>
      <c r="C448" t="s">
        <v>892</v>
      </c>
      <c r="D448" t="s">
        <v>477</v>
      </c>
      <c r="E448" t="s">
        <v>893</v>
      </c>
      <c r="F448" t="s">
        <v>218</v>
      </c>
      <c r="G448" t="s">
        <v>470</v>
      </c>
      <c r="H448" t="s">
        <v>516</v>
      </c>
      <c r="I448">
        <v>6394.69</v>
      </c>
    </row>
    <row r="449" spans="1:9">
      <c r="A449" s="90" t="s">
        <v>216</v>
      </c>
      <c r="B449" s="87">
        <v>45945</v>
      </c>
      <c r="C449" t="s">
        <v>511</v>
      </c>
      <c r="D449" t="s">
        <v>512</v>
      </c>
      <c r="E449" t="s">
        <v>518</v>
      </c>
      <c r="F449" t="s">
        <v>474</v>
      </c>
      <c r="G449" t="s">
        <v>470</v>
      </c>
      <c r="H449" t="s">
        <v>475</v>
      </c>
      <c r="I449">
        <v>1059.02</v>
      </c>
    </row>
    <row r="450" spans="1:9">
      <c r="A450" s="90" t="s">
        <v>216</v>
      </c>
      <c r="B450" s="87">
        <v>45946</v>
      </c>
      <c r="C450" t="s">
        <v>894</v>
      </c>
      <c r="D450" t="s">
        <v>870</v>
      </c>
      <c r="E450" t="s">
        <v>895</v>
      </c>
      <c r="F450" t="s">
        <v>490</v>
      </c>
      <c r="G450" t="s">
        <v>470</v>
      </c>
      <c r="H450" t="s">
        <v>487</v>
      </c>
      <c r="I450">
        <v>66906</v>
      </c>
    </row>
    <row r="451" spans="1:9">
      <c r="A451" s="90" t="s">
        <v>216</v>
      </c>
      <c r="B451" s="87">
        <v>45946</v>
      </c>
      <c r="C451" t="s">
        <v>894</v>
      </c>
      <c r="D451" t="s">
        <v>870</v>
      </c>
      <c r="E451" t="s">
        <v>895</v>
      </c>
      <c r="F451" t="s">
        <v>490</v>
      </c>
      <c r="G451" t="s">
        <v>470</v>
      </c>
      <c r="H451" t="s">
        <v>487</v>
      </c>
      <c r="I451">
        <v>108</v>
      </c>
    </row>
    <row r="452" spans="1:9">
      <c r="A452" s="90" t="s">
        <v>216</v>
      </c>
      <c r="B452" s="87">
        <v>45946</v>
      </c>
      <c r="C452" t="s">
        <v>896</v>
      </c>
      <c r="D452" t="s">
        <v>870</v>
      </c>
      <c r="E452" t="s">
        <v>897</v>
      </c>
      <c r="F452" t="s">
        <v>490</v>
      </c>
      <c r="G452" t="s">
        <v>470</v>
      </c>
      <c r="H452" t="s">
        <v>487</v>
      </c>
      <c r="I452">
        <v>42309</v>
      </c>
    </row>
    <row r="453" spans="1:9">
      <c r="A453" s="90" t="s">
        <v>216</v>
      </c>
      <c r="B453" s="87">
        <v>45946</v>
      </c>
      <c r="C453" t="s">
        <v>896</v>
      </c>
      <c r="D453" t="s">
        <v>870</v>
      </c>
      <c r="E453" t="s">
        <v>897</v>
      </c>
      <c r="F453" t="s">
        <v>490</v>
      </c>
      <c r="G453" t="s">
        <v>470</v>
      </c>
      <c r="H453" t="s">
        <v>487</v>
      </c>
      <c r="I453">
        <v>297</v>
      </c>
    </row>
    <row r="454" spans="1:9">
      <c r="A454" s="90" t="s">
        <v>216</v>
      </c>
      <c r="B454" s="87">
        <v>45946</v>
      </c>
      <c r="C454" t="s">
        <v>898</v>
      </c>
      <c r="D454" t="s">
        <v>873</v>
      </c>
      <c r="E454" t="s">
        <v>899</v>
      </c>
      <c r="F454" t="s">
        <v>490</v>
      </c>
      <c r="G454" t="s">
        <v>470</v>
      </c>
      <c r="H454" t="s">
        <v>487</v>
      </c>
      <c r="I454">
        <v>65787.399999999994</v>
      </c>
    </row>
    <row r="455" spans="1:9">
      <c r="A455" s="90" t="s">
        <v>216</v>
      </c>
      <c r="B455" s="87">
        <v>45946</v>
      </c>
      <c r="C455" t="s">
        <v>517</v>
      </c>
      <c r="D455" t="s">
        <v>512</v>
      </c>
      <c r="E455" t="s">
        <v>518</v>
      </c>
      <c r="F455" t="s">
        <v>474</v>
      </c>
      <c r="G455" t="s">
        <v>470</v>
      </c>
      <c r="H455" t="s">
        <v>475</v>
      </c>
      <c r="I455">
        <v>141901.20000000001</v>
      </c>
    </row>
    <row r="456" spans="1:9">
      <c r="A456" s="90" t="s">
        <v>216</v>
      </c>
      <c r="B456" s="87">
        <v>45947</v>
      </c>
      <c r="C456" t="s">
        <v>900</v>
      </c>
      <c r="D456" t="s">
        <v>901</v>
      </c>
      <c r="E456" t="s">
        <v>902</v>
      </c>
      <c r="F456" t="s">
        <v>490</v>
      </c>
      <c r="G456" t="s">
        <v>470</v>
      </c>
      <c r="H456" t="s">
        <v>540</v>
      </c>
      <c r="I456">
        <v>87948</v>
      </c>
    </row>
    <row r="457" spans="1:9">
      <c r="A457" s="90" t="s">
        <v>216</v>
      </c>
      <c r="B457" s="87">
        <v>45947</v>
      </c>
      <c r="C457" t="s">
        <v>903</v>
      </c>
      <c r="D457" t="s">
        <v>901</v>
      </c>
      <c r="E457" t="s">
        <v>904</v>
      </c>
      <c r="F457" t="s">
        <v>490</v>
      </c>
      <c r="G457" t="s">
        <v>470</v>
      </c>
      <c r="H457" t="s">
        <v>540</v>
      </c>
      <c r="I457">
        <v>85554</v>
      </c>
    </row>
    <row r="458" spans="1:9">
      <c r="A458" s="90" t="s">
        <v>216</v>
      </c>
      <c r="B458" s="87">
        <v>45947</v>
      </c>
      <c r="C458" t="s">
        <v>905</v>
      </c>
      <c r="D458" t="s">
        <v>901</v>
      </c>
      <c r="E458" t="s">
        <v>906</v>
      </c>
      <c r="F458" t="s">
        <v>490</v>
      </c>
      <c r="G458" t="s">
        <v>470</v>
      </c>
      <c r="H458" t="s">
        <v>540</v>
      </c>
      <c r="I458">
        <v>85356</v>
      </c>
    </row>
    <row r="459" spans="1:9">
      <c r="A459" s="90" t="s">
        <v>216</v>
      </c>
      <c r="B459" s="87">
        <v>45947</v>
      </c>
      <c r="C459" t="s">
        <v>907</v>
      </c>
      <c r="D459" t="s">
        <v>901</v>
      </c>
      <c r="E459" t="s">
        <v>908</v>
      </c>
      <c r="F459" t="s">
        <v>490</v>
      </c>
      <c r="G459" t="s">
        <v>470</v>
      </c>
      <c r="H459" t="s">
        <v>540</v>
      </c>
      <c r="I459">
        <v>85698</v>
      </c>
    </row>
    <row r="460" spans="1:9">
      <c r="A460" s="90" t="s">
        <v>216</v>
      </c>
      <c r="B460" s="87">
        <v>45947</v>
      </c>
      <c r="C460" t="s">
        <v>909</v>
      </c>
      <c r="D460" t="s">
        <v>901</v>
      </c>
      <c r="E460" t="s">
        <v>910</v>
      </c>
      <c r="F460" t="s">
        <v>490</v>
      </c>
      <c r="G460" t="s">
        <v>470</v>
      </c>
      <c r="H460" t="s">
        <v>540</v>
      </c>
      <c r="I460">
        <v>69372</v>
      </c>
    </row>
    <row r="461" spans="1:9">
      <c r="A461" s="90" t="s">
        <v>216</v>
      </c>
      <c r="B461" s="87">
        <v>45947</v>
      </c>
      <c r="C461" t="s">
        <v>911</v>
      </c>
      <c r="D461" t="s">
        <v>901</v>
      </c>
      <c r="E461" t="s">
        <v>912</v>
      </c>
      <c r="F461" t="s">
        <v>490</v>
      </c>
      <c r="G461" t="s">
        <v>470</v>
      </c>
      <c r="H461" t="s">
        <v>540</v>
      </c>
      <c r="I461">
        <v>89244</v>
      </c>
    </row>
    <row r="462" spans="1:9">
      <c r="A462" s="90" t="s">
        <v>216</v>
      </c>
      <c r="B462" s="87">
        <v>45947</v>
      </c>
      <c r="C462" t="s">
        <v>913</v>
      </c>
      <c r="D462" t="s">
        <v>901</v>
      </c>
      <c r="E462" t="s">
        <v>914</v>
      </c>
      <c r="F462" t="s">
        <v>490</v>
      </c>
      <c r="G462" t="s">
        <v>470</v>
      </c>
      <c r="H462" t="s">
        <v>540</v>
      </c>
      <c r="I462">
        <v>89928</v>
      </c>
    </row>
    <row r="463" spans="1:9">
      <c r="A463" s="90" t="s">
        <v>216</v>
      </c>
      <c r="B463" s="87">
        <v>45947</v>
      </c>
      <c r="C463" t="s">
        <v>915</v>
      </c>
      <c r="D463" t="s">
        <v>901</v>
      </c>
      <c r="E463" t="s">
        <v>916</v>
      </c>
      <c r="F463" t="s">
        <v>490</v>
      </c>
      <c r="G463" t="s">
        <v>470</v>
      </c>
      <c r="H463" t="s">
        <v>540</v>
      </c>
      <c r="I463">
        <v>69408</v>
      </c>
    </row>
    <row r="464" spans="1:9">
      <c r="A464" s="90" t="s">
        <v>216</v>
      </c>
      <c r="B464" s="87">
        <v>45947</v>
      </c>
      <c r="C464" t="s">
        <v>917</v>
      </c>
      <c r="D464" t="s">
        <v>901</v>
      </c>
      <c r="E464" t="s">
        <v>918</v>
      </c>
      <c r="F464" t="s">
        <v>490</v>
      </c>
      <c r="G464" t="s">
        <v>470</v>
      </c>
      <c r="H464" t="s">
        <v>540</v>
      </c>
      <c r="I464">
        <v>86796</v>
      </c>
    </row>
    <row r="465" spans="1:9">
      <c r="A465" s="90" t="s">
        <v>216</v>
      </c>
      <c r="B465" s="87">
        <v>45947</v>
      </c>
      <c r="C465" t="s">
        <v>919</v>
      </c>
      <c r="D465" t="s">
        <v>901</v>
      </c>
      <c r="E465" t="s">
        <v>920</v>
      </c>
      <c r="F465" t="s">
        <v>490</v>
      </c>
      <c r="G465" t="s">
        <v>470</v>
      </c>
      <c r="H465" t="s">
        <v>540</v>
      </c>
      <c r="I465">
        <v>84690</v>
      </c>
    </row>
    <row r="466" spans="1:9">
      <c r="A466" s="90" t="s">
        <v>216</v>
      </c>
      <c r="B466" s="87">
        <v>45947</v>
      </c>
      <c r="C466" t="s">
        <v>921</v>
      </c>
      <c r="D466" t="s">
        <v>901</v>
      </c>
      <c r="E466" t="s">
        <v>922</v>
      </c>
      <c r="F466" t="s">
        <v>490</v>
      </c>
      <c r="G466" t="s">
        <v>470</v>
      </c>
      <c r="H466" t="s">
        <v>540</v>
      </c>
      <c r="I466">
        <v>85806</v>
      </c>
    </row>
    <row r="467" spans="1:9">
      <c r="A467" s="90" t="s">
        <v>216</v>
      </c>
      <c r="B467" s="87">
        <v>45947</v>
      </c>
      <c r="C467" t="s">
        <v>923</v>
      </c>
      <c r="D467" t="s">
        <v>901</v>
      </c>
      <c r="E467" t="s">
        <v>924</v>
      </c>
      <c r="F467" t="s">
        <v>490</v>
      </c>
      <c r="G467" t="s">
        <v>470</v>
      </c>
      <c r="H467" t="s">
        <v>540</v>
      </c>
      <c r="I467">
        <v>84978</v>
      </c>
    </row>
    <row r="468" spans="1:9">
      <c r="A468" s="90" t="s">
        <v>216</v>
      </c>
      <c r="B468" s="87">
        <v>45947</v>
      </c>
      <c r="C468" t="s">
        <v>925</v>
      </c>
      <c r="D468" t="s">
        <v>901</v>
      </c>
      <c r="E468" t="s">
        <v>926</v>
      </c>
      <c r="F468" t="s">
        <v>490</v>
      </c>
      <c r="G468" t="s">
        <v>470</v>
      </c>
      <c r="H468" t="s">
        <v>540</v>
      </c>
      <c r="I468">
        <v>75222</v>
      </c>
    </row>
    <row r="469" spans="1:9">
      <c r="A469" s="90" t="s">
        <v>216</v>
      </c>
      <c r="B469" s="87">
        <v>45947</v>
      </c>
      <c r="C469" t="s">
        <v>927</v>
      </c>
      <c r="D469" t="s">
        <v>901</v>
      </c>
      <c r="E469" t="s">
        <v>928</v>
      </c>
      <c r="F469" t="s">
        <v>490</v>
      </c>
      <c r="G469" t="s">
        <v>470</v>
      </c>
      <c r="H469" t="s">
        <v>540</v>
      </c>
      <c r="I469">
        <v>88531.66</v>
      </c>
    </row>
    <row r="470" spans="1:9">
      <c r="A470" s="90" t="s">
        <v>216</v>
      </c>
      <c r="B470" s="87">
        <v>45947</v>
      </c>
      <c r="C470" t="s">
        <v>927</v>
      </c>
      <c r="D470" t="s">
        <v>901</v>
      </c>
      <c r="E470" t="s">
        <v>928</v>
      </c>
      <c r="F470" t="s">
        <v>490</v>
      </c>
      <c r="G470" t="s">
        <v>470</v>
      </c>
      <c r="H470" t="s">
        <v>540</v>
      </c>
      <c r="I470">
        <v>0.01</v>
      </c>
    </row>
    <row r="471" spans="1:9">
      <c r="A471" s="90" t="s">
        <v>216</v>
      </c>
      <c r="B471" s="87">
        <v>45947</v>
      </c>
      <c r="C471" t="s">
        <v>929</v>
      </c>
      <c r="D471" t="s">
        <v>901</v>
      </c>
      <c r="E471" t="s">
        <v>930</v>
      </c>
      <c r="F471" t="s">
        <v>490</v>
      </c>
      <c r="G471" t="s">
        <v>470</v>
      </c>
      <c r="H471" t="s">
        <v>540</v>
      </c>
      <c r="I471">
        <v>72820</v>
      </c>
    </row>
    <row r="472" spans="1:9">
      <c r="A472" s="90" t="s">
        <v>216</v>
      </c>
      <c r="B472" s="87">
        <v>45947</v>
      </c>
      <c r="C472" t="s">
        <v>931</v>
      </c>
      <c r="D472" t="s">
        <v>901</v>
      </c>
      <c r="E472" t="s">
        <v>932</v>
      </c>
      <c r="F472" t="s">
        <v>490</v>
      </c>
      <c r="G472" t="s">
        <v>470</v>
      </c>
      <c r="H472" t="s">
        <v>540</v>
      </c>
      <c r="I472">
        <v>63653.33</v>
      </c>
    </row>
    <row r="473" spans="1:9">
      <c r="A473" s="90" t="s">
        <v>216</v>
      </c>
      <c r="B473" s="87">
        <v>45947</v>
      </c>
      <c r="C473" t="s">
        <v>933</v>
      </c>
      <c r="D473" t="s">
        <v>901</v>
      </c>
      <c r="E473" t="s">
        <v>934</v>
      </c>
      <c r="F473" t="s">
        <v>490</v>
      </c>
      <c r="G473" t="s">
        <v>470</v>
      </c>
      <c r="H473" t="s">
        <v>540</v>
      </c>
      <c r="I473">
        <v>66861.67</v>
      </c>
    </row>
    <row r="474" spans="1:9">
      <c r="A474" s="90" t="s">
        <v>216</v>
      </c>
      <c r="B474" s="87">
        <v>45947</v>
      </c>
      <c r="C474" t="s">
        <v>935</v>
      </c>
      <c r="D474" t="s">
        <v>901</v>
      </c>
      <c r="E474" t="s">
        <v>936</v>
      </c>
      <c r="F474" t="s">
        <v>490</v>
      </c>
      <c r="G474" t="s">
        <v>470</v>
      </c>
      <c r="H474" t="s">
        <v>540</v>
      </c>
      <c r="I474">
        <v>90511.67</v>
      </c>
    </row>
    <row r="475" spans="1:9">
      <c r="A475" s="90" t="s">
        <v>216</v>
      </c>
      <c r="B475" s="87">
        <v>45947</v>
      </c>
      <c r="C475" t="s">
        <v>937</v>
      </c>
      <c r="D475" t="s">
        <v>901</v>
      </c>
      <c r="E475" t="s">
        <v>938</v>
      </c>
      <c r="F475" t="s">
        <v>490</v>
      </c>
      <c r="G475" t="s">
        <v>470</v>
      </c>
      <c r="H475" t="s">
        <v>540</v>
      </c>
      <c r="I475">
        <v>89448.33</v>
      </c>
    </row>
    <row r="476" spans="1:9">
      <c r="A476" s="90" t="s">
        <v>216</v>
      </c>
      <c r="B476" s="87">
        <v>45947</v>
      </c>
      <c r="C476" t="s">
        <v>939</v>
      </c>
      <c r="D476" t="s">
        <v>901</v>
      </c>
      <c r="E476" t="s">
        <v>940</v>
      </c>
      <c r="F476" t="s">
        <v>490</v>
      </c>
      <c r="G476" t="s">
        <v>470</v>
      </c>
      <c r="H476" t="s">
        <v>540</v>
      </c>
      <c r="I476">
        <v>90126.67</v>
      </c>
    </row>
    <row r="477" spans="1:9">
      <c r="A477" s="90" t="s">
        <v>216</v>
      </c>
      <c r="B477" s="87">
        <v>45947</v>
      </c>
      <c r="C477" t="s">
        <v>941</v>
      </c>
      <c r="D477" t="s">
        <v>901</v>
      </c>
      <c r="E477" t="s">
        <v>942</v>
      </c>
      <c r="F477" t="s">
        <v>490</v>
      </c>
      <c r="G477" t="s">
        <v>470</v>
      </c>
      <c r="H477" t="s">
        <v>540</v>
      </c>
      <c r="I477">
        <v>92931.67</v>
      </c>
    </row>
    <row r="478" spans="1:9">
      <c r="A478" s="90" t="s">
        <v>216</v>
      </c>
      <c r="B478" s="87">
        <v>45947</v>
      </c>
      <c r="C478" t="s">
        <v>943</v>
      </c>
      <c r="D478" t="s">
        <v>901</v>
      </c>
      <c r="E478" t="s">
        <v>944</v>
      </c>
      <c r="F478" t="s">
        <v>490</v>
      </c>
      <c r="G478" t="s">
        <v>470</v>
      </c>
      <c r="H478" t="s">
        <v>540</v>
      </c>
      <c r="I478">
        <v>89265</v>
      </c>
    </row>
    <row r="479" spans="1:9">
      <c r="A479" s="90" t="s">
        <v>216</v>
      </c>
      <c r="B479" s="87">
        <v>45947</v>
      </c>
      <c r="C479" t="s">
        <v>945</v>
      </c>
      <c r="D479" t="s">
        <v>901</v>
      </c>
      <c r="E479" t="s">
        <v>946</v>
      </c>
      <c r="F479" t="s">
        <v>490</v>
      </c>
      <c r="G479" t="s">
        <v>470</v>
      </c>
      <c r="H479" t="s">
        <v>540</v>
      </c>
      <c r="I479">
        <v>90420</v>
      </c>
    </row>
    <row r="480" spans="1:9">
      <c r="A480" s="90" t="s">
        <v>216</v>
      </c>
      <c r="B480" s="87">
        <v>45947</v>
      </c>
      <c r="C480" t="s">
        <v>947</v>
      </c>
      <c r="D480" t="s">
        <v>901</v>
      </c>
      <c r="E480" t="s">
        <v>948</v>
      </c>
      <c r="F480" t="s">
        <v>490</v>
      </c>
      <c r="G480" t="s">
        <v>470</v>
      </c>
      <c r="H480" t="s">
        <v>540</v>
      </c>
      <c r="I480">
        <v>45338.33</v>
      </c>
    </row>
    <row r="481" spans="1:9">
      <c r="A481" s="90" t="s">
        <v>216</v>
      </c>
      <c r="B481" s="87">
        <v>45947</v>
      </c>
      <c r="C481" t="s">
        <v>949</v>
      </c>
      <c r="D481" t="s">
        <v>873</v>
      </c>
      <c r="E481" t="s">
        <v>950</v>
      </c>
      <c r="F481" t="s">
        <v>490</v>
      </c>
      <c r="G481" t="s">
        <v>470</v>
      </c>
      <c r="H481" t="s">
        <v>487</v>
      </c>
      <c r="I481">
        <v>69294.600000000006</v>
      </c>
    </row>
    <row r="482" spans="1:9">
      <c r="A482" s="90" t="s">
        <v>216</v>
      </c>
      <c r="B482" s="87">
        <v>45947</v>
      </c>
      <c r="C482" t="s">
        <v>951</v>
      </c>
      <c r="D482" t="s">
        <v>477</v>
      </c>
      <c r="E482" t="s">
        <v>952</v>
      </c>
      <c r="F482" t="s">
        <v>218</v>
      </c>
      <c r="G482" t="s">
        <v>470</v>
      </c>
      <c r="H482" t="s">
        <v>516</v>
      </c>
      <c r="I482">
        <v>762.47</v>
      </c>
    </row>
    <row r="483" spans="1:9">
      <c r="A483" s="90" t="s">
        <v>216</v>
      </c>
      <c r="B483" s="87">
        <v>45947</v>
      </c>
      <c r="C483" t="s">
        <v>511</v>
      </c>
      <c r="D483" t="s">
        <v>512</v>
      </c>
      <c r="E483" t="s">
        <v>518</v>
      </c>
      <c r="F483" t="s">
        <v>474</v>
      </c>
      <c r="G483" t="s">
        <v>470</v>
      </c>
      <c r="H483" t="s">
        <v>475</v>
      </c>
      <c r="I483">
        <v>887750.74</v>
      </c>
    </row>
    <row r="484" spans="1:9">
      <c r="A484" s="90" t="s">
        <v>216</v>
      </c>
      <c r="B484" s="87">
        <v>45950</v>
      </c>
      <c r="C484" t="s">
        <v>953</v>
      </c>
      <c r="D484" t="s">
        <v>873</v>
      </c>
      <c r="E484" t="s">
        <v>954</v>
      </c>
      <c r="F484" t="s">
        <v>490</v>
      </c>
      <c r="G484" t="s">
        <v>470</v>
      </c>
      <c r="H484" t="s">
        <v>487</v>
      </c>
      <c r="I484">
        <v>52854.6</v>
      </c>
    </row>
    <row r="485" spans="1:9">
      <c r="A485" s="90" t="s">
        <v>216</v>
      </c>
      <c r="B485" s="87">
        <v>45950</v>
      </c>
      <c r="C485" t="s">
        <v>955</v>
      </c>
      <c r="D485" t="s">
        <v>873</v>
      </c>
      <c r="E485" t="s">
        <v>956</v>
      </c>
      <c r="F485" t="s">
        <v>490</v>
      </c>
      <c r="G485" t="s">
        <v>470</v>
      </c>
      <c r="H485" t="s">
        <v>487</v>
      </c>
      <c r="I485">
        <v>49128.2</v>
      </c>
    </row>
    <row r="486" spans="1:9">
      <c r="A486" s="90" t="s">
        <v>216</v>
      </c>
      <c r="B486" s="87">
        <v>45950</v>
      </c>
      <c r="C486" t="s">
        <v>957</v>
      </c>
      <c r="D486" t="s">
        <v>477</v>
      </c>
      <c r="E486" t="s">
        <v>958</v>
      </c>
      <c r="F486" t="s">
        <v>218</v>
      </c>
      <c r="G486" t="s">
        <v>470</v>
      </c>
      <c r="H486" t="s">
        <v>516</v>
      </c>
      <c r="I486">
        <v>13094.35</v>
      </c>
    </row>
    <row r="487" spans="1:9">
      <c r="A487" s="90" t="s">
        <v>216</v>
      </c>
      <c r="B487" s="87">
        <v>45950</v>
      </c>
      <c r="C487" t="s">
        <v>517</v>
      </c>
      <c r="D487" t="s">
        <v>512</v>
      </c>
      <c r="E487" t="s">
        <v>518</v>
      </c>
      <c r="F487" t="s">
        <v>474</v>
      </c>
      <c r="G487" t="s">
        <v>470</v>
      </c>
      <c r="H487" t="s">
        <v>475</v>
      </c>
      <c r="I487">
        <v>106881.66</v>
      </c>
    </row>
    <row r="488" spans="1:9">
      <c r="A488" s="90" t="s">
        <v>216</v>
      </c>
      <c r="B488" s="87">
        <v>45951</v>
      </c>
      <c r="C488" t="s">
        <v>959</v>
      </c>
      <c r="D488" t="s">
        <v>737</v>
      </c>
      <c r="E488" t="s">
        <v>960</v>
      </c>
      <c r="F488" t="s">
        <v>739</v>
      </c>
      <c r="G488" t="s">
        <v>470</v>
      </c>
      <c r="H488" t="s">
        <v>540</v>
      </c>
      <c r="I488">
        <v>12289.84</v>
      </c>
    </row>
    <row r="489" spans="1:9">
      <c r="A489" s="90" t="s">
        <v>216</v>
      </c>
      <c r="B489" s="87">
        <v>45951</v>
      </c>
      <c r="C489" t="s">
        <v>961</v>
      </c>
      <c r="D489" t="s">
        <v>512</v>
      </c>
      <c r="E489" t="s">
        <v>518</v>
      </c>
      <c r="F489" t="s">
        <v>474</v>
      </c>
      <c r="G489" t="s">
        <v>470</v>
      </c>
      <c r="H489" t="s">
        <v>475</v>
      </c>
      <c r="I489">
        <v>1000000</v>
      </c>
    </row>
    <row r="490" spans="1:9">
      <c r="A490" s="90" t="s">
        <v>216</v>
      </c>
      <c r="B490" s="87">
        <v>45951</v>
      </c>
      <c r="C490" t="s">
        <v>511</v>
      </c>
      <c r="D490" t="s">
        <v>512</v>
      </c>
      <c r="E490" t="s">
        <v>518</v>
      </c>
      <c r="F490" t="s">
        <v>474</v>
      </c>
      <c r="G490" t="s">
        <v>470</v>
      </c>
      <c r="H490" t="s">
        <v>475</v>
      </c>
      <c r="I490">
        <v>996217.76</v>
      </c>
    </row>
    <row r="491" spans="1:9">
      <c r="A491" s="90" t="s">
        <v>216</v>
      </c>
      <c r="B491" s="87">
        <v>45952</v>
      </c>
      <c r="C491" t="s">
        <v>511</v>
      </c>
      <c r="D491" t="s">
        <v>512</v>
      </c>
      <c r="E491" t="s">
        <v>518</v>
      </c>
      <c r="F491" t="s">
        <v>474</v>
      </c>
      <c r="G491" t="s">
        <v>470</v>
      </c>
      <c r="H491" t="s">
        <v>475</v>
      </c>
      <c r="I491">
        <v>19059.599999999999</v>
      </c>
    </row>
    <row r="492" spans="1:9">
      <c r="A492" s="90" t="s">
        <v>216</v>
      </c>
      <c r="B492" s="87">
        <v>45953</v>
      </c>
      <c r="C492" t="s">
        <v>511</v>
      </c>
      <c r="D492" t="s">
        <v>512</v>
      </c>
      <c r="E492" t="s">
        <v>518</v>
      </c>
      <c r="F492" t="s">
        <v>474</v>
      </c>
      <c r="G492" t="s">
        <v>470</v>
      </c>
      <c r="H492" t="s">
        <v>475</v>
      </c>
      <c r="I492">
        <v>14405.79</v>
      </c>
    </row>
    <row r="493" spans="1:9">
      <c r="A493" s="90" t="s">
        <v>216</v>
      </c>
      <c r="B493" s="87">
        <v>45957</v>
      </c>
      <c r="C493" t="s">
        <v>511</v>
      </c>
      <c r="D493" t="s">
        <v>512</v>
      </c>
      <c r="E493" t="s">
        <v>518</v>
      </c>
      <c r="F493" t="s">
        <v>474</v>
      </c>
      <c r="G493" t="s">
        <v>470</v>
      </c>
      <c r="H493" t="s">
        <v>475</v>
      </c>
      <c r="I493">
        <v>54616.92</v>
      </c>
    </row>
    <row r="494" spans="1:9">
      <c r="A494" s="90" t="s">
        <v>216</v>
      </c>
      <c r="B494" s="87">
        <v>45958</v>
      </c>
      <c r="C494" t="s">
        <v>962</v>
      </c>
      <c r="D494" t="s">
        <v>794</v>
      </c>
      <c r="E494" t="s">
        <v>963</v>
      </c>
      <c r="F494" t="s">
        <v>490</v>
      </c>
      <c r="G494" t="s">
        <v>470</v>
      </c>
      <c r="H494" t="s">
        <v>796</v>
      </c>
      <c r="I494">
        <v>55263.199999999997</v>
      </c>
    </row>
    <row r="495" spans="1:9">
      <c r="A495" s="90" t="s">
        <v>216</v>
      </c>
      <c r="B495" s="87">
        <v>45958</v>
      </c>
      <c r="C495" t="s">
        <v>964</v>
      </c>
      <c r="D495" t="s">
        <v>794</v>
      </c>
      <c r="E495" t="s">
        <v>965</v>
      </c>
      <c r="F495" t="s">
        <v>490</v>
      </c>
      <c r="G495" t="s">
        <v>470</v>
      </c>
      <c r="H495" t="s">
        <v>796</v>
      </c>
      <c r="I495">
        <v>54286.400000000001</v>
      </c>
    </row>
    <row r="496" spans="1:9">
      <c r="A496" s="90" t="s">
        <v>216</v>
      </c>
      <c r="B496" s="87">
        <v>45958</v>
      </c>
      <c r="C496" t="s">
        <v>511</v>
      </c>
      <c r="D496" t="s">
        <v>512</v>
      </c>
      <c r="E496" t="s">
        <v>518</v>
      </c>
      <c r="F496" t="s">
        <v>474</v>
      </c>
      <c r="G496" t="s">
        <v>470</v>
      </c>
      <c r="H496" t="s">
        <v>475</v>
      </c>
      <c r="I496">
        <v>10796.16</v>
      </c>
    </row>
    <row r="497" spans="1:9">
      <c r="A497" s="90" t="s">
        <v>216</v>
      </c>
      <c r="B497" s="87">
        <v>45959</v>
      </c>
      <c r="C497" t="s">
        <v>962</v>
      </c>
      <c r="D497" t="s">
        <v>512</v>
      </c>
      <c r="E497" t="s">
        <v>963</v>
      </c>
      <c r="F497" t="s">
        <v>474</v>
      </c>
      <c r="G497" t="s">
        <v>470</v>
      </c>
      <c r="H497" t="s">
        <v>475</v>
      </c>
      <c r="I497">
        <v>55263.199999999997</v>
      </c>
    </row>
    <row r="498" spans="1:9">
      <c r="A498" s="90" t="s">
        <v>216</v>
      </c>
      <c r="B498" s="87">
        <v>45959</v>
      </c>
      <c r="C498" t="s">
        <v>964</v>
      </c>
      <c r="D498" t="s">
        <v>512</v>
      </c>
      <c r="E498" t="s">
        <v>965</v>
      </c>
      <c r="F498" t="s">
        <v>474</v>
      </c>
      <c r="G498" t="s">
        <v>470</v>
      </c>
      <c r="H498" t="s">
        <v>475</v>
      </c>
      <c r="I498">
        <v>54286.400000000001</v>
      </c>
    </row>
    <row r="499" spans="1:9">
      <c r="A499" s="90" t="s">
        <v>216</v>
      </c>
      <c r="B499" s="87">
        <v>45959</v>
      </c>
      <c r="C499" t="s">
        <v>961</v>
      </c>
      <c r="D499" t="s">
        <v>512</v>
      </c>
      <c r="E499" t="s">
        <v>518</v>
      </c>
      <c r="F499" t="s">
        <v>474</v>
      </c>
      <c r="G499" t="s">
        <v>470</v>
      </c>
      <c r="H499" t="s">
        <v>475</v>
      </c>
      <c r="I499">
        <v>103531.42</v>
      </c>
    </row>
    <row r="500" spans="1:9">
      <c r="A500" s="90" t="s">
        <v>216</v>
      </c>
      <c r="B500" s="87">
        <v>45960</v>
      </c>
      <c r="C500" t="s">
        <v>966</v>
      </c>
      <c r="D500" t="s">
        <v>878</v>
      </c>
      <c r="E500" t="s">
        <v>967</v>
      </c>
      <c r="F500" t="s">
        <v>490</v>
      </c>
      <c r="G500" t="s">
        <v>470</v>
      </c>
      <c r="H500" t="s">
        <v>540</v>
      </c>
      <c r="I500">
        <v>47462.8</v>
      </c>
    </row>
    <row r="501" spans="1:9">
      <c r="A501" s="90" t="s">
        <v>216</v>
      </c>
      <c r="B501" s="87">
        <v>45960</v>
      </c>
      <c r="C501" t="s">
        <v>517</v>
      </c>
      <c r="D501" t="s">
        <v>512</v>
      </c>
      <c r="E501" t="s">
        <v>518</v>
      </c>
      <c r="F501" t="s">
        <v>474</v>
      </c>
      <c r="G501" t="s">
        <v>470</v>
      </c>
      <c r="H501" t="s">
        <v>475</v>
      </c>
      <c r="I501">
        <v>46899.7</v>
      </c>
    </row>
    <row r="502" spans="1:9">
      <c r="A502" s="90" t="s">
        <v>216</v>
      </c>
      <c r="B502" s="87">
        <v>45961</v>
      </c>
      <c r="C502" t="s">
        <v>511</v>
      </c>
      <c r="D502" t="s">
        <v>512</v>
      </c>
      <c r="E502" t="s">
        <v>518</v>
      </c>
      <c r="F502" t="s">
        <v>474</v>
      </c>
      <c r="G502" t="s">
        <v>470</v>
      </c>
      <c r="H502" t="s">
        <v>475</v>
      </c>
      <c r="I502">
        <v>223298.39</v>
      </c>
    </row>
    <row r="503" spans="1:9">
      <c r="A503" s="90" t="s">
        <v>216</v>
      </c>
      <c r="B503" s="87">
        <v>45961</v>
      </c>
      <c r="C503" t="s">
        <v>524</v>
      </c>
      <c r="D503" t="s">
        <v>477</v>
      </c>
      <c r="E503" t="s">
        <v>518</v>
      </c>
      <c r="F503" t="s">
        <v>525</v>
      </c>
      <c r="G503" t="s">
        <v>470</v>
      </c>
      <c r="H503" t="s">
        <v>801</v>
      </c>
      <c r="I503">
        <v>564.86</v>
      </c>
    </row>
    <row r="504" spans="1:9">
      <c r="A504" s="90" t="s">
        <v>216</v>
      </c>
      <c r="B504" s="87">
        <v>45961</v>
      </c>
      <c r="C504" t="s">
        <v>524</v>
      </c>
      <c r="D504" t="s">
        <v>477</v>
      </c>
      <c r="E504" t="s">
        <v>518</v>
      </c>
      <c r="F504" t="s">
        <v>525</v>
      </c>
      <c r="G504" t="s">
        <v>470</v>
      </c>
      <c r="H504" t="s">
        <v>516</v>
      </c>
      <c r="I504">
        <v>50.17</v>
      </c>
    </row>
    <row r="505" spans="1:9">
      <c r="A505" s="90" t="s">
        <v>216</v>
      </c>
      <c r="B505" s="87">
        <v>45961</v>
      </c>
      <c r="C505" t="s">
        <v>524</v>
      </c>
      <c r="D505" t="s">
        <v>477</v>
      </c>
      <c r="E505" t="s">
        <v>518</v>
      </c>
      <c r="F505" t="s">
        <v>525</v>
      </c>
      <c r="G505" t="s">
        <v>470</v>
      </c>
      <c r="H505" t="s">
        <v>516</v>
      </c>
      <c r="I505">
        <v>9208.59</v>
      </c>
    </row>
    <row r="506" spans="1:9">
      <c r="A506" s="90" t="s">
        <v>216</v>
      </c>
      <c r="B506" s="87">
        <v>45964</v>
      </c>
      <c r="C506" t="s">
        <v>507</v>
      </c>
      <c r="D506" t="s">
        <v>508</v>
      </c>
      <c r="E506" t="s">
        <v>968</v>
      </c>
      <c r="F506" t="s">
        <v>510</v>
      </c>
      <c r="G506" t="s">
        <v>470</v>
      </c>
      <c r="H506" t="s">
        <v>487</v>
      </c>
      <c r="I506">
        <v>10485.78</v>
      </c>
    </row>
    <row r="507" spans="1:9">
      <c r="A507" s="90" t="s">
        <v>216</v>
      </c>
      <c r="B507" s="87">
        <v>45964</v>
      </c>
      <c r="C507" t="s">
        <v>511</v>
      </c>
      <c r="D507" t="s">
        <v>512</v>
      </c>
      <c r="E507" t="s">
        <v>968</v>
      </c>
      <c r="F507" t="s">
        <v>474</v>
      </c>
      <c r="G507" t="s">
        <v>470</v>
      </c>
      <c r="H507" t="s">
        <v>475</v>
      </c>
      <c r="I507">
        <v>18380.41</v>
      </c>
    </row>
    <row r="508" spans="1:9">
      <c r="A508" s="90" t="s">
        <v>216</v>
      </c>
      <c r="B508" s="87">
        <v>45965</v>
      </c>
      <c r="C508" t="s">
        <v>511</v>
      </c>
      <c r="D508" t="s">
        <v>512</v>
      </c>
      <c r="E508" t="s">
        <v>968</v>
      </c>
      <c r="F508" t="s">
        <v>474</v>
      </c>
      <c r="G508" t="s">
        <v>470</v>
      </c>
      <c r="H508" t="s">
        <v>475</v>
      </c>
      <c r="I508">
        <v>7947.62</v>
      </c>
    </row>
    <row r="509" spans="1:9">
      <c r="A509" s="90" t="s">
        <v>216</v>
      </c>
      <c r="B509" s="87">
        <v>45966</v>
      </c>
      <c r="C509" t="s">
        <v>969</v>
      </c>
      <c r="D509" t="s">
        <v>970</v>
      </c>
      <c r="E509" t="s">
        <v>971</v>
      </c>
      <c r="F509" t="s">
        <v>490</v>
      </c>
      <c r="G509" t="s">
        <v>470</v>
      </c>
      <c r="H509" t="s">
        <v>475</v>
      </c>
      <c r="I509">
        <v>3748</v>
      </c>
    </row>
    <row r="510" spans="1:9">
      <c r="A510" s="90" t="s">
        <v>216</v>
      </c>
      <c r="B510" s="87">
        <v>45966</v>
      </c>
      <c r="C510" t="s">
        <v>972</v>
      </c>
      <c r="D510" t="s">
        <v>493</v>
      </c>
      <c r="E510" t="s">
        <v>973</v>
      </c>
      <c r="F510" t="s">
        <v>486</v>
      </c>
      <c r="G510" t="s">
        <v>470</v>
      </c>
      <c r="H510" t="s">
        <v>482</v>
      </c>
      <c r="I510">
        <v>7846.74</v>
      </c>
    </row>
    <row r="511" spans="1:9">
      <c r="A511" s="90" t="s">
        <v>216</v>
      </c>
      <c r="B511" s="87">
        <v>45966</v>
      </c>
      <c r="C511" t="s">
        <v>974</v>
      </c>
      <c r="D511" t="s">
        <v>493</v>
      </c>
      <c r="E511" t="s">
        <v>975</v>
      </c>
      <c r="F511" t="s">
        <v>486</v>
      </c>
      <c r="G511" t="s">
        <v>470</v>
      </c>
      <c r="H511" t="s">
        <v>482</v>
      </c>
      <c r="I511">
        <v>14373.27</v>
      </c>
    </row>
    <row r="512" spans="1:9">
      <c r="A512" s="90" t="s">
        <v>216</v>
      </c>
      <c r="B512" s="87">
        <v>45966</v>
      </c>
      <c r="C512" t="s">
        <v>976</v>
      </c>
      <c r="D512" t="s">
        <v>977</v>
      </c>
      <c r="E512" t="s">
        <v>281</v>
      </c>
      <c r="F512" t="s">
        <v>486</v>
      </c>
      <c r="G512" t="s">
        <v>470</v>
      </c>
      <c r="H512" t="s">
        <v>482</v>
      </c>
      <c r="I512">
        <v>20623.330000000002</v>
      </c>
    </row>
    <row r="513" spans="1:9">
      <c r="A513" s="90" t="s">
        <v>216</v>
      </c>
      <c r="B513" s="87">
        <v>45966</v>
      </c>
      <c r="C513" t="s">
        <v>978</v>
      </c>
      <c r="D513" t="s">
        <v>977</v>
      </c>
      <c r="E513" t="s">
        <v>304</v>
      </c>
      <c r="F513" t="s">
        <v>486</v>
      </c>
      <c r="G513" t="s">
        <v>470</v>
      </c>
      <c r="H513" t="s">
        <v>482</v>
      </c>
      <c r="I513">
        <v>6456.72</v>
      </c>
    </row>
    <row r="514" spans="1:9">
      <c r="A514" s="90" t="s">
        <v>216</v>
      </c>
      <c r="B514" s="87">
        <v>45966</v>
      </c>
      <c r="C514" t="s">
        <v>979</v>
      </c>
      <c r="D514" t="s">
        <v>977</v>
      </c>
      <c r="E514" t="s">
        <v>310</v>
      </c>
      <c r="F514" t="s">
        <v>486</v>
      </c>
      <c r="G514" t="s">
        <v>470</v>
      </c>
      <c r="H514" t="s">
        <v>482</v>
      </c>
      <c r="I514">
        <v>4678.4399999999996</v>
      </c>
    </row>
    <row r="515" spans="1:9">
      <c r="A515" s="90" t="s">
        <v>216</v>
      </c>
      <c r="B515" s="87">
        <v>45966</v>
      </c>
      <c r="C515" t="s">
        <v>980</v>
      </c>
      <c r="D515" t="s">
        <v>970</v>
      </c>
      <c r="E515" t="s">
        <v>981</v>
      </c>
      <c r="F515" t="s">
        <v>469</v>
      </c>
      <c r="G515" t="s">
        <v>470</v>
      </c>
      <c r="H515" t="s">
        <v>475</v>
      </c>
      <c r="I515">
        <v>57980.23</v>
      </c>
    </row>
    <row r="516" spans="1:9">
      <c r="A516" s="90" t="s">
        <v>216</v>
      </c>
      <c r="B516" s="87">
        <v>45966</v>
      </c>
      <c r="C516" t="s">
        <v>511</v>
      </c>
      <c r="D516" t="s">
        <v>512</v>
      </c>
      <c r="E516" t="s">
        <v>968</v>
      </c>
      <c r="F516" t="s">
        <v>474</v>
      </c>
      <c r="G516" t="s">
        <v>470</v>
      </c>
      <c r="H516" t="s">
        <v>475</v>
      </c>
      <c r="I516">
        <v>9323.83</v>
      </c>
    </row>
    <row r="517" spans="1:9">
      <c r="A517" s="90" t="s">
        <v>216</v>
      </c>
      <c r="B517" s="87">
        <v>45967</v>
      </c>
      <c r="C517" t="s">
        <v>982</v>
      </c>
      <c r="D517" t="s">
        <v>873</v>
      </c>
      <c r="E517" t="s">
        <v>983</v>
      </c>
      <c r="F517" t="s">
        <v>490</v>
      </c>
      <c r="G517" t="s">
        <v>470</v>
      </c>
      <c r="H517" t="s">
        <v>487</v>
      </c>
      <c r="I517">
        <v>51210.6</v>
      </c>
    </row>
    <row r="518" spans="1:9">
      <c r="A518" s="90" t="s">
        <v>216</v>
      </c>
      <c r="B518" s="87">
        <v>45967</v>
      </c>
      <c r="C518" t="s">
        <v>517</v>
      </c>
      <c r="D518" t="s">
        <v>512</v>
      </c>
      <c r="E518" t="s">
        <v>968</v>
      </c>
      <c r="F518" t="s">
        <v>474</v>
      </c>
      <c r="G518" t="s">
        <v>470</v>
      </c>
      <c r="H518" t="s">
        <v>475</v>
      </c>
      <c r="I518">
        <v>44229.08</v>
      </c>
    </row>
    <row r="519" spans="1:9">
      <c r="A519" s="90" t="s">
        <v>216</v>
      </c>
      <c r="B519" s="87">
        <v>45968</v>
      </c>
      <c r="C519" t="s">
        <v>984</v>
      </c>
      <c r="D519" t="s">
        <v>985</v>
      </c>
      <c r="E519" t="s">
        <v>986</v>
      </c>
      <c r="F519" t="s">
        <v>490</v>
      </c>
      <c r="G519" t="s">
        <v>470</v>
      </c>
      <c r="H519" t="s">
        <v>487</v>
      </c>
      <c r="I519">
        <v>65072</v>
      </c>
    </row>
    <row r="520" spans="1:9">
      <c r="A520" s="90" t="s">
        <v>216</v>
      </c>
      <c r="B520" s="87">
        <v>45968</v>
      </c>
      <c r="C520" t="s">
        <v>517</v>
      </c>
      <c r="D520" t="s">
        <v>512</v>
      </c>
      <c r="E520" t="s">
        <v>968</v>
      </c>
      <c r="F520" t="s">
        <v>474</v>
      </c>
      <c r="G520" t="s">
        <v>470</v>
      </c>
      <c r="H520" t="s">
        <v>475</v>
      </c>
      <c r="I520">
        <v>65072</v>
      </c>
    </row>
    <row r="521" spans="1:9">
      <c r="A521" s="90" t="s">
        <v>216</v>
      </c>
      <c r="B521" s="87">
        <v>45971</v>
      </c>
      <c r="C521" t="s">
        <v>987</v>
      </c>
      <c r="D521" t="s">
        <v>873</v>
      </c>
      <c r="E521" t="s">
        <v>988</v>
      </c>
      <c r="F521" t="s">
        <v>490</v>
      </c>
      <c r="G521" t="s">
        <v>470</v>
      </c>
      <c r="H521" t="s">
        <v>487</v>
      </c>
      <c r="I521">
        <v>52553.2</v>
      </c>
    </row>
    <row r="522" spans="1:9">
      <c r="A522" s="90" t="s">
        <v>216</v>
      </c>
      <c r="B522" s="87">
        <v>45971</v>
      </c>
      <c r="C522" t="s">
        <v>989</v>
      </c>
      <c r="D522" t="s">
        <v>794</v>
      </c>
      <c r="E522" t="s">
        <v>990</v>
      </c>
      <c r="F522" t="s">
        <v>490</v>
      </c>
      <c r="G522" t="s">
        <v>470</v>
      </c>
      <c r="H522" t="s">
        <v>796</v>
      </c>
      <c r="I522">
        <v>52096</v>
      </c>
    </row>
    <row r="523" spans="1:9">
      <c r="A523" s="90" t="s">
        <v>216</v>
      </c>
      <c r="B523" s="87">
        <v>45971</v>
      </c>
      <c r="C523" t="s">
        <v>511</v>
      </c>
      <c r="D523" t="s">
        <v>512</v>
      </c>
      <c r="E523" t="s">
        <v>968</v>
      </c>
      <c r="F523" t="s">
        <v>474</v>
      </c>
      <c r="G523" t="s">
        <v>470</v>
      </c>
      <c r="H523" t="s">
        <v>475</v>
      </c>
      <c r="I523">
        <v>227198.37</v>
      </c>
    </row>
    <row r="524" spans="1:9">
      <c r="A524" s="90" t="s">
        <v>216</v>
      </c>
      <c r="B524" s="87">
        <v>45972</v>
      </c>
      <c r="C524" t="s">
        <v>511</v>
      </c>
      <c r="D524" t="s">
        <v>512</v>
      </c>
      <c r="E524" t="s">
        <v>968</v>
      </c>
      <c r="F524" t="s">
        <v>474</v>
      </c>
      <c r="G524" t="s">
        <v>470</v>
      </c>
      <c r="H524" t="s">
        <v>475</v>
      </c>
      <c r="I524">
        <v>300000</v>
      </c>
    </row>
    <row r="525" spans="1:9">
      <c r="A525" s="90" t="s">
        <v>216</v>
      </c>
      <c r="B525" s="87">
        <v>45972</v>
      </c>
      <c r="C525" t="s">
        <v>989</v>
      </c>
      <c r="D525" t="s">
        <v>512</v>
      </c>
      <c r="E525" t="s">
        <v>991</v>
      </c>
      <c r="F525" t="s">
        <v>474</v>
      </c>
      <c r="G525" t="s">
        <v>470</v>
      </c>
      <c r="H525" t="s">
        <v>475</v>
      </c>
      <c r="I525">
        <v>52096</v>
      </c>
    </row>
    <row r="526" spans="1:9">
      <c r="A526" s="90" t="s">
        <v>216</v>
      </c>
      <c r="B526" s="87">
        <v>45972</v>
      </c>
      <c r="C526" t="s">
        <v>511</v>
      </c>
      <c r="D526" t="s">
        <v>512</v>
      </c>
      <c r="E526" t="s">
        <v>968</v>
      </c>
      <c r="F526" t="s">
        <v>474</v>
      </c>
      <c r="G526" t="s">
        <v>470</v>
      </c>
      <c r="H526" t="s">
        <v>475</v>
      </c>
      <c r="I526">
        <v>58458.94</v>
      </c>
    </row>
    <row r="527" spans="1:9">
      <c r="A527" s="90" t="s">
        <v>216</v>
      </c>
      <c r="B527" s="87">
        <v>45973</v>
      </c>
      <c r="C527" t="s">
        <v>511</v>
      </c>
      <c r="D527" t="s">
        <v>512</v>
      </c>
      <c r="E527" t="s">
        <v>968</v>
      </c>
      <c r="F527" t="s">
        <v>474</v>
      </c>
      <c r="G527" t="s">
        <v>470</v>
      </c>
      <c r="H527" t="s">
        <v>475</v>
      </c>
      <c r="I527">
        <v>88000</v>
      </c>
    </row>
    <row r="528" spans="1:9">
      <c r="A528" s="90" t="s">
        <v>216</v>
      </c>
      <c r="B528" s="87">
        <v>45973</v>
      </c>
      <c r="C528" t="s">
        <v>511</v>
      </c>
      <c r="D528" t="s">
        <v>512</v>
      </c>
      <c r="E528" t="s">
        <v>968</v>
      </c>
      <c r="F528" t="s">
        <v>474</v>
      </c>
      <c r="G528" t="s">
        <v>470</v>
      </c>
      <c r="H528" t="s">
        <v>475</v>
      </c>
      <c r="I528">
        <v>3088.1</v>
      </c>
    </row>
    <row r="529" spans="1:9">
      <c r="A529" s="90" t="s">
        <v>216</v>
      </c>
      <c r="B529" s="87">
        <v>45974</v>
      </c>
      <c r="C529" t="s">
        <v>511</v>
      </c>
      <c r="D529" t="s">
        <v>512</v>
      </c>
      <c r="E529" t="s">
        <v>968</v>
      </c>
      <c r="F529" t="s">
        <v>474</v>
      </c>
      <c r="G529" t="s">
        <v>470</v>
      </c>
      <c r="H529" t="s">
        <v>475</v>
      </c>
      <c r="I529">
        <v>1708.79</v>
      </c>
    </row>
    <row r="530" spans="1:9">
      <c r="A530" s="90" t="s">
        <v>216</v>
      </c>
      <c r="B530" s="87">
        <v>45975</v>
      </c>
      <c r="C530" t="s">
        <v>992</v>
      </c>
      <c r="D530" t="s">
        <v>873</v>
      </c>
      <c r="E530" t="s">
        <v>993</v>
      </c>
      <c r="F530" t="s">
        <v>490</v>
      </c>
      <c r="G530" t="s">
        <v>470</v>
      </c>
      <c r="H530" t="s">
        <v>487</v>
      </c>
      <c r="I530">
        <v>52553.2</v>
      </c>
    </row>
    <row r="531" spans="1:9">
      <c r="A531" s="90" t="s">
        <v>216</v>
      </c>
      <c r="B531" s="87">
        <v>45975</v>
      </c>
      <c r="C531" t="s">
        <v>517</v>
      </c>
      <c r="D531" t="s">
        <v>512</v>
      </c>
      <c r="E531" t="s">
        <v>968</v>
      </c>
      <c r="F531" t="s">
        <v>474</v>
      </c>
      <c r="G531" t="s">
        <v>470</v>
      </c>
      <c r="H531" t="s">
        <v>475</v>
      </c>
      <c r="I531">
        <v>50744.71</v>
      </c>
    </row>
    <row r="532" spans="1:9">
      <c r="A532" s="90" t="s">
        <v>216</v>
      </c>
      <c r="B532" s="87">
        <v>45978</v>
      </c>
      <c r="C532" t="s">
        <v>994</v>
      </c>
      <c r="D532" t="s">
        <v>995</v>
      </c>
      <c r="E532" t="s">
        <v>996</v>
      </c>
      <c r="F532" t="s">
        <v>490</v>
      </c>
      <c r="G532" t="s">
        <v>470</v>
      </c>
      <c r="H532" t="s">
        <v>487</v>
      </c>
      <c r="I532">
        <v>47398</v>
      </c>
    </row>
    <row r="533" spans="1:9">
      <c r="A533" s="90" t="s">
        <v>216</v>
      </c>
      <c r="B533" s="87">
        <v>45978</v>
      </c>
      <c r="C533" t="s">
        <v>517</v>
      </c>
      <c r="D533" t="s">
        <v>512</v>
      </c>
      <c r="E533" t="s">
        <v>968</v>
      </c>
      <c r="F533" t="s">
        <v>474</v>
      </c>
      <c r="G533" t="s">
        <v>470</v>
      </c>
      <c r="H533" t="s">
        <v>475</v>
      </c>
      <c r="I533">
        <v>35022.92</v>
      </c>
    </row>
    <row r="534" spans="1:9">
      <c r="A534" s="90" t="s">
        <v>216</v>
      </c>
      <c r="B534" s="87">
        <v>45979</v>
      </c>
      <c r="C534" t="s">
        <v>511</v>
      </c>
      <c r="D534" t="s">
        <v>512</v>
      </c>
      <c r="E534" t="s">
        <v>968</v>
      </c>
      <c r="F534" t="s">
        <v>474</v>
      </c>
      <c r="G534" t="s">
        <v>470</v>
      </c>
      <c r="H534" t="s">
        <v>475</v>
      </c>
      <c r="I534">
        <v>4696.3999999999996</v>
      </c>
    </row>
    <row r="535" spans="1:9">
      <c r="A535" s="90" t="s">
        <v>216</v>
      </c>
      <c r="B535" s="87">
        <v>45980</v>
      </c>
      <c r="C535" t="s">
        <v>997</v>
      </c>
      <c r="D535" t="s">
        <v>995</v>
      </c>
      <c r="E535" t="s">
        <v>998</v>
      </c>
      <c r="F535" t="s">
        <v>490</v>
      </c>
      <c r="G535" t="s">
        <v>470</v>
      </c>
      <c r="H535" t="s">
        <v>796</v>
      </c>
      <c r="I535">
        <v>48542</v>
      </c>
    </row>
    <row r="536" spans="1:9">
      <c r="A536" s="90" t="s">
        <v>216</v>
      </c>
      <c r="B536" s="87">
        <v>45980</v>
      </c>
      <c r="C536" t="s">
        <v>999</v>
      </c>
      <c r="D536" t="s">
        <v>477</v>
      </c>
      <c r="E536" t="s">
        <v>1000</v>
      </c>
      <c r="F536" t="s">
        <v>515</v>
      </c>
      <c r="G536" t="s">
        <v>470</v>
      </c>
      <c r="H536" t="s">
        <v>516</v>
      </c>
      <c r="I536">
        <v>1500000</v>
      </c>
    </row>
    <row r="537" spans="1:9">
      <c r="A537" s="90" t="s">
        <v>216</v>
      </c>
      <c r="B537" s="87">
        <v>45980</v>
      </c>
      <c r="C537" t="s">
        <v>1001</v>
      </c>
      <c r="D537" t="s">
        <v>1002</v>
      </c>
      <c r="E537" t="s">
        <v>968</v>
      </c>
      <c r="F537" t="s">
        <v>469</v>
      </c>
      <c r="G537" t="s">
        <v>470</v>
      </c>
      <c r="H537" t="s">
        <v>516</v>
      </c>
      <c r="I537">
        <v>9569.8799999999992</v>
      </c>
    </row>
    <row r="538" spans="1:9">
      <c r="A538" s="90" t="s">
        <v>216</v>
      </c>
      <c r="B538" s="87">
        <v>45980</v>
      </c>
      <c r="C538" t="s">
        <v>517</v>
      </c>
      <c r="D538" t="s">
        <v>512</v>
      </c>
      <c r="E538" t="s">
        <v>968</v>
      </c>
      <c r="F538" t="s">
        <v>474</v>
      </c>
      <c r="G538" t="s">
        <v>470</v>
      </c>
      <c r="H538" t="s">
        <v>475</v>
      </c>
      <c r="I538">
        <v>1404376.06</v>
      </c>
    </row>
    <row r="539" spans="1:9">
      <c r="A539" s="90" t="s">
        <v>216</v>
      </c>
      <c r="B539" s="87">
        <v>45982</v>
      </c>
      <c r="C539" t="s">
        <v>1003</v>
      </c>
      <c r="D539" t="s">
        <v>881</v>
      </c>
      <c r="E539" t="s">
        <v>283</v>
      </c>
      <c r="F539" t="s">
        <v>490</v>
      </c>
      <c r="G539" t="s">
        <v>470</v>
      </c>
      <c r="H539" t="s">
        <v>516</v>
      </c>
      <c r="I539">
        <v>77789.490000000005</v>
      </c>
    </row>
    <row r="540" spans="1:9">
      <c r="A540" s="90" t="s">
        <v>216</v>
      </c>
      <c r="B540" s="87">
        <v>45982</v>
      </c>
      <c r="C540" t="s">
        <v>1003</v>
      </c>
      <c r="D540" t="s">
        <v>881</v>
      </c>
      <c r="E540" t="s">
        <v>283</v>
      </c>
      <c r="F540" t="s">
        <v>490</v>
      </c>
      <c r="G540" t="s">
        <v>470</v>
      </c>
      <c r="H540" t="s">
        <v>516</v>
      </c>
      <c r="I540">
        <v>118857.77</v>
      </c>
    </row>
    <row r="541" spans="1:9">
      <c r="A541" s="90" t="s">
        <v>216</v>
      </c>
      <c r="B541" s="87">
        <v>45982</v>
      </c>
      <c r="C541" t="s">
        <v>997</v>
      </c>
      <c r="D541" t="s">
        <v>512</v>
      </c>
      <c r="E541" t="s">
        <v>998</v>
      </c>
      <c r="F541" t="s">
        <v>474</v>
      </c>
      <c r="G541" t="s">
        <v>470</v>
      </c>
      <c r="H541" t="s">
        <v>475</v>
      </c>
      <c r="I541">
        <v>48542</v>
      </c>
    </row>
    <row r="542" spans="1:9">
      <c r="A542" s="90" t="s">
        <v>216</v>
      </c>
      <c r="B542" s="87">
        <v>45982</v>
      </c>
      <c r="C542" t="s">
        <v>511</v>
      </c>
      <c r="D542" t="s">
        <v>512</v>
      </c>
      <c r="E542" t="s">
        <v>968</v>
      </c>
      <c r="F542" t="s">
        <v>474</v>
      </c>
      <c r="G542" t="s">
        <v>470</v>
      </c>
      <c r="H542" t="s">
        <v>475</v>
      </c>
      <c r="I542">
        <v>145524.92000000001</v>
      </c>
    </row>
    <row r="543" spans="1:9">
      <c r="A543" s="90" t="s">
        <v>216</v>
      </c>
      <c r="B543" s="87">
        <v>45982</v>
      </c>
      <c r="C543" t="s">
        <v>517</v>
      </c>
      <c r="D543" t="s">
        <v>512</v>
      </c>
      <c r="E543" t="s">
        <v>968</v>
      </c>
      <c r="F543" t="s">
        <v>474</v>
      </c>
      <c r="G543" t="s">
        <v>470</v>
      </c>
      <c r="H543" t="s">
        <v>540</v>
      </c>
      <c r="I543">
        <v>500000</v>
      </c>
    </row>
    <row r="544" spans="1:9">
      <c r="A544" s="90" t="s">
        <v>216</v>
      </c>
      <c r="B544" s="87">
        <v>45982</v>
      </c>
      <c r="C544" t="s">
        <v>1004</v>
      </c>
      <c r="D544" t="s">
        <v>881</v>
      </c>
      <c r="E544" t="s">
        <v>270</v>
      </c>
      <c r="F544" t="s">
        <v>490</v>
      </c>
      <c r="G544" t="s">
        <v>470</v>
      </c>
      <c r="H544" t="s">
        <v>801</v>
      </c>
      <c r="I544">
        <v>592919.64</v>
      </c>
    </row>
    <row r="545" spans="1:9">
      <c r="A545" s="90" t="s">
        <v>216</v>
      </c>
      <c r="B545" s="87">
        <v>45985</v>
      </c>
      <c r="C545" t="s">
        <v>511</v>
      </c>
      <c r="D545" t="s">
        <v>512</v>
      </c>
      <c r="E545" t="s">
        <v>968</v>
      </c>
      <c r="F545" t="s">
        <v>474</v>
      </c>
      <c r="G545" t="s">
        <v>470</v>
      </c>
      <c r="H545" t="s">
        <v>475</v>
      </c>
      <c r="I545">
        <v>2687.67</v>
      </c>
    </row>
    <row r="546" spans="1:9">
      <c r="A546" s="90" t="s">
        <v>216</v>
      </c>
      <c r="B546" s="87">
        <v>45986</v>
      </c>
      <c r="C546" t="s">
        <v>511</v>
      </c>
      <c r="D546" t="s">
        <v>512</v>
      </c>
      <c r="E546" t="s">
        <v>968</v>
      </c>
      <c r="F546" t="s">
        <v>474</v>
      </c>
      <c r="G546" t="s">
        <v>470</v>
      </c>
      <c r="H546" t="s">
        <v>475</v>
      </c>
      <c r="I546">
        <v>8844.4599999999991</v>
      </c>
    </row>
    <row r="547" spans="1:9">
      <c r="A547" s="90" t="s">
        <v>216</v>
      </c>
      <c r="B547" s="87">
        <v>45987</v>
      </c>
      <c r="C547" t="s">
        <v>511</v>
      </c>
      <c r="D547" t="s">
        <v>512</v>
      </c>
      <c r="E547" t="s">
        <v>968</v>
      </c>
      <c r="F547" t="s">
        <v>474</v>
      </c>
      <c r="G547" t="s">
        <v>470</v>
      </c>
      <c r="H547" t="s">
        <v>475</v>
      </c>
      <c r="I547">
        <v>51874.79</v>
      </c>
    </row>
    <row r="548" spans="1:9">
      <c r="A548" s="90" t="s">
        <v>216</v>
      </c>
      <c r="B548" s="87">
        <v>45988</v>
      </c>
      <c r="C548" t="s">
        <v>511</v>
      </c>
      <c r="D548" t="s">
        <v>512</v>
      </c>
      <c r="E548" t="s">
        <v>968</v>
      </c>
      <c r="F548" t="s">
        <v>474</v>
      </c>
      <c r="G548" t="s">
        <v>470</v>
      </c>
      <c r="H548" t="s">
        <v>475</v>
      </c>
      <c r="I548">
        <v>136930.81</v>
      </c>
    </row>
    <row r="549" spans="1:9">
      <c r="A549" s="90" t="s">
        <v>216</v>
      </c>
      <c r="B549" s="87">
        <v>45989</v>
      </c>
      <c r="C549" t="s">
        <v>511</v>
      </c>
      <c r="D549" t="s">
        <v>512</v>
      </c>
      <c r="E549" t="s">
        <v>968</v>
      </c>
      <c r="F549" t="s">
        <v>474</v>
      </c>
      <c r="G549" t="s">
        <v>470</v>
      </c>
      <c r="H549" t="s">
        <v>475</v>
      </c>
      <c r="I549">
        <v>303408.51</v>
      </c>
    </row>
    <row r="550" spans="1:9">
      <c r="A550" s="90" t="s">
        <v>216</v>
      </c>
      <c r="B550" s="87">
        <v>45989</v>
      </c>
      <c r="C550" t="s">
        <v>524</v>
      </c>
      <c r="D550" t="s">
        <v>477</v>
      </c>
      <c r="E550" t="s">
        <v>968</v>
      </c>
      <c r="F550" t="s">
        <v>525</v>
      </c>
      <c r="G550" t="s">
        <v>470</v>
      </c>
      <c r="H550" t="s">
        <v>516</v>
      </c>
      <c r="I550">
        <v>592.01</v>
      </c>
    </row>
    <row r="551" spans="1:9">
      <c r="A551" s="90" t="s">
        <v>216</v>
      </c>
      <c r="B551" s="87">
        <v>45989</v>
      </c>
      <c r="C551" t="s">
        <v>524</v>
      </c>
      <c r="D551" t="s">
        <v>477</v>
      </c>
      <c r="E551" t="s">
        <v>968</v>
      </c>
      <c r="F551" t="s">
        <v>525</v>
      </c>
      <c r="G551" t="s">
        <v>470</v>
      </c>
      <c r="H551" t="s">
        <v>471</v>
      </c>
      <c r="I551">
        <v>41.86</v>
      </c>
    </row>
    <row r="552" spans="1:9">
      <c r="A552" s="90" t="s">
        <v>216</v>
      </c>
      <c r="B552" s="87">
        <v>45989</v>
      </c>
      <c r="C552" t="s">
        <v>524</v>
      </c>
      <c r="D552" t="s">
        <v>477</v>
      </c>
      <c r="E552" t="s">
        <v>968</v>
      </c>
      <c r="F552" t="s">
        <v>525</v>
      </c>
      <c r="G552" t="s">
        <v>470</v>
      </c>
      <c r="H552" t="s">
        <v>516</v>
      </c>
      <c r="I552">
        <v>13292.38</v>
      </c>
    </row>
    <row r="553" spans="1:9">
      <c r="A553" s="90" t="s">
        <v>216</v>
      </c>
      <c r="B553" s="87">
        <v>45992</v>
      </c>
      <c r="C553" t="s">
        <v>1005</v>
      </c>
      <c r="D553" t="s">
        <v>1006</v>
      </c>
      <c r="E553" t="s">
        <v>1007</v>
      </c>
      <c r="F553" t="s">
        <v>490</v>
      </c>
      <c r="G553" t="s">
        <v>470</v>
      </c>
      <c r="H553" t="s">
        <v>796</v>
      </c>
      <c r="I553">
        <v>51220</v>
      </c>
    </row>
    <row r="554" spans="1:9">
      <c r="A554" s="90" t="s">
        <v>216</v>
      </c>
      <c r="B554" s="87">
        <v>45992</v>
      </c>
      <c r="C554" t="s">
        <v>1008</v>
      </c>
      <c r="D554" t="s">
        <v>863</v>
      </c>
      <c r="E554" t="s">
        <v>1009</v>
      </c>
      <c r="F554" t="s">
        <v>490</v>
      </c>
      <c r="G554" t="s">
        <v>470</v>
      </c>
      <c r="H554" t="s">
        <v>487</v>
      </c>
      <c r="I554">
        <v>90723.33</v>
      </c>
    </row>
    <row r="555" spans="1:9">
      <c r="A555" s="90" t="s">
        <v>216</v>
      </c>
      <c r="B555" s="87">
        <v>45992</v>
      </c>
      <c r="C555" t="s">
        <v>1010</v>
      </c>
      <c r="D555" t="s">
        <v>863</v>
      </c>
      <c r="E555" t="s">
        <v>1011</v>
      </c>
      <c r="F555" t="s">
        <v>490</v>
      </c>
      <c r="G555" t="s">
        <v>470</v>
      </c>
      <c r="H555" t="s">
        <v>487</v>
      </c>
      <c r="I555">
        <v>87890</v>
      </c>
    </row>
    <row r="556" spans="1:9">
      <c r="A556" s="90" t="s">
        <v>216</v>
      </c>
      <c r="B556" s="87">
        <v>45992</v>
      </c>
      <c r="C556" t="s">
        <v>1012</v>
      </c>
      <c r="D556" t="s">
        <v>863</v>
      </c>
      <c r="E556" t="s">
        <v>1013</v>
      </c>
      <c r="F556" t="s">
        <v>490</v>
      </c>
      <c r="G556" t="s">
        <v>470</v>
      </c>
      <c r="H556" t="s">
        <v>487</v>
      </c>
      <c r="I556">
        <v>90723.33</v>
      </c>
    </row>
    <row r="557" spans="1:9">
      <c r="A557" s="90" t="s">
        <v>216</v>
      </c>
      <c r="B557" s="87">
        <v>45992</v>
      </c>
      <c r="C557" t="s">
        <v>507</v>
      </c>
      <c r="D557" t="s">
        <v>508</v>
      </c>
      <c r="E557" t="s">
        <v>1014</v>
      </c>
      <c r="F557" t="s">
        <v>510</v>
      </c>
      <c r="G557" t="s">
        <v>470</v>
      </c>
      <c r="H557" t="s">
        <v>487</v>
      </c>
      <c r="I557">
        <v>10445.549999999999</v>
      </c>
    </row>
    <row r="558" spans="1:9">
      <c r="A558" s="90" t="s">
        <v>216</v>
      </c>
      <c r="B558" s="87">
        <v>45992</v>
      </c>
      <c r="C558" t="s">
        <v>517</v>
      </c>
      <c r="D558" t="s">
        <v>512</v>
      </c>
      <c r="E558" t="s">
        <v>1014</v>
      </c>
      <c r="F558" t="s">
        <v>474</v>
      </c>
      <c r="G558" t="s">
        <v>470</v>
      </c>
      <c r="H558" t="s">
        <v>475</v>
      </c>
      <c r="I558">
        <v>7631.53</v>
      </c>
    </row>
    <row r="559" spans="1:9">
      <c r="A559" s="90" t="s">
        <v>216</v>
      </c>
      <c r="B559" s="87">
        <v>45993</v>
      </c>
      <c r="C559" t="s">
        <v>1015</v>
      </c>
      <c r="D559" t="s">
        <v>1016</v>
      </c>
      <c r="E559" t="s">
        <v>1017</v>
      </c>
      <c r="F559" t="s">
        <v>490</v>
      </c>
      <c r="G559" t="s">
        <v>470</v>
      </c>
      <c r="H559" t="s">
        <v>487</v>
      </c>
      <c r="I559">
        <v>56105.279999999999</v>
      </c>
    </row>
    <row r="560" spans="1:9">
      <c r="A560" s="90" t="s">
        <v>216</v>
      </c>
      <c r="B560" s="87">
        <v>45993</v>
      </c>
      <c r="C560" t="s">
        <v>1015</v>
      </c>
      <c r="D560" t="s">
        <v>1016</v>
      </c>
      <c r="E560" t="s">
        <v>1017</v>
      </c>
      <c r="F560" t="s">
        <v>490</v>
      </c>
      <c r="G560" t="s">
        <v>470</v>
      </c>
      <c r="H560" t="s">
        <v>487</v>
      </c>
      <c r="I560">
        <v>786.72</v>
      </c>
    </row>
    <row r="561" spans="1:9">
      <c r="A561" s="90" t="s">
        <v>216</v>
      </c>
      <c r="B561" s="87">
        <v>45993</v>
      </c>
      <c r="C561" t="s">
        <v>1018</v>
      </c>
      <c r="D561" t="s">
        <v>863</v>
      </c>
      <c r="E561" t="s">
        <v>1019</v>
      </c>
      <c r="F561" t="s">
        <v>490</v>
      </c>
      <c r="G561" t="s">
        <v>470</v>
      </c>
      <c r="H561" t="s">
        <v>487</v>
      </c>
      <c r="I561">
        <v>135093.32999999999</v>
      </c>
    </row>
    <row r="562" spans="1:9">
      <c r="A562" s="90" t="s">
        <v>216</v>
      </c>
      <c r="B562" s="87">
        <v>45993</v>
      </c>
      <c r="C562" t="s">
        <v>1018</v>
      </c>
      <c r="D562" t="s">
        <v>863</v>
      </c>
      <c r="E562" t="s">
        <v>1019</v>
      </c>
      <c r="F562" t="s">
        <v>490</v>
      </c>
      <c r="G562" t="s">
        <v>470</v>
      </c>
      <c r="H562" t="s">
        <v>487</v>
      </c>
      <c r="I562">
        <v>623.34</v>
      </c>
    </row>
    <row r="563" spans="1:9">
      <c r="A563" s="90" t="s">
        <v>216</v>
      </c>
      <c r="B563" s="87">
        <v>45993</v>
      </c>
      <c r="C563" t="s">
        <v>1020</v>
      </c>
      <c r="D563" t="s">
        <v>863</v>
      </c>
      <c r="E563" t="s">
        <v>1021</v>
      </c>
      <c r="F563" t="s">
        <v>490</v>
      </c>
      <c r="G563" t="s">
        <v>470</v>
      </c>
      <c r="H563" t="s">
        <v>487</v>
      </c>
      <c r="I563">
        <v>90780</v>
      </c>
    </row>
    <row r="564" spans="1:9">
      <c r="A564" s="90" t="s">
        <v>216</v>
      </c>
      <c r="B564" s="87">
        <v>45993</v>
      </c>
      <c r="C564" t="s">
        <v>1005</v>
      </c>
      <c r="D564" t="s">
        <v>512</v>
      </c>
      <c r="E564" t="s">
        <v>1007</v>
      </c>
      <c r="F564" t="s">
        <v>474</v>
      </c>
      <c r="G564" t="s">
        <v>470</v>
      </c>
      <c r="H564" t="s">
        <v>475</v>
      </c>
      <c r="I564">
        <v>51220</v>
      </c>
    </row>
    <row r="565" spans="1:9">
      <c r="A565" s="90" t="s">
        <v>216</v>
      </c>
      <c r="B565" s="87">
        <v>45993</v>
      </c>
      <c r="C565" t="s">
        <v>517</v>
      </c>
      <c r="D565" t="s">
        <v>512</v>
      </c>
      <c r="E565" t="s">
        <v>1014</v>
      </c>
      <c r="F565" t="s">
        <v>474</v>
      </c>
      <c r="G565" t="s">
        <v>470</v>
      </c>
      <c r="H565" t="s">
        <v>475</v>
      </c>
      <c r="I565">
        <v>289388.90999999997</v>
      </c>
    </row>
    <row r="566" spans="1:9">
      <c r="A566" s="90" t="s">
        <v>216</v>
      </c>
      <c r="B566" s="87">
        <v>45993</v>
      </c>
      <c r="C566" t="s">
        <v>511</v>
      </c>
      <c r="D566" t="s">
        <v>512</v>
      </c>
      <c r="E566" t="s">
        <v>1014</v>
      </c>
      <c r="F566" t="s">
        <v>474</v>
      </c>
      <c r="G566" t="s">
        <v>470</v>
      </c>
      <c r="H566" t="s">
        <v>475</v>
      </c>
      <c r="I566">
        <v>209414.27</v>
      </c>
    </row>
    <row r="567" spans="1:9">
      <c r="A567" s="90" t="s">
        <v>216</v>
      </c>
      <c r="B567" s="87">
        <v>45994</v>
      </c>
      <c r="C567" t="s">
        <v>1022</v>
      </c>
      <c r="D567" t="s">
        <v>1006</v>
      </c>
      <c r="E567" t="s">
        <v>1023</v>
      </c>
      <c r="F567" t="s">
        <v>490</v>
      </c>
      <c r="G567" t="s">
        <v>470</v>
      </c>
      <c r="H567" t="s">
        <v>796</v>
      </c>
      <c r="I567">
        <v>46332</v>
      </c>
    </row>
    <row r="568" spans="1:9">
      <c r="A568" s="90" t="s">
        <v>216</v>
      </c>
      <c r="B568" s="87">
        <v>45994</v>
      </c>
      <c r="C568" t="s">
        <v>511</v>
      </c>
      <c r="D568" t="s">
        <v>512</v>
      </c>
      <c r="E568" t="s">
        <v>1014</v>
      </c>
      <c r="F568" t="s">
        <v>474</v>
      </c>
      <c r="G568" t="s">
        <v>470</v>
      </c>
      <c r="H568" t="s">
        <v>475</v>
      </c>
      <c r="I568">
        <v>463133.7</v>
      </c>
    </row>
    <row r="569" spans="1:9">
      <c r="A569" s="90" t="s">
        <v>216</v>
      </c>
      <c r="B569" s="87">
        <v>45995</v>
      </c>
      <c r="C569" t="s">
        <v>1024</v>
      </c>
      <c r="D569" t="s">
        <v>1016</v>
      </c>
      <c r="E569" t="s">
        <v>1025</v>
      </c>
      <c r="F569" t="s">
        <v>490</v>
      </c>
      <c r="G569" t="s">
        <v>470</v>
      </c>
      <c r="H569" t="s">
        <v>487</v>
      </c>
      <c r="I569">
        <v>54692</v>
      </c>
    </row>
    <row r="570" spans="1:9">
      <c r="A570" s="90" t="s">
        <v>216</v>
      </c>
      <c r="B570" s="87">
        <v>45995</v>
      </c>
      <c r="C570" t="s">
        <v>1024</v>
      </c>
      <c r="D570" t="s">
        <v>1016</v>
      </c>
      <c r="E570" t="s">
        <v>1025</v>
      </c>
      <c r="F570" t="s">
        <v>490</v>
      </c>
      <c r="G570" t="s">
        <v>470</v>
      </c>
      <c r="H570" t="s">
        <v>487</v>
      </c>
      <c r="I570">
        <v>198</v>
      </c>
    </row>
    <row r="571" spans="1:9">
      <c r="A571" s="90" t="s">
        <v>216</v>
      </c>
      <c r="B571" s="87">
        <v>45995</v>
      </c>
      <c r="C571" t="s">
        <v>1026</v>
      </c>
      <c r="D571" t="s">
        <v>1016</v>
      </c>
      <c r="E571" t="s">
        <v>1027</v>
      </c>
      <c r="F571" t="s">
        <v>490</v>
      </c>
      <c r="G571" t="s">
        <v>470</v>
      </c>
      <c r="H571" t="s">
        <v>487</v>
      </c>
      <c r="I571">
        <v>55166.1</v>
      </c>
    </row>
    <row r="572" spans="1:9">
      <c r="A572" s="90" t="s">
        <v>216</v>
      </c>
      <c r="B572" s="87">
        <v>45995</v>
      </c>
      <c r="C572" t="s">
        <v>1028</v>
      </c>
      <c r="D572" t="s">
        <v>1016</v>
      </c>
      <c r="E572" t="s">
        <v>1029</v>
      </c>
      <c r="F572" t="s">
        <v>490</v>
      </c>
      <c r="G572" t="s">
        <v>470</v>
      </c>
      <c r="H572" t="s">
        <v>487</v>
      </c>
      <c r="I572">
        <v>54796.5</v>
      </c>
    </row>
    <row r="573" spans="1:9">
      <c r="A573" s="90" t="s">
        <v>216</v>
      </c>
      <c r="B573" s="87">
        <v>45995</v>
      </c>
      <c r="C573" t="s">
        <v>1022</v>
      </c>
      <c r="D573" t="s">
        <v>512</v>
      </c>
      <c r="E573" t="s">
        <v>1023</v>
      </c>
      <c r="F573" t="s">
        <v>474</v>
      </c>
      <c r="G573" t="s">
        <v>470</v>
      </c>
      <c r="H573" t="s">
        <v>475</v>
      </c>
      <c r="I573">
        <v>46306</v>
      </c>
    </row>
    <row r="574" spans="1:9">
      <c r="A574" s="90" t="s">
        <v>216</v>
      </c>
      <c r="B574" s="87">
        <v>45995</v>
      </c>
      <c r="C574" t="s">
        <v>517</v>
      </c>
      <c r="D574" t="s">
        <v>512</v>
      </c>
      <c r="E574" t="s">
        <v>1014</v>
      </c>
      <c r="F574" t="s">
        <v>474</v>
      </c>
      <c r="G574" t="s">
        <v>470</v>
      </c>
      <c r="H574" t="s">
        <v>475</v>
      </c>
      <c r="I574">
        <v>183465.96</v>
      </c>
    </row>
    <row r="575" spans="1:9">
      <c r="A575" s="90" t="s">
        <v>216</v>
      </c>
      <c r="B575" s="87">
        <v>45996</v>
      </c>
      <c r="C575" t="s">
        <v>1030</v>
      </c>
      <c r="D575" t="s">
        <v>1031</v>
      </c>
      <c r="E575" t="s">
        <v>1032</v>
      </c>
      <c r="F575" t="s">
        <v>490</v>
      </c>
      <c r="G575" t="s">
        <v>470</v>
      </c>
      <c r="H575" t="s">
        <v>796</v>
      </c>
      <c r="I575">
        <v>46376</v>
      </c>
    </row>
    <row r="576" spans="1:9">
      <c r="A576" s="90" t="s">
        <v>216</v>
      </c>
      <c r="B576" s="87">
        <v>45996</v>
      </c>
      <c r="C576" t="s">
        <v>1030</v>
      </c>
      <c r="D576" t="s">
        <v>1031</v>
      </c>
      <c r="E576" t="s">
        <v>1032</v>
      </c>
      <c r="F576" t="s">
        <v>490</v>
      </c>
      <c r="G576" t="s">
        <v>470</v>
      </c>
      <c r="H576" t="s">
        <v>796</v>
      </c>
      <c r="I576">
        <v>49.6</v>
      </c>
    </row>
    <row r="577" spans="1:9">
      <c r="A577" s="90" t="s">
        <v>216</v>
      </c>
      <c r="B577" s="87">
        <v>45996</v>
      </c>
      <c r="C577" t="s">
        <v>1033</v>
      </c>
      <c r="D577" t="s">
        <v>1031</v>
      </c>
      <c r="E577" t="s">
        <v>1034</v>
      </c>
      <c r="F577" t="s">
        <v>490</v>
      </c>
      <c r="G577" t="s">
        <v>470</v>
      </c>
      <c r="H577" t="s">
        <v>796</v>
      </c>
      <c r="I577">
        <v>46574.400000000001</v>
      </c>
    </row>
    <row r="578" spans="1:9">
      <c r="A578" s="90" t="s">
        <v>216</v>
      </c>
      <c r="B578" s="87">
        <v>45996</v>
      </c>
      <c r="C578" t="s">
        <v>1033</v>
      </c>
      <c r="D578" t="s">
        <v>1031</v>
      </c>
      <c r="E578" t="s">
        <v>1034</v>
      </c>
      <c r="F578" t="s">
        <v>490</v>
      </c>
      <c r="G578" t="s">
        <v>470</v>
      </c>
      <c r="H578" t="s">
        <v>796</v>
      </c>
      <c r="I578">
        <v>-74.400000000000006</v>
      </c>
    </row>
    <row r="579" spans="1:9">
      <c r="A579" s="90" t="s">
        <v>216</v>
      </c>
      <c r="B579" s="87">
        <v>45996</v>
      </c>
      <c r="C579" t="s">
        <v>1035</v>
      </c>
      <c r="D579" t="s">
        <v>1036</v>
      </c>
      <c r="E579" t="s">
        <v>1037</v>
      </c>
      <c r="F579" t="s">
        <v>486</v>
      </c>
      <c r="G579" t="s">
        <v>470</v>
      </c>
      <c r="H579" t="s">
        <v>475</v>
      </c>
      <c r="I579">
        <v>2700</v>
      </c>
    </row>
    <row r="580" spans="1:9">
      <c r="A580" s="90" t="s">
        <v>216</v>
      </c>
      <c r="B580" s="87">
        <v>45999</v>
      </c>
      <c r="C580" t="s">
        <v>1038</v>
      </c>
      <c r="D580" t="s">
        <v>1039</v>
      </c>
      <c r="E580" t="s">
        <v>1040</v>
      </c>
      <c r="F580" t="s">
        <v>490</v>
      </c>
      <c r="G580" t="s">
        <v>470</v>
      </c>
      <c r="H580" t="s">
        <v>796</v>
      </c>
      <c r="I580">
        <v>49738</v>
      </c>
    </row>
    <row r="581" spans="1:9">
      <c r="A581" s="90" t="s">
        <v>216</v>
      </c>
      <c r="B581" s="87">
        <v>45999</v>
      </c>
      <c r="C581" t="s">
        <v>1041</v>
      </c>
      <c r="D581" t="s">
        <v>1042</v>
      </c>
      <c r="E581" t="s">
        <v>1043</v>
      </c>
      <c r="F581" t="s">
        <v>490</v>
      </c>
      <c r="G581" t="s">
        <v>470</v>
      </c>
      <c r="H581" t="s">
        <v>796</v>
      </c>
      <c r="I581">
        <v>53128.6</v>
      </c>
    </row>
    <row r="582" spans="1:9">
      <c r="A582" s="90" t="s">
        <v>216</v>
      </c>
      <c r="B582" s="87">
        <v>45999</v>
      </c>
      <c r="C582" t="s">
        <v>1044</v>
      </c>
      <c r="D582" t="s">
        <v>1045</v>
      </c>
      <c r="E582" t="s">
        <v>1046</v>
      </c>
      <c r="F582" t="s">
        <v>490</v>
      </c>
      <c r="G582" t="s">
        <v>470</v>
      </c>
      <c r="H582" t="s">
        <v>796</v>
      </c>
      <c r="I582">
        <v>67830.8</v>
      </c>
    </row>
    <row r="583" spans="1:9">
      <c r="A583" s="90" t="s">
        <v>216</v>
      </c>
      <c r="B583" s="87">
        <v>45999</v>
      </c>
      <c r="C583" t="s">
        <v>1030</v>
      </c>
      <c r="D583" t="s">
        <v>512</v>
      </c>
      <c r="E583" t="s">
        <v>1032</v>
      </c>
      <c r="F583" t="s">
        <v>474</v>
      </c>
      <c r="G583" t="s">
        <v>470</v>
      </c>
      <c r="H583" t="s">
        <v>475</v>
      </c>
      <c r="I583">
        <v>46425.599999999999</v>
      </c>
    </row>
    <row r="584" spans="1:9">
      <c r="A584" s="90" t="s">
        <v>216</v>
      </c>
      <c r="B584" s="87">
        <v>45999</v>
      </c>
      <c r="C584" t="s">
        <v>1033</v>
      </c>
      <c r="D584" t="s">
        <v>512</v>
      </c>
      <c r="E584" t="s">
        <v>1034</v>
      </c>
      <c r="F584" t="s">
        <v>474</v>
      </c>
      <c r="G584" t="s">
        <v>470</v>
      </c>
      <c r="H584" t="s">
        <v>475</v>
      </c>
      <c r="I584">
        <v>46500</v>
      </c>
    </row>
    <row r="585" spans="1:9">
      <c r="A585" s="90" t="s">
        <v>216</v>
      </c>
      <c r="B585" s="87">
        <v>45999</v>
      </c>
      <c r="C585" t="s">
        <v>517</v>
      </c>
      <c r="D585" t="s">
        <v>512</v>
      </c>
      <c r="E585" t="s">
        <v>1014</v>
      </c>
      <c r="F585" t="s">
        <v>474</v>
      </c>
      <c r="G585" t="s">
        <v>470</v>
      </c>
      <c r="H585" t="s">
        <v>475</v>
      </c>
      <c r="I585">
        <v>65186.22</v>
      </c>
    </row>
    <row r="586" spans="1:9">
      <c r="A586" s="90" t="s">
        <v>216</v>
      </c>
      <c r="B586" s="87">
        <v>46000</v>
      </c>
      <c r="C586" t="s">
        <v>1047</v>
      </c>
      <c r="D586" t="s">
        <v>1016</v>
      </c>
      <c r="E586" t="s">
        <v>1048</v>
      </c>
      <c r="F586" t="s">
        <v>490</v>
      </c>
      <c r="G586" t="s">
        <v>470</v>
      </c>
      <c r="H586" t="s">
        <v>487</v>
      </c>
      <c r="I586">
        <v>56012</v>
      </c>
    </row>
    <row r="587" spans="1:9">
      <c r="A587" s="90" t="s">
        <v>216</v>
      </c>
      <c r="B587" s="87">
        <v>46000</v>
      </c>
      <c r="C587" t="s">
        <v>1049</v>
      </c>
      <c r="D587" t="s">
        <v>1016</v>
      </c>
      <c r="E587" t="s">
        <v>1050</v>
      </c>
      <c r="F587" t="s">
        <v>490</v>
      </c>
      <c r="G587" t="s">
        <v>470</v>
      </c>
      <c r="H587" t="s">
        <v>487</v>
      </c>
      <c r="I587">
        <v>55990</v>
      </c>
    </row>
    <row r="588" spans="1:9">
      <c r="A588" s="90" t="s">
        <v>216</v>
      </c>
      <c r="B588" s="87">
        <v>46000</v>
      </c>
      <c r="C588" t="s">
        <v>1038</v>
      </c>
      <c r="D588" t="s">
        <v>512</v>
      </c>
      <c r="E588" t="s">
        <v>1040</v>
      </c>
      <c r="F588" t="s">
        <v>474</v>
      </c>
      <c r="G588" t="s">
        <v>470</v>
      </c>
      <c r="H588" t="s">
        <v>475</v>
      </c>
      <c r="I588">
        <v>49738</v>
      </c>
    </row>
    <row r="589" spans="1:9">
      <c r="A589" s="90" t="s">
        <v>216</v>
      </c>
      <c r="B589" s="87">
        <v>46000</v>
      </c>
      <c r="C589" t="s">
        <v>1041</v>
      </c>
      <c r="D589" t="s">
        <v>512</v>
      </c>
      <c r="E589" t="s">
        <v>1043</v>
      </c>
      <c r="F589" t="s">
        <v>474</v>
      </c>
      <c r="G589" t="s">
        <v>470</v>
      </c>
      <c r="H589" t="s">
        <v>475</v>
      </c>
      <c r="I589">
        <v>53128.6</v>
      </c>
    </row>
    <row r="590" spans="1:9">
      <c r="A590" s="90" t="s">
        <v>216</v>
      </c>
      <c r="B590" s="87">
        <v>46000</v>
      </c>
      <c r="C590" t="s">
        <v>1044</v>
      </c>
      <c r="D590" t="s">
        <v>512</v>
      </c>
      <c r="E590" t="s">
        <v>1051</v>
      </c>
      <c r="F590" t="s">
        <v>474</v>
      </c>
      <c r="G590" t="s">
        <v>470</v>
      </c>
      <c r="H590" t="s">
        <v>475</v>
      </c>
      <c r="I590">
        <v>67830.8</v>
      </c>
    </row>
    <row r="591" spans="1:9">
      <c r="A591" s="90" t="s">
        <v>216</v>
      </c>
      <c r="B591" s="87">
        <v>46000</v>
      </c>
      <c r="C591" t="s">
        <v>1052</v>
      </c>
      <c r="D591" t="s">
        <v>881</v>
      </c>
      <c r="E591" t="s">
        <v>270</v>
      </c>
      <c r="F591" t="s">
        <v>490</v>
      </c>
      <c r="G591" t="s">
        <v>470</v>
      </c>
      <c r="H591" t="s">
        <v>516</v>
      </c>
      <c r="I591">
        <v>361231.57</v>
      </c>
    </row>
    <row r="592" spans="1:9">
      <c r="A592" s="90" t="s">
        <v>216</v>
      </c>
      <c r="B592" s="87">
        <v>46000</v>
      </c>
      <c r="C592" t="s">
        <v>1053</v>
      </c>
      <c r="D592" t="s">
        <v>881</v>
      </c>
      <c r="E592" t="s">
        <v>270</v>
      </c>
      <c r="F592" t="s">
        <v>490</v>
      </c>
      <c r="G592" t="s">
        <v>470</v>
      </c>
      <c r="H592" t="s">
        <v>516</v>
      </c>
      <c r="I592">
        <v>99620.52</v>
      </c>
    </row>
    <row r="593" spans="1:9">
      <c r="A593" s="90" t="s">
        <v>216</v>
      </c>
      <c r="B593" s="87">
        <v>46000</v>
      </c>
      <c r="C593" t="s">
        <v>1053</v>
      </c>
      <c r="D593" t="s">
        <v>881</v>
      </c>
      <c r="E593" t="s">
        <v>270</v>
      </c>
      <c r="F593" t="s">
        <v>490</v>
      </c>
      <c r="G593" t="s">
        <v>470</v>
      </c>
      <c r="H593" t="s">
        <v>516</v>
      </c>
      <c r="I593">
        <v>497013.18</v>
      </c>
    </row>
    <row r="594" spans="1:9">
      <c r="A594" s="90" t="s">
        <v>216</v>
      </c>
      <c r="B594" s="87">
        <v>46000</v>
      </c>
      <c r="C594" t="s">
        <v>1054</v>
      </c>
      <c r="D594" t="s">
        <v>881</v>
      </c>
      <c r="E594" t="s">
        <v>279</v>
      </c>
      <c r="F594" t="s">
        <v>490</v>
      </c>
      <c r="G594" t="s">
        <v>470</v>
      </c>
      <c r="H594" t="s">
        <v>516</v>
      </c>
      <c r="I594">
        <v>518875</v>
      </c>
    </row>
    <row r="595" spans="1:9">
      <c r="A595" s="90" t="s">
        <v>216</v>
      </c>
      <c r="B595" s="87">
        <v>46000</v>
      </c>
      <c r="C595" t="s">
        <v>1054</v>
      </c>
      <c r="D595" t="s">
        <v>881</v>
      </c>
      <c r="E595" t="s">
        <v>279</v>
      </c>
      <c r="F595" t="s">
        <v>882</v>
      </c>
      <c r="G595" t="s">
        <v>470</v>
      </c>
      <c r="H595" t="s">
        <v>516</v>
      </c>
      <c r="I595">
        <v>23440.33</v>
      </c>
    </row>
    <row r="596" spans="1:9">
      <c r="A596" s="90" t="s">
        <v>216</v>
      </c>
      <c r="B596" s="87">
        <v>46000</v>
      </c>
      <c r="C596" t="s">
        <v>517</v>
      </c>
      <c r="D596" t="s">
        <v>512</v>
      </c>
      <c r="E596" t="s">
        <v>1014</v>
      </c>
      <c r="F596" t="s">
        <v>474</v>
      </c>
      <c r="G596" t="s">
        <v>470</v>
      </c>
      <c r="H596" t="s">
        <v>475</v>
      </c>
      <c r="I596">
        <v>1621843.68</v>
      </c>
    </row>
    <row r="597" spans="1:9">
      <c r="A597" s="90" t="s">
        <v>216</v>
      </c>
      <c r="B597" s="87">
        <v>46001</v>
      </c>
      <c r="C597" t="s">
        <v>1055</v>
      </c>
      <c r="D597" t="s">
        <v>1056</v>
      </c>
      <c r="E597" t="s">
        <v>1057</v>
      </c>
      <c r="F597" t="s">
        <v>490</v>
      </c>
      <c r="G597" t="s">
        <v>470</v>
      </c>
      <c r="H597" t="s">
        <v>487</v>
      </c>
      <c r="I597">
        <v>58256</v>
      </c>
    </row>
    <row r="598" spans="1:9">
      <c r="A598" s="90" t="s">
        <v>216</v>
      </c>
      <c r="B598" s="87">
        <v>46001</v>
      </c>
      <c r="C598" t="s">
        <v>1058</v>
      </c>
      <c r="D598" t="s">
        <v>477</v>
      </c>
      <c r="E598" t="s">
        <v>1059</v>
      </c>
      <c r="F598" t="s">
        <v>218</v>
      </c>
      <c r="G598" t="s">
        <v>470</v>
      </c>
      <c r="H598" t="s">
        <v>516</v>
      </c>
      <c r="I598">
        <v>1657.5</v>
      </c>
    </row>
    <row r="599" spans="1:9">
      <c r="A599" s="90" t="s">
        <v>216</v>
      </c>
      <c r="B599" s="87">
        <v>46001</v>
      </c>
      <c r="C599" t="s">
        <v>517</v>
      </c>
      <c r="D599" t="s">
        <v>512</v>
      </c>
      <c r="E599" t="s">
        <v>1014</v>
      </c>
      <c r="F599" t="s">
        <v>474</v>
      </c>
      <c r="G599" t="s">
        <v>470</v>
      </c>
      <c r="H599" t="s">
        <v>475</v>
      </c>
      <c r="I599">
        <v>1400000</v>
      </c>
    </row>
    <row r="600" spans="1:9">
      <c r="A600" s="90" t="s">
        <v>216</v>
      </c>
      <c r="B600" s="87">
        <v>46001</v>
      </c>
      <c r="C600" t="s">
        <v>511</v>
      </c>
      <c r="D600" t="s">
        <v>512</v>
      </c>
      <c r="E600" t="s">
        <v>1014</v>
      </c>
      <c r="F600" t="s">
        <v>474</v>
      </c>
      <c r="G600" t="s">
        <v>470</v>
      </c>
      <c r="H600" t="s">
        <v>475</v>
      </c>
      <c r="I600">
        <v>1654898.55</v>
      </c>
    </row>
    <row r="601" spans="1:9">
      <c r="A601" s="90" t="s">
        <v>216</v>
      </c>
      <c r="B601" s="87">
        <v>46002</v>
      </c>
      <c r="C601" t="s">
        <v>511</v>
      </c>
      <c r="D601" t="s">
        <v>512</v>
      </c>
      <c r="E601" t="s">
        <v>1014</v>
      </c>
      <c r="F601" t="s">
        <v>474</v>
      </c>
      <c r="G601" t="s">
        <v>470</v>
      </c>
      <c r="H601" t="s">
        <v>475</v>
      </c>
      <c r="I601">
        <v>1146.93</v>
      </c>
    </row>
    <row r="602" spans="1:9">
      <c r="A602" s="90" t="s">
        <v>216</v>
      </c>
      <c r="B602" s="87">
        <v>46003</v>
      </c>
      <c r="C602" t="s">
        <v>511</v>
      </c>
      <c r="D602" t="s">
        <v>512</v>
      </c>
      <c r="E602" t="s">
        <v>1014</v>
      </c>
      <c r="F602" t="s">
        <v>474</v>
      </c>
      <c r="G602" t="s">
        <v>470</v>
      </c>
      <c r="H602" t="s">
        <v>475</v>
      </c>
      <c r="I602">
        <v>207872.23</v>
      </c>
    </row>
    <row r="603" spans="1:9">
      <c r="A603" s="90" t="s">
        <v>216</v>
      </c>
      <c r="B603" s="87">
        <v>46006</v>
      </c>
      <c r="C603" t="s">
        <v>1060</v>
      </c>
      <c r="D603" t="s">
        <v>1016</v>
      </c>
      <c r="E603" t="s">
        <v>1061</v>
      </c>
      <c r="F603" t="s">
        <v>490</v>
      </c>
      <c r="G603" t="s">
        <v>470</v>
      </c>
      <c r="H603" t="s">
        <v>487</v>
      </c>
      <c r="I603">
        <v>56694</v>
      </c>
    </row>
    <row r="604" spans="1:9">
      <c r="A604" s="90" t="s">
        <v>216</v>
      </c>
      <c r="B604" s="87">
        <v>46006</v>
      </c>
      <c r="C604" t="s">
        <v>1060</v>
      </c>
      <c r="D604" t="s">
        <v>1016</v>
      </c>
      <c r="E604" t="s">
        <v>1061</v>
      </c>
      <c r="F604" t="s">
        <v>490</v>
      </c>
      <c r="G604" t="s">
        <v>470</v>
      </c>
      <c r="H604" t="s">
        <v>487</v>
      </c>
      <c r="I604">
        <v>132</v>
      </c>
    </row>
    <row r="605" spans="1:9">
      <c r="A605" s="90" t="s">
        <v>216</v>
      </c>
      <c r="B605" s="87">
        <v>46006</v>
      </c>
      <c r="C605" t="s">
        <v>1062</v>
      </c>
      <c r="D605" t="s">
        <v>1016</v>
      </c>
      <c r="E605" t="s">
        <v>1063</v>
      </c>
      <c r="F605" t="s">
        <v>490</v>
      </c>
      <c r="G605" t="s">
        <v>470</v>
      </c>
      <c r="H605" t="s">
        <v>487</v>
      </c>
      <c r="I605">
        <v>56650</v>
      </c>
    </row>
    <row r="606" spans="1:9">
      <c r="A606" s="90" t="s">
        <v>216</v>
      </c>
      <c r="B606" s="87">
        <v>46006</v>
      </c>
      <c r="C606" t="s">
        <v>1064</v>
      </c>
      <c r="D606" t="s">
        <v>477</v>
      </c>
      <c r="E606" t="s">
        <v>1065</v>
      </c>
      <c r="F606" t="s">
        <v>218</v>
      </c>
      <c r="G606" t="s">
        <v>470</v>
      </c>
      <c r="H606" t="s">
        <v>516</v>
      </c>
      <c r="I606">
        <v>1630</v>
      </c>
    </row>
    <row r="607" spans="1:9">
      <c r="A607" s="90" t="s">
        <v>216</v>
      </c>
      <c r="B607" s="87">
        <v>46006</v>
      </c>
      <c r="C607" t="s">
        <v>517</v>
      </c>
      <c r="D607" t="s">
        <v>512</v>
      </c>
      <c r="E607" t="s">
        <v>1014</v>
      </c>
      <c r="F607" t="s">
        <v>474</v>
      </c>
      <c r="G607" t="s">
        <v>470</v>
      </c>
      <c r="H607" t="s">
        <v>475</v>
      </c>
      <c r="I607">
        <v>76807.850000000006</v>
      </c>
    </row>
    <row r="608" spans="1:9">
      <c r="A608" s="90" t="s">
        <v>216</v>
      </c>
      <c r="B608" s="87">
        <v>46007</v>
      </c>
      <c r="C608" t="s">
        <v>1066</v>
      </c>
      <c r="D608" t="s">
        <v>477</v>
      </c>
      <c r="E608" t="s">
        <v>1067</v>
      </c>
      <c r="F608" t="s">
        <v>218</v>
      </c>
      <c r="G608" t="s">
        <v>470</v>
      </c>
      <c r="H608" t="s">
        <v>516</v>
      </c>
      <c r="I608">
        <v>1115</v>
      </c>
    </row>
    <row r="609" spans="1:9">
      <c r="A609" s="90" t="s">
        <v>216</v>
      </c>
      <c r="B609" s="87">
        <v>46007</v>
      </c>
      <c r="C609" t="s">
        <v>511</v>
      </c>
      <c r="D609" t="s">
        <v>512</v>
      </c>
      <c r="E609" t="s">
        <v>1014</v>
      </c>
      <c r="F609" t="s">
        <v>474</v>
      </c>
      <c r="G609" t="s">
        <v>470</v>
      </c>
      <c r="H609" t="s">
        <v>475</v>
      </c>
      <c r="I609">
        <v>363405</v>
      </c>
    </row>
    <row r="610" spans="1:9">
      <c r="A610" s="90" t="s">
        <v>216</v>
      </c>
      <c r="B610" s="87">
        <v>46008</v>
      </c>
      <c r="C610" t="s">
        <v>1068</v>
      </c>
      <c r="D610" t="s">
        <v>1016</v>
      </c>
      <c r="E610" t="s">
        <v>1069</v>
      </c>
      <c r="F610" t="s">
        <v>490</v>
      </c>
      <c r="G610" t="s">
        <v>470</v>
      </c>
      <c r="H610" t="s">
        <v>487</v>
      </c>
      <c r="I610">
        <v>56122</v>
      </c>
    </row>
    <row r="611" spans="1:9">
      <c r="A611" s="90" t="s">
        <v>216</v>
      </c>
      <c r="B611" s="87">
        <v>46008</v>
      </c>
      <c r="C611" t="s">
        <v>1068</v>
      </c>
      <c r="D611" t="s">
        <v>1016</v>
      </c>
      <c r="E611" t="s">
        <v>1069</v>
      </c>
      <c r="F611" t="s">
        <v>490</v>
      </c>
      <c r="G611" t="s">
        <v>470</v>
      </c>
      <c r="H611" t="s">
        <v>487</v>
      </c>
      <c r="I611">
        <v>88</v>
      </c>
    </row>
    <row r="612" spans="1:9">
      <c r="A612" s="90" t="s">
        <v>216</v>
      </c>
      <c r="B612" s="87">
        <v>46008</v>
      </c>
      <c r="C612" t="s">
        <v>1070</v>
      </c>
      <c r="D612" t="s">
        <v>1016</v>
      </c>
      <c r="E612" t="s">
        <v>1071</v>
      </c>
      <c r="F612" t="s">
        <v>490</v>
      </c>
      <c r="G612" t="s">
        <v>470</v>
      </c>
      <c r="H612" t="s">
        <v>487</v>
      </c>
      <c r="I612">
        <v>56672</v>
      </c>
    </row>
    <row r="613" spans="1:9">
      <c r="A613" s="90" t="s">
        <v>216</v>
      </c>
      <c r="B613" s="87">
        <v>46008</v>
      </c>
      <c r="C613" t="s">
        <v>1070</v>
      </c>
      <c r="D613" t="s">
        <v>1016</v>
      </c>
      <c r="E613" t="s">
        <v>1071</v>
      </c>
      <c r="F613" t="s">
        <v>490</v>
      </c>
      <c r="G613" t="s">
        <v>470</v>
      </c>
      <c r="H613" t="s">
        <v>487</v>
      </c>
      <c r="I613">
        <v>220</v>
      </c>
    </row>
    <row r="614" spans="1:9">
      <c r="A614" s="90" t="s">
        <v>216</v>
      </c>
      <c r="B614" s="87">
        <v>46008</v>
      </c>
      <c r="C614" t="s">
        <v>1072</v>
      </c>
      <c r="D614" t="s">
        <v>1016</v>
      </c>
      <c r="E614" t="s">
        <v>1073</v>
      </c>
      <c r="F614" t="s">
        <v>490</v>
      </c>
      <c r="G614" t="s">
        <v>470</v>
      </c>
      <c r="H614" t="s">
        <v>487</v>
      </c>
      <c r="I614">
        <v>57552</v>
      </c>
    </row>
    <row r="615" spans="1:9">
      <c r="A615" s="90" t="s">
        <v>216</v>
      </c>
      <c r="B615" s="87">
        <v>46008</v>
      </c>
      <c r="C615" t="s">
        <v>1074</v>
      </c>
      <c r="D615" t="s">
        <v>477</v>
      </c>
      <c r="E615" t="s">
        <v>1075</v>
      </c>
      <c r="F615" t="s">
        <v>218</v>
      </c>
      <c r="G615" t="s">
        <v>470</v>
      </c>
      <c r="H615" t="s">
        <v>516</v>
      </c>
      <c r="I615">
        <v>1643.04</v>
      </c>
    </row>
    <row r="616" spans="1:9">
      <c r="A616" s="90" t="s">
        <v>216</v>
      </c>
      <c r="B616" s="87">
        <v>46008</v>
      </c>
      <c r="C616" t="s">
        <v>1076</v>
      </c>
      <c r="D616" t="s">
        <v>477</v>
      </c>
      <c r="E616" t="s">
        <v>1077</v>
      </c>
      <c r="F616" t="s">
        <v>218</v>
      </c>
      <c r="G616" t="s">
        <v>470</v>
      </c>
      <c r="H616" t="s">
        <v>516</v>
      </c>
      <c r="I616">
        <v>2032.5</v>
      </c>
    </row>
    <row r="617" spans="1:9">
      <c r="A617" s="90" t="s">
        <v>216</v>
      </c>
      <c r="B617" s="87">
        <v>46008</v>
      </c>
      <c r="C617" t="s">
        <v>1078</v>
      </c>
      <c r="D617" t="s">
        <v>477</v>
      </c>
      <c r="E617" t="s">
        <v>1079</v>
      </c>
      <c r="F617" t="s">
        <v>218</v>
      </c>
      <c r="G617" t="s">
        <v>470</v>
      </c>
      <c r="H617" t="s">
        <v>516</v>
      </c>
      <c r="I617">
        <v>2667.5</v>
      </c>
    </row>
    <row r="618" spans="1:9">
      <c r="A618" s="90" t="s">
        <v>216</v>
      </c>
      <c r="B618" s="87">
        <v>46008</v>
      </c>
      <c r="C618" t="s">
        <v>517</v>
      </c>
      <c r="D618" t="s">
        <v>512</v>
      </c>
      <c r="E618" t="s">
        <v>1014</v>
      </c>
      <c r="F618" t="s">
        <v>474</v>
      </c>
      <c r="G618" t="s">
        <v>470</v>
      </c>
      <c r="H618" t="s">
        <v>475</v>
      </c>
      <c r="I618">
        <v>134717.24</v>
      </c>
    </row>
    <row r="619" spans="1:9">
      <c r="A619" s="90" t="s">
        <v>216</v>
      </c>
      <c r="B619" s="87">
        <v>46009</v>
      </c>
      <c r="C619" t="s">
        <v>1080</v>
      </c>
      <c r="D619" t="s">
        <v>870</v>
      </c>
      <c r="E619" t="s">
        <v>1081</v>
      </c>
      <c r="F619" t="s">
        <v>490</v>
      </c>
      <c r="G619" t="s">
        <v>470</v>
      </c>
      <c r="H619" t="s">
        <v>475</v>
      </c>
      <c r="I619">
        <v>61832</v>
      </c>
    </row>
    <row r="620" spans="1:9">
      <c r="A620" s="90" t="s">
        <v>216</v>
      </c>
      <c r="B620" s="87">
        <v>46009</v>
      </c>
      <c r="C620" t="s">
        <v>1080</v>
      </c>
      <c r="D620" t="s">
        <v>870</v>
      </c>
      <c r="E620" t="s">
        <v>1081</v>
      </c>
      <c r="F620" t="s">
        <v>490</v>
      </c>
      <c r="G620" t="s">
        <v>470</v>
      </c>
      <c r="H620" t="s">
        <v>475</v>
      </c>
      <c r="I620">
        <v>104</v>
      </c>
    </row>
    <row r="621" spans="1:9">
      <c r="A621" s="90" t="s">
        <v>216</v>
      </c>
      <c r="B621" s="87">
        <v>46009</v>
      </c>
      <c r="C621" t="s">
        <v>517</v>
      </c>
      <c r="D621" t="s">
        <v>512</v>
      </c>
      <c r="E621" t="s">
        <v>1014</v>
      </c>
      <c r="F621" t="s">
        <v>474</v>
      </c>
      <c r="G621" t="s">
        <v>470</v>
      </c>
      <c r="H621" t="s">
        <v>475</v>
      </c>
      <c r="I621">
        <v>300000</v>
      </c>
    </row>
    <row r="622" spans="1:9">
      <c r="A622" s="90" t="s">
        <v>216</v>
      </c>
      <c r="B622" s="87">
        <v>46009</v>
      </c>
      <c r="C622" t="s">
        <v>1082</v>
      </c>
      <c r="D622" t="s">
        <v>881</v>
      </c>
      <c r="E622" t="s">
        <v>279</v>
      </c>
      <c r="F622" t="s">
        <v>490</v>
      </c>
      <c r="G622" t="s">
        <v>470</v>
      </c>
      <c r="H622" t="s">
        <v>516</v>
      </c>
      <c r="I622">
        <v>543911.06000000006</v>
      </c>
    </row>
    <row r="623" spans="1:9">
      <c r="A623" s="90" t="s">
        <v>216</v>
      </c>
      <c r="B623" s="87">
        <v>46009</v>
      </c>
      <c r="C623" t="s">
        <v>511</v>
      </c>
      <c r="D623" t="s">
        <v>512</v>
      </c>
      <c r="E623" t="s">
        <v>1014</v>
      </c>
      <c r="F623" t="s">
        <v>474</v>
      </c>
      <c r="G623" t="s">
        <v>470</v>
      </c>
      <c r="H623" t="s">
        <v>475</v>
      </c>
      <c r="I623">
        <v>5550.64</v>
      </c>
    </row>
    <row r="624" spans="1:9">
      <c r="A624" s="90" t="s">
        <v>216</v>
      </c>
      <c r="B624" s="87">
        <v>46010</v>
      </c>
      <c r="C624" t="s">
        <v>1083</v>
      </c>
      <c r="D624" t="s">
        <v>863</v>
      </c>
      <c r="E624" t="s">
        <v>1084</v>
      </c>
      <c r="F624" t="s">
        <v>490</v>
      </c>
      <c r="G624" t="s">
        <v>470</v>
      </c>
      <c r="H624" t="s">
        <v>487</v>
      </c>
      <c r="I624">
        <v>137445</v>
      </c>
    </row>
    <row r="625" spans="1:9">
      <c r="A625" s="90" t="s">
        <v>216</v>
      </c>
      <c r="B625" s="87">
        <v>46010</v>
      </c>
      <c r="C625" t="s">
        <v>517</v>
      </c>
      <c r="D625" t="s">
        <v>512</v>
      </c>
      <c r="E625" t="s">
        <v>1014</v>
      </c>
      <c r="F625" t="s">
        <v>474</v>
      </c>
      <c r="G625" t="s">
        <v>470</v>
      </c>
      <c r="H625" t="s">
        <v>475</v>
      </c>
      <c r="I625">
        <v>109411.99</v>
      </c>
    </row>
    <row r="626" spans="1:9">
      <c r="A626" s="90" t="s">
        <v>216</v>
      </c>
      <c r="B626" s="87">
        <v>46013</v>
      </c>
      <c r="C626" t="s">
        <v>511</v>
      </c>
      <c r="D626" t="s">
        <v>512</v>
      </c>
      <c r="E626" t="s">
        <v>1014</v>
      </c>
      <c r="F626" t="s">
        <v>474</v>
      </c>
      <c r="G626" t="s">
        <v>470</v>
      </c>
      <c r="H626" t="s">
        <v>475</v>
      </c>
      <c r="I626">
        <v>1863.06</v>
      </c>
    </row>
    <row r="627" spans="1:9">
      <c r="A627" s="90" t="s">
        <v>216</v>
      </c>
      <c r="B627" s="87">
        <v>46014</v>
      </c>
      <c r="C627" t="s">
        <v>1085</v>
      </c>
      <c r="D627" t="s">
        <v>863</v>
      </c>
      <c r="E627" t="s">
        <v>1086</v>
      </c>
      <c r="F627" t="s">
        <v>490</v>
      </c>
      <c r="G627" t="s">
        <v>470</v>
      </c>
      <c r="H627" t="s">
        <v>487</v>
      </c>
      <c r="I627">
        <v>138820</v>
      </c>
    </row>
    <row r="628" spans="1:9">
      <c r="A628" s="90" t="s">
        <v>216</v>
      </c>
      <c r="B628" s="87">
        <v>46014</v>
      </c>
      <c r="C628" t="s">
        <v>517</v>
      </c>
      <c r="D628" t="s">
        <v>512</v>
      </c>
      <c r="E628" t="s">
        <v>1014</v>
      </c>
      <c r="F628" t="s">
        <v>474</v>
      </c>
      <c r="G628" t="s">
        <v>470</v>
      </c>
      <c r="H628" t="s">
        <v>475</v>
      </c>
      <c r="I628">
        <v>117010.47</v>
      </c>
    </row>
    <row r="629" spans="1:9">
      <c r="A629" s="90" t="s">
        <v>216</v>
      </c>
      <c r="B629" s="87">
        <v>46015</v>
      </c>
      <c r="C629" t="s">
        <v>1087</v>
      </c>
      <c r="D629" t="s">
        <v>863</v>
      </c>
      <c r="E629" t="s">
        <v>1088</v>
      </c>
      <c r="F629" t="s">
        <v>490</v>
      </c>
      <c r="G629" t="s">
        <v>470</v>
      </c>
      <c r="H629" t="s">
        <v>487</v>
      </c>
      <c r="I629">
        <v>137555</v>
      </c>
    </row>
    <row r="630" spans="1:9">
      <c r="A630" s="90" t="s">
        <v>216</v>
      </c>
      <c r="B630" s="87">
        <v>46015</v>
      </c>
      <c r="C630" t="s">
        <v>517</v>
      </c>
      <c r="D630" t="s">
        <v>512</v>
      </c>
      <c r="E630" t="s">
        <v>1014</v>
      </c>
      <c r="F630" t="s">
        <v>474</v>
      </c>
      <c r="G630" t="s">
        <v>470</v>
      </c>
      <c r="H630" t="s">
        <v>475</v>
      </c>
      <c r="I630">
        <v>137535</v>
      </c>
    </row>
    <row r="631" spans="1:9">
      <c r="A631" s="90" t="s">
        <v>216</v>
      </c>
      <c r="B631" s="87">
        <v>46017</v>
      </c>
      <c r="C631" t="s">
        <v>511</v>
      </c>
      <c r="D631" t="s">
        <v>512</v>
      </c>
      <c r="E631" t="s">
        <v>1014</v>
      </c>
      <c r="F631" t="s">
        <v>474</v>
      </c>
      <c r="G631" t="s">
        <v>470</v>
      </c>
      <c r="H631" t="s">
        <v>475</v>
      </c>
      <c r="I631">
        <v>62269.64</v>
      </c>
    </row>
    <row r="632" spans="1:9">
      <c r="A632" s="90" t="s">
        <v>216</v>
      </c>
      <c r="B632" s="87">
        <v>46020</v>
      </c>
      <c r="C632" t="s">
        <v>1089</v>
      </c>
      <c r="D632" t="s">
        <v>870</v>
      </c>
      <c r="E632" t="s">
        <v>1090</v>
      </c>
      <c r="F632" t="s">
        <v>490</v>
      </c>
      <c r="G632" t="s">
        <v>470</v>
      </c>
      <c r="H632" t="s">
        <v>475</v>
      </c>
      <c r="I632">
        <v>60443.4</v>
      </c>
    </row>
    <row r="633" spans="1:9">
      <c r="A633" s="90" t="s">
        <v>216</v>
      </c>
      <c r="B633" s="87">
        <v>46020</v>
      </c>
      <c r="C633" t="s">
        <v>511</v>
      </c>
      <c r="D633" t="s">
        <v>512</v>
      </c>
      <c r="E633" t="s">
        <v>1014</v>
      </c>
      <c r="F633" t="s">
        <v>474</v>
      </c>
      <c r="G633" t="s">
        <v>470</v>
      </c>
      <c r="H633" t="s">
        <v>475</v>
      </c>
      <c r="I633">
        <v>13685.11</v>
      </c>
    </row>
    <row r="634" spans="1:9">
      <c r="A634" s="90" t="s">
        <v>216</v>
      </c>
      <c r="B634" s="87">
        <v>46021</v>
      </c>
      <c r="C634" t="s">
        <v>511</v>
      </c>
      <c r="D634" t="s">
        <v>512</v>
      </c>
      <c r="E634" t="s">
        <v>1014</v>
      </c>
      <c r="F634" t="s">
        <v>474</v>
      </c>
      <c r="G634" t="s">
        <v>470</v>
      </c>
      <c r="H634" t="s">
        <v>475</v>
      </c>
      <c r="I634">
        <v>20869.009999999998</v>
      </c>
    </row>
    <row r="635" spans="1:9">
      <c r="A635" s="90" t="s">
        <v>216</v>
      </c>
      <c r="B635" s="87">
        <v>46022</v>
      </c>
      <c r="C635" t="s">
        <v>511</v>
      </c>
      <c r="D635" t="s">
        <v>512</v>
      </c>
      <c r="E635" t="s">
        <v>1014</v>
      </c>
      <c r="F635" t="s">
        <v>474</v>
      </c>
      <c r="G635" t="s">
        <v>470</v>
      </c>
      <c r="H635" t="s">
        <v>475</v>
      </c>
      <c r="I635">
        <v>37946.94</v>
      </c>
    </row>
    <row r="636" spans="1:9">
      <c r="A636" s="90" t="s">
        <v>216</v>
      </c>
      <c r="B636" s="87">
        <v>46022</v>
      </c>
      <c r="C636" t="s">
        <v>526</v>
      </c>
      <c r="D636" t="s">
        <v>512</v>
      </c>
      <c r="E636" t="s">
        <v>1014</v>
      </c>
      <c r="F636" t="s">
        <v>474</v>
      </c>
      <c r="G636" t="s">
        <v>470</v>
      </c>
      <c r="H636" t="s">
        <v>475</v>
      </c>
      <c r="I636">
        <v>0.01</v>
      </c>
    </row>
    <row r="637" spans="1:9">
      <c r="A637" s="90" t="s">
        <v>216</v>
      </c>
      <c r="B637" s="87">
        <v>46022</v>
      </c>
      <c r="C637" t="s">
        <v>1091</v>
      </c>
      <c r="D637" t="s">
        <v>477</v>
      </c>
      <c r="E637" t="s">
        <v>1014</v>
      </c>
      <c r="F637" t="s">
        <v>525</v>
      </c>
      <c r="G637" t="s">
        <v>470</v>
      </c>
      <c r="H637" t="s">
        <v>516</v>
      </c>
      <c r="I637">
        <v>48.07</v>
      </c>
    </row>
    <row r="638" spans="1:9">
      <c r="A638" s="90" t="s">
        <v>216</v>
      </c>
      <c r="B638" s="87">
        <v>46022</v>
      </c>
      <c r="C638" t="s">
        <v>1092</v>
      </c>
      <c r="D638" t="s">
        <v>477</v>
      </c>
      <c r="E638" t="s">
        <v>1014</v>
      </c>
      <c r="F638" t="s">
        <v>525</v>
      </c>
      <c r="G638" t="s">
        <v>470</v>
      </c>
      <c r="H638" t="s">
        <v>516</v>
      </c>
      <c r="I638">
        <v>30538.13</v>
      </c>
    </row>
    <row r="639" spans="1:9">
      <c r="A639" s="90" t="s">
        <v>216</v>
      </c>
      <c r="B639" s="87">
        <v>46022</v>
      </c>
      <c r="C639" t="s">
        <v>524</v>
      </c>
      <c r="D639" t="s">
        <v>477</v>
      </c>
      <c r="E639" t="s">
        <v>1014</v>
      </c>
      <c r="F639" t="s">
        <v>525</v>
      </c>
      <c r="G639" t="s">
        <v>470</v>
      </c>
      <c r="H639" t="s">
        <v>516</v>
      </c>
      <c r="I639">
        <v>907.37</v>
      </c>
    </row>
    <row r="640" spans="1:9">
      <c r="A640" s="90" t="s">
        <v>216</v>
      </c>
      <c r="B640" s="87">
        <v>46024</v>
      </c>
      <c r="C640" t="s">
        <v>507</v>
      </c>
      <c r="D640" t="s">
        <v>508</v>
      </c>
      <c r="E640" t="s">
        <v>1093</v>
      </c>
      <c r="F640" t="s">
        <v>510</v>
      </c>
      <c r="G640" t="s">
        <v>470</v>
      </c>
      <c r="H640" t="s">
        <v>487</v>
      </c>
      <c r="I640">
        <v>10350.049999999999</v>
      </c>
    </row>
    <row r="641" spans="1:9">
      <c r="A641" s="90" t="s">
        <v>216</v>
      </c>
      <c r="B641" s="87">
        <v>46024</v>
      </c>
      <c r="C641" t="s">
        <v>511</v>
      </c>
      <c r="D641" t="s">
        <v>512</v>
      </c>
      <c r="E641" t="s">
        <v>1093</v>
      </c>
      <c r="F641" t="s">
        <v>474</v>
      </c>
      <c r="G641" t="s">
        <v>470</v>
      </c>
      <c r="H641" t="s">
        <v>475</v>
      </c>
      <c r="I641">
        <v>149792.07</v>
      </c>
    </row>
    <row r="642" spans="1:9">
      <c r="A642" s="90" t="s">
        <v>216</v>
      </c>
      <c r="B642" s="87">
        <v>46027</v>
      </c>
      <c r="C642" t="s">
        <v>511</v>
      </c>
      <c r="D642" t="s">
        <v>512</v>
      </c>
      <c r="E642" t="s">
        <v>1093</v>
      </c>
      <c r="F642" t="s">
        <v>474</v>
      </c>
      <c r="G642" t="s">
        <v>470</v>
      </c>
      <c r="H642" t="s">
        <v>475</v>
      </c>
      <c r="I642">
        <v>990.58</v>
      </c>
    </row>
    <row r="643" spans="1:9">
      <c r="A643" s="90" t="s">
        <v>216</v>
      </c>
      <c r="B643" s="87">
        <v>46028</v>
      </c>
      <c r="C643" t="s">
        <v>511</v>
      </c>
      <c r="D643" t="s">
        <v>512</v>
      </c>
      <c r="E643" t="s">
        <v>1093</v>
      </c>
      <c r="F643" t="s">
        <v>474</v>
      </c>
      <c r="G643" t="s">
        <v>470</v>
      </c>
      <c r="H643" t="s">
        <v>475</v>
      </c>
      <c r="I643">
        <v>5981.16</v>
      </c>
    </row>
    <row r="644" spans="1:9">
      <c r="A644" s="90" t="s">
        <v>216</v>
      </c>
      <c r="B644" s="87">
        <v>46029</v>
      </c>
      <c r="C644" t="s">
        <v>511</v>
      </c>
      <c r="D644" t="s">
        <v>512</v>
      </c>
      <c r="E644" t="s">
        <v>1093</v>
      </c>
      <c r="F644" t="s">
        <v>474</v>
      </c>
      <c r="G644" t="s">
        <v>470</v>
      </c>
      <c r="H644" t="s">
        <v>475</v>
      </c>
      <c r="I644">
        <v>188072.54</v>
      </c>
    </row>
    <row r="645" spans="1:9">
      <c r="A645" s="90" t="s">
        <v>216</v>
      </c>
      <c r="B645" s="87">
        <v>46030</v>
      </c>
      <c r="C645" t="s">
        <v>1094</v>
      </c>
      <c r="D645" t="s">
        <v>1016</v>
      </c>
      <c r="E645" t="s">
        <v>1095</v>
      </c>
      <c r="F645" t="s">
        <v>490</v>
      </c>
      <c r="G645" t="s">
        <v>470</v>
      </c>
      <c r="H645" t="s">
        <v>487</v>
      </c>
      <c r="I645">
        <v>57596</v>
      </c>
    </row>
    <row r="646" spans="1:9">
      <c r="A646" s="90" t="s">
        <v>216</v>
      </c>
      <c r="B646" s="87">
        <v>46030</v>
      </c>
      <c r="C646" t="s">
        <v>517</v>
      </c>
      <c r="D646" t="s">
        <v>512</v>
      </c>
      <c r="E646" t="s">
        <v>1093</v>
      </c>
      <c r="F646" t="s">
        <v>474</v>
      </c>
      <c r="G646" t="s">
        <v>470</v>
      </c>
      <c r="H646" t="s">
        <v>475</v>
      </c>
      <c r="I646">
        <v>50575.54</v>
      </c>
    </row>
    <row r="647" spans="1:9">
      <c r="A647" s="90" t="s">
        <v>216</v>
      </c>
      <c r="B647" s="87">
        <v>46031</v>
      </c>
      <c r="C647" t="s">
        <v>511</v>
      </c>
      <c r="D647" t="s">
        <v>512</v>
      </c>
      <c r="E647" t="s">
        <v>1093</v>
      </c>
      <c r="F647" t="s">
        <v>474</v>
      </c>
      <c r="G647" t="s">
        <v>470</v>
      </c>
      <c r="H647" t="s">
        <v>475</v>
      </c>
      <c r="I647">
        <v>196502.7</v>
      </c>
    </row>
    <row r="648" spans="1:9">
      <c r="A648" s="90" t="s">
        <v>216</v>
      </c>
      <c r="B648" s="87">
        <v>46034</v>
      </c>
      <c r="C648" t="s">
        <v>511</v>
      </c>
      <c r="D648" t="s">
        <v>512</v>
      </c>
      <c r="E648" t="s">
        <v>1093</v>
      </c>
      <c r="F648" t="s">
        <v>474</v>
      </c>
      <c r="G648" t="s">
        <v>470</v>
      </c>
      <c r="H648" t="s">
        <v>475</v>
      </c>
      <c r="I648">
        <v>570000</v>
      </c>
    </row>
    <row r="649" spans="1:9">
      <c r="A649" s="90" t="s">
        <v>216</v>
      </c>
      <c r="B649" s="87">
        <v>46034</v>
      </c>
      <c r="C649" t="s">
        <v>511</v>
      </c>
      <c r="D649" t="s">
        <v>512</v>
      </c>
      <c r="E649" t="s">
        <v>1093</v>
      </c>
      <c r="F649" t="s">
        <v>474</v>
      </c>
      <c r="G649" t="s">
        <v>470</v>
      </c>
      <c r="H649" t="s">
        <v>475</v>
      </c>
      <c r="I649">
        <v>6095.62</v>
      </c>
    </row>
    <row r="650" spans="1:9">
      <c r="A650" s="90" t="s">
        <v>216</v>
      </c>
      <c r="B650" s="87">
        <v>46035</v>
      </c>
      <c r="C650" t="s">
        <v>1096</v>
      </c>
      <c r="D650" t="s">
        <v>1016</v>
      </c>
      <c r="E650" t="s">
        <v>1097</v>
      </c>
      <c r="F650" t="s">
        <v>490</v>
      </c>
      <c r="G650" t="s">
        <v>470</v>
      </c>
      <c r="H650" t="s">
        <v>487</v>
      </c>
      <c r="I650">
        <v>57024</v>
      </c>
    </row>
    <row r="651" spans="1:9">
      <c r="A651" s="90" t="s">
        <v>216</v>
      </c>
      <c r="B651" s="87">
        <v>46035</v>
      </c>
      <c r="C651" t="s">
        <v>1096</v>
      </c>
      <c r="D651" t="s">
        <v>1016</v>
      </c>
      <c r="E651" t="s">
        <v>1097</v>
      </c>
      <c r="F651" t="s">
        <v>490</v>
      </c>
      <c r="G651" t="s">
        <v>470</v>
      </c>
      <c r="H651" t="s">
        <v>487</v>
      </c>
      <c r="I651">
        <v>88</v>
      </c>
    </row>
    <row r="652" spans="1:9">
      <c r="A652" s="90" t="s">
        <v>216</v>
      </c>
      <c r="B652" s="87">
        <v>46035</v>
      </c>
      <c r="C652" t="s">
        <v>1098</v>
      </c>
      <c r="D652" t="s">
        <v>1016</v>
      </c>
      <c r="E652" t="s">
        <v>1099</v>
      </c>
      <c r="F652" t="s">
        <v>490</v>
      </c>
      <c r="G652" t="s">
        <v>470</v>
      </c>
      <c r="H652" t="s">
        <v>487</v>
      </c>
      <c r="I652">
        <v>55242</v>
      </c>
    </row>
    <row r="653" spans="1:9">
      <c r="A653" s="90" t="s">
        <v>216</v>
      </c>
      <c r="B653" s="87">
        <v>46035</v>
      </c>
      <c r="C653" t="s">
        <v>1098</v>
      </c>
      <c r="D653" t="s">
        <v>1016</v>
      </c>
      <c r="E653" t="s">
        <v>1099</v>
      </c>
      <c r="F653" t="s">
        <v>490</v>
      </c>
      <c r="G653" t="s">
        <v>470</v>
      </c>
      <c r="H653" t="s">
        <v>487</v>
      </c>
      <c r="I653">
        <v>132</v>
      </c>
    </row>
    <row r="654" spans="1:9">
      <c r="A654" s="90" t="s">
        <v>216</v>
      </c>
      <c r="B654" s="87">
        <v>46035</v>
      </c>
      <c r="C654" t="s">
        <v>1100</v>
      </c>
      <c r="D654" t="s">
        <v>1016</v>
      </c>
      <c r="E654" t="s">
        <v>1101</v>
      </c>
      <c r="F654" t="s">
        <v>490</v>
      </c>
      <c r="G654" t="s">
        <v>470</v>
      </c>
      <c r="H654" t="s">
        <v>487</v>
      </c>
      <c r="I654">
        <v>57134</v>
      </c>
    </row>
    <row r="655" spans="1:9">
      <c r="A655" s="90" t="s">
        <v>216</v>
      </c>
      <c r="B655" s="87">
        <v>46035</v>
      </c>
      <c r="C655" t="s">
        <v>517</v>
      </c>
      <c r="D655" t="s">
        <v>512</v>
      </c>
      <c r="E655" t="s">
        <v>1093</v>
      </c>
      <c r="F655" t="s">
        <v>474</v>
      </c>
      <c r="G655" t="s">
        <v>470</v>
      </c>
      <c r="H655" t="s">
        <v>475</v>
      </c>
      <c r="I655">
        <v>76945.240000000005</v>
      </c>
    </row>
    <row r="656" spans="1:9">
      <c r="A656" s="90" t="s">
        <v>216</v>
      </c>
      <c r="B656" s="87">
        <v>46036</v>
      </c>
      <c r="C656" t="s">
        <v>1102</v>
      </c>
      <c r="D656" t="s">
        <v>1016</v>
      </c>
      <c r="E656" t="s">
        <v>1103</v>
      </c>
      <c r="F656" t="s">
        <v>490</v>
      </c>
      <c r="G656" t="s">
        <v>470</v>
      </c>
      <c r="H656" t="s">
        <v>487</v>
      </c>
      <c r="I656">
        <v>56936</v>
      </c>
    </row>
    <row r="657" spans="1:9">
      <c r="A657" s="90" t="s">
        <v>216</v>
      </c>
      <c r="B657" s="87">
        <v>46036</v>
      </c>
      <c r="C657" t="s">
        <v>1102</v>
      </c>
      <c r="D657" t="s">
        <v>1016</v>
      </c>
      <c r="E657" t="s">
        <v>1103</v>
      </c>
      <c r="F657" t="s">
        <v>490</v>
      </c>
      <c r="G657" t="s">
        <v>470</v>
      </c>
      <c r="H657" t="s">
        <v>487</v>
      </c>
      <c r="I657">
        <v>220</v>
      </c>
    </row>
    <row r="658" spans="1:9">
      <c r="A658" s="90" t="s">
        <v>216</v>
      </c>
      <c r="B658" s="87">
        <v>46036</v>
      </c>
      <c r="C658" t="s">
        <v>1104</v>
      </c>
      <c r="D658" t="s">
        <v>1016</v>
      </c>
      <c r="E658" t="s">
        <v>1105</v>
      </c>
      <c r="F658" t="s">
        <v>490</v>
      </c>
      <c r="G658" t="s">
        <v>470</v>
      </c>
      <c r="H658" t="s">
        <v>487</v>
      </c>
      <c r="I658">
        <v>55132</v>
      </c>
    </row>
    <row r="659" spans="1:9">
      <c r="A659" s="90" t="s">
        <v>216</v>
      </c>
      <c r="B659" s="87">
        <v>46036</v>
      </c>
      <c r="C659" t="s">
        <v>517</v>
      </c>
      <c r="D659" t="s">
        <v>512</v>
      </c>
      <c r="E659" t="s">
        <v>1093</v>
      </c>
      <c r="F659" t="s">
        <v>474</v>
      </c>
      <c r="G659" t="s">
        <v>470</v>
      </c>
      <c r="H659" t="s">
        <v>475</v>
      </c>
      <c r="I659">
        <v>83474.78</v>
      </c>
    </row>
    <row r="660" spans="1:9">
      <c r="A660" s="90" t="s">
        <v>216</v>
      </c>
      <c r="B660" s="87">
        <v>46037</v>
      </c>
      <c r="C660" t="s">
        <v>511</v>
      </c>
      <c r="D660" t="s">
        <v>512</v>
      </c>
      <c r="E660" t="s">
        <v>1093</v>
      </c>
      <c r="F660" t="s">
        <v>474</v>
      </c>
      <c r="G660" t="s">
        <v>470</v>
      </c>
      <c r="H660" t="s">
        <v>475</v>
      </c>
      <c r="I660">
        <v>9785.83</v>
      </c>
    </row>
    <row r="661" spans="1:9">
      <c r="A661" s="90" t="s">
        <v>216</v>
      </c>
      <c r="B661" s="87">
        <v>46038</v>
      </c>
      <c r="C661" t="s">
        <v>511</v>
      </c>
      <c r="D661" t="s">
        <v>512</v>
      </c>
      <c r="E661" t="s">
        <v>1093</v>
      </c>
      <c r="F661" t="s">
        <v>474</v>
      </c>
      <c r="G661" t="s">
        <v>470</v>
      </c>
      <c r="H661" t="s">
        <v>475</v>
      </c>
      <c r="I661">
        <v>162448.74</v>
      </c>
    </row>
    <row r="662" spans="1:9">
      <c r="A662" s="90" t="s">
        <v>216</v>
      </c>
      <c r="B662" s="87">
        <v>46041</v>
      </c>
      <c r="C662" t="s">
        <v>1106</v>
      </c>
      <c r="D662" t="s">
        <v>870</v>
      </c>
      <c r="E662" t="s">
        <v>1107</v>
      </c>
      <c r="F662" t="s">
        <v>490</v>
      </c>
      <c r="G662" t="s">
        <v>470</v>
      </c>
      <c r="H662" t="s">
        <v>475</v>
      </c>
      <c r="I662">
        <v>53067</v>
      </c>
    </row>
    <row r="663" spans="1:9">
      <c r="A663" s="90" t="s">
        <v>216</v>
      </c>
      <c r="B663" s="87">
        <v>46041</v>
      </c>
      <c r="C663" t="s">
        <v>1106</v>
      </c>
      <c r="D663" t="s">
        <v>870</v>
      </c>
      <c r="E663" t="s">
        <v>1107</v>
      </c>
      <c r="F663" t="s">
        <v>490</v>
      </c>
      <c r="G663" t="s">
        <v>470</v>
      </c>
      <c r="H663" t="s">
        <v>475</v>
      </c>
      <c r="I663">
        <v>79.8</v>
      </c>
    </row>
    <row r="664" spans="1:9">
      <c r="A664" s="90" t="s">
        <v>216</v>
      </c>
      <c r="B664" s="87">
        <v>46041</v>
      </c>
      <c r="C664" t="s">
        <v>1108</v>
      </c>
      <c r="D664" t="s">
        <v>535</v>
      </c>
      <c r="E664" t="s">
        <v>1093</v>
      </c>
      <c r="F664" t="s">
        <v>537</v>
      </c>
      <c r="G664" t="s">
        <v>470</v>
      </c>
      <c r="H664" t="s">
        <v>475</v>
      </c>
      <c r="I664">
        <v>60000</v>
      </c>
    </row>
    <row r="665" spans="1:9">
      <c r="A665" s="90" t="s">
        <v>216</v>
      </c>
      <c r="B665" s="87">
        <v>46041</v>
      </c>
      <c r="C665" t="s">
        <v>517</v>
      </c>
      <c r="D665" t="s">
        <v>512</v>
      </c>
      <c r="E665" t="s">
        <v>1093</v>
      </c>
      <c r="F665" t="s">
        <v>474</v>
      </c>
      <c r="G665" t="s">
        <v>470</v>
      </c>
      <c r="H665" t="s">
        <v>475</v>
      </c>
      <c r="I665">
        <v>77451.490000000005</v>
      </c>
    </row>
    <row r="666" spans="1:9">
      <c r="A666" s="90" t="s">
        <v>216</v>
      </c>
      <c r="B666" s="87">
        <v>46042</v>
      </c>
      <c r="C666" t="s">
        <v>1109</v>
      </c>
      <c r="D666" t="s">
        <v>1016</v>
      </c>
      <c r="E666" t="s">
        <v>1110</v>
      </c>
      <c r="F666" t="s">
        <v>490</v>
      </c>
      <c r="G666" t="s">
        <v>470</v>
      </c>
      <c r="H666" t="s">
        <v>475</v>
      </c>
      <c r="I666">
        <v>55902</v>
      </c>
    </row>
    <row r="667" spans="1:9">
      <c r="A667" s="90" t="s">
        <v>216</v>
      </c>
      <c r="B667" s="87">
        <v>46042</v>
      </c>
      <c r="C667" t="s">
        <v>1111</v>
      </c>
      <c r="D667" t="s">
        <v>477</v>
      </c>
      <c r="E667" t="s">
        <v>1112</v>
      </c>
      <c r="F667" t="s">
        <v>218</v>
      </c>
      <c r="G667" t="s">
        <v>470</v>
      </c>
      <c r="H667" t="s">
        <v>516</v>
      </c>
      <c r="I667">
        <v>5705</v>
      </c>
    </row>
    <row r="668" spans="1:9">
      <c r="A668" s="90" t="s">
        <v>216</v>
      </c>
      <c r="B668" s="87">
        <v>46042</v>
      </c>
      <c r="C668" t="s">
        <v>517</v>
      </c>
      <c r="D668" t="s">
        <v>512</v>
      </c>
      <c r="E668" t="s">
        <v>1093</v>
      </c>
      <c r="F668" t="s">
        <v>474</v>
      </c>
      <c r="G668" t="s">
        <v>470</v>
      </c>
      <c r="H668" t="s">
        <v>475</v>
      </c>
      <c r="I668">
        <v>51072.14</v>
      </c>
    </row>
    <row r="669" spans="1:9">
      <c r="A669" s="90" t="s">
        <v>216</v>
      </c>
      <c r="B669" s="87">
        <v>46043</v>
      </c>
      <c r="C669" t="s">
        <v>541</v>
      </c>
      <c r="D669" t="s">
        <v>542</v>
      </c>
      <c r="E669" t="s">
        <v>543</v>
      </c>
      <c r="F669" t="s">
        <v>490</v>
      </c>
      <c r="G669" t="s">
        <v>470</v>
      </c>
      <c r="H669" t="s">
        <v>475</v>
      </c>
      <c r="I669">
        <v>4878.3</v>
      </c>
    </row>
    <row r="670" spans="1:9">
      <c r="A670" s="90" t="s">
        <v>216</v>
      </c>
      <c r="B670" s="87">
        <v>46043</v>
      </c>
      <c r="C670" t="s">
        <v>563</v>
      </c>
      <c r="D670" t="s">
        <v>512</v>
      </c>
      <c r="E670" t="s">
        <v>1093</v>
      </c>
      <c r="F670" t="s">
        <v>474</v>
      </c>
      <c r="G670" t="s">
        <v>470</v>
      </c>
      <c r="H670" t="s">
        <v>475</v>
      </c>
      <c r="I670">
        <v>86198.1</v>
      </c>
    </row>
    <row r="671" spans="1:9">
      <c r="A671" s="90" t="s">
        <v>216</v>
      </c>
      <c r="B671" s="87">
        <v>46044</v>
      </c>
      <c r="C671" t="s">
        <v>1113</v>
      </c>
      <c r="D671" t="s">
        <v>870</v>
      </c>
      <c r="E671" t="s">
        <v>1114</v>
      </c>
      <c r="F671" t="s">
        <v>490</v>
      </c>
      <c r="G671" t="s">
        <v>470</v>
      </c>
      <c r="H671" t="s">
        <v>475</v>
      </c>
      <c r="I671">
        <v>54796</v>
      </c>
    </row>
    <row r="672" spans="1:9">
      <c r="A672" s="90" t="s">
        <v>216</v>
      </c>
      <c r="B672" s="87">
        <v>46044</v>
      </c>
      <c r="C672" t="s">
        <v>1113</v>
      </c>
      <c r="D672" t="s">
        <v>870</v>
      </c>
      <c r="E672" t="s">
        <v>1114</v>
      </c>
      <c r="F672" t="s">
        <v>490</v>
      </c>
      <c r="G672" t="s">
        <v>470</v>
      </c>
      <c r="H672" t="s">
        <v>475</v>
      </c>
      <c r="I672">
        <v>133</v>
      </c>
    </row>
    <row r="673" spans="1:9">
      <c r="A673" s="90" t="s">
        <v>216</v>
      </c>
      <c r="B673" s="87">
        <v>46044</v>
      </c>
      <c r="C673" t="s">
        <v>1115</v>
      </c>
      <c r="D673" t="s">
        <v>870</v>
      </c>
      <c r="E673" t="s">
        <v>1116</v>
      </c>
      <c r="F673" t="s">
        <v>490</v>
      </c>
      <c r="G673" t="s">
        <v>470</v>
      </c>
      <c r="H673" t="s">
        <v>475</v>
      </c>
      <c r="I673">
        <v>48678</v>
      </c>
    </row>
    <row r="674" spans="1:9">
      <c r="A674" s="90" t="s">
        <v>216</v>
      </c>
      <c r="B674" s="87">
        <v>46044</v>
      </c>
      <c r="C674" t="s">
        <v>517</v>
      </c>
      <c r="D674" t="s">
        <v>512</v>
      </c>
      <c r="E674" t="s">
        <v>1093</v>
      </c>
      <c r="F674" t="s">
        <v>474</v>
      </c>
      <c r="G674" t="s">
        <v>470</v>
      </c>
      <c r="H674" t="s">
        <v>475</v>
      </c>
      <c r="I674">
        <v>103357</v>
      </c>
    </row>
    <row r="675" spans="1:9">
      <c r="A675" s="90" t="s">
        <v>216</v>
      </c>
      <c r="B675" s="87">
        <v>46045</v>
      </c>
      <c r="C675" t="s">
        <v>511</v>
      </c>
      <c r="D675" t="s">
        <v>512</v>
      </c>
      <c r="E675" t="s">
        <v>1093</v>
      </c>
      <c r="F675" t="s">
        <v>474</v>
      </c>
      <c r="G675" t="s">
        <v>470</v>
      </c>
      <c r="H675" t="s">
        <v>475</v>
      </c>
      <c r="I675">
        <v>50112.4</v>
      </c>
    </row>
    <row r="676" spans="1:9">
      <c r="A676" s="90" t="s">
        <v>216</v>
      </c>
      <c r="B676" s="87">
        <v>46048</v>
      </c>
      <c r="C676" t="s">
        <v>511</v>
      </c>
      <c r="D676" t="s">
        <v>512</v>
      </c>
      <c r="E676" t="s">
        <v>1093</v>
      </c>
      <c r="F676" t="s">
        <v>474</v>
      </c>
      <c r="G676" t="s">
        <v>470</v>
      </c>
      <c r="H676" t="s">
        <v>475</v>
      </c>
      <c r="I676">
        <v>39230.080000000002</v>
      </c>
    </row>
    <row r="677" spans="1:9">
      <c r="A677" s="90" t="s">
        <v>216</v>
      </c>
      <c r="B677" s="87">
        <v>46049</v>
      </c>
      <c r="C677" t="s">
        <v>511</v>
      </c>
      <c r="D677" t="s">
        <v>512</v>
      </c>
      <c r="E677" t="s">
        <v>1093</v>
      </c>
      <c r="F677" t="s">
        <v>474</v>
      </c>
      <c r="G677" t="s">
        <v>470</v>
      </c>
      <c r="H677" t="s">
        <v>475</v>
      </c>
      <c r="I677">
        <v>9009.6</v>
      </c>
    </row>
    <row r="678" spans="1:9">
      <c r="A678" s="90" t="s">
        <v>216</v>
      </c>
      <c r="B678" s="87">
        <v>46050</v>
      </c>
      <c r="C678" t="s">
        <v>1108</v>
      </c>
      <c r="D678" t="s">
        <v>535</v>
      </c>
      <c r="E678" t="s">
        <v>1093</v>
      </c>
      <c r="F678" t="s">
        <v>537</v>
      </c>
      <c r="G678" t="s">
        <v>470</v>
      </c>
      <c r="H678" t="s">
        <v>475</v>
      </c>
      <c r="I678">
        <v>50000</v>
      </c>
    </row>
    <row r="679" spans="1:9">
      <c r="A679" s="90" t="s">
        <v>216</v>
      </c>
      <c r="B679" s="87">
        <v>46050</v>
      </c>
      <c r="C679" t="s">
        <v>517</v>
      </c>
      <c r="D679" t="s">
        <v>512</v>
      </c>
      <c r="E679" t="s">
        <v>1093</v>
      </c>
      <c r="F679" t="s">
        <v>474</v>
      </c>
      <c r="G679" t="s">
        <v>470</v>
      </c>
      <c r="H679" t="s">
        <v>475</v>
      </c>
      <c r="I679">
        <v>46871.519999999997</v>
      </c>
    </row>
    <row r="680" spans="1:9">
      <c r="A680" s="90" t="s">
        <v>216</v>
      </c>
      <c r="B680" s="87">
        <v>46052</v>
      </c>
      <c r="C680" t="s">
        <v>511</v>
      </c>
      <c r="D680" t="s">
        <v>512</v>
      </c>
      <c r="E680" t="s">
        <v>1093</v>
      </c>
      <c r="F680" t="s">
        <v>474</v>
      </c>
      <c r="G680" t="s">
        <v>470</v>
      </c>
      <c r="H680" t="s">
        <v>475</v>
      </c>
      <c r="I680">
        <v>12071.04</v>
      </c>
    </row>
    <row r="681" spans="1:9">
      <c r="A681" s="90" t="s">
        <v>216</v>
      </c>
      <c r="B681" s="87">
        <v>46052</v>
      </c>
      <c r="C681" t="s">
        <v>524</v>
      </c>
      <c r="D681" t="s">
        <v>477</v>
      </c>
      <c r="E681" t="s">
        <v>1093</v>
      </c>
      <c r="F681" t="s">
        <v>1117</v>
      </c>
      <c r="G681" t="s">
        <v>470</v>
      </c>
      <c r="H681" t="s">
        <v>516</v>
      </c>
      <c r="I681">
        <v>46.38</v>
      </c>
    </row>
    <row r="682" spans="1:9">
      <c r="A682" s="90" t="s">
        <v>216</v>
      </c>
      <c r="B682" s="87">
        <v>46052</v>
      </c>
      <c r="C682" t="s">
        <v>1118</v>
      </c>
      <c r="D682" t="s">
        <v>477</v>
      </c>
      <c r="E682" t="s">
        <v>1093</v>
      </c>
      <c r="F682" t="s">
        <v>1117</v>
      </c>
      <c r="G682" t="s">
        <v>470</v>
      </c>
      <c r="H682" t="s">
        <v>516</v>
      </c>
      <c r="I682">
        <v>33740.75</v>
      </c>
    </row>
    <row r="683" spans="1:9">
      <c r="A683" s="90" t="s">
        <v>216</v>
      </c>
      <c r="B683" s="87">
        <v>46052</v>
      </c>
      <c r="C683" t="s">
        <v>524</v>
      </c>
      <c r="D683" t="s">
        <v>477</v>
      </c>
      <c r="E683" t="s">
        <v>1093</v>
      </c>
      <c r="F683" t="s">
        <v>1117</v>
      </c>
      <c r="G683" t="s">
        <v>470</v>
      </c>
      <c r="H683" t="s">
        <v>801</v>
      </c>
      <c r="I683">
        <v>285.07</v>
      </c>
    </row>
    <row r="684" spans="1:9">
      <c r="A684" s="90" t="s">
        <v>216</v>
      </c>
      <c r="B684" s="87">
        <v>46055</v>
      </c>
      <c r="C684" t="s">
        <v>1119</v>
      </c>
      <c r="D684" t="s">
        <v>1120</v>
      </c>
      <c r="E684" t="s">
        <v>527</v>
      </c>
      <c r="F684" t="s">
        <v>486</v>
      </c>
      <c r="G684" t="s">
        <v>470</v>
      </c>
      <c r="H684" t="s">
        <v>487</v>
      </c>
      <c r="I684">
        <v>765</v>
      </c>
    </row>
    <row r="685" spans="1:9">
      <c r="A685" s="90" t="s">
        <v>216</v>
      </c>
      <c r="B685" s="87">
        <v>46055</v>
      </c>
      <c r="C685" t="s">
        <v>511</v>
      </c>
      <c r="D685" t="s">
        <v>512</v>
      </c>
      <c r="E685" t="s">
        <v>1121</v>
      </c>
      <c r="F685" t="s">
        <v>474</v>
      </c>
      <c r="G685" t="s">
        <v>470</v>
      </c>
      <c r="H685" t="s">
        <v>475</v>
      </c>
      <c r="I685">
        <v>93000</v>
      </c>
    </row>
    <row r="686" spans="1:9">
      <c r="A686" s="90" t="s">
        <v>216</v>
      </c>
      <c r="B686" s="87">
        <v>46055</v>
      </c>
      <c r="C686" t="s">
        <v>507</v>
      </c>
      <c r="D686" t="s">
        <v>508</v>
      </c>
      <c r="E686" t="s">
        <v>1121</v>
      </c>
      <c r="F686" t="s">
        <v>510</v>
      </c>
      <c r="G686" t="s">
        <v>470</v>
      </c>
      <c r="H686" t="s">
        <v>487</v>
      </c>
      <c r="I686">
        <v>10378.31</v>
      </c>
    </row>
    <row r="687" spans="1:9">
      <c r="A687" s="90" t="s">
        <v>216</v>
      </c>
      <c r="B687" s="87">
        <v>46055</v>
      </c>
      <c r="C687" t="s">
        <v>511</v>
      </c>
      <c r="D687" t="s">
        <v>512</v>
      </c>
      <c r="E687" t="s">
        <v>1122</v>
      </c>
      <c r="F687" t="s">
        <v>474</v>
      </c>
      <c r="G687" t="s">
        <v>470</v>
      </c>
      <c r="H687" t="s">
        <v>475</v>
      </c>
      <c r="I687">
        <v>152553.37</v>
      </c>
    </row>
    <row r="688" spans="1:9">
      <c r="A688" s="90" t="s">
        <v>216</v>
      </c>
      <c r="B688" s="87">
        <v>46056</v>
      </c>
      <c r="C688" t="s">
        <v>511</v>
      </c>
      <c r="D688" t="s">
        <v>512</v>
      </c>
      <c r="E688" t="s">
        <v>1123</v>
      </c>
      <c r="F688" t="s">
        <v>474</v>
      </c>
      <c r="G688" t="s">
        <v>470</v>
      </c>
      <c r="H688" t="s">
        <v>475</v>
      </c>
      <c r="I688">
        <v>10076.629999999999</v>
      </c>
    </row>
    <row r="689" spans="1:9">
      <c r="A689" s="90" t="s">
        <v>216</v>
      </c>
      <c r="B689" s="87">
        <v>46057</v>
      </c>
      <c r="C689" t="s">
        <v>511</v>
      </c>
      <c r="D689" t="s">
        <v>512</v>
      </c>
      <c r="E689" t="s">
        <v>1122</v>
      </c>
      <c r="F689" t="s">
        <v>474</v>
      </c>
      <c r="G689" t="s">
        <v>470</v>
      </c>
      <c r="H689" t="s">
        <v>475</v>
      </c>
      <c r="I689">
        <v>12591.03</v>
      </c>
    </row>
    <row r="690" spans="1:9">
      <c r="A690" s="90" t="s">
        <v>216</v>
      </c>
      <c r="B690" s="87">
        <v>46057</v>
      </c>
      <c r="C690" t="s">
        <v>511</v>
      </c>
      <c r="D690" t="s">
        <v>512</v>
      </c>
      <c r="E690" t="s">
        <v>1122</v>
      </c>
      <c r="F690" t="s">
        <v>474</v>
      </c>
      <c r="G690" t="s">
        <v>470</v>
      </c>
      <c r="H690" t="s">
        <v>475</v>
      </c>
      <c r="I690">
        <v>60000</v>
      </c>
    </row>
    <row r="691" spans="1:9">
      <c r="A691" s="90" t="s">
        <v>216</v>
      </c>
      <c r="B691" s="87">
        <v>46058</v>
      </c>
      <c r="C691" t="s">
        <v>1124</v>
      </c>
      <c r="D691" t="s">
        <v>512</v>
      </c>
      <c r="E691" t="s">
        <v>1122</v>
      </c>
      <c r="F691" t="s">
        <v>474</v>
      </c>
      <c r="G691" t="s">
        <v>470</v>
      </c>
      <c r="H691" t="s">
        <v>475</v>
      </c>
      <c r="I691">
        <v>186307.1</v>
      </c>
    </row>
    <row r="692" spans="1:9">
      <c r="A692" s="90" t="s">
        <v>216</v>
      </c>
      <c r="B692" s="87">
        <v>46059</v>
      </c>
      <c r="C692" t="s">
        <v>511</v>
      </c>
      <c r="D692" t="s">
        <v>512</v>
      </c>
      <c r="E692" t="s">
        <v>1122</v>
      </c>
      <c r="F692" t="s">
        <v>474</v>
      </c>
      <c r="G692" t="s">
        <v>470</v>
      </c>
      <c r="H692" t="s">
        <v>475</v>
      </c>
      <c r="I692">
        <v>1000000</v>
      </c>
    </row>
    <row r="693" spans="1:9">
      <c r="A693" s="90" t="s">
        <v>216</v>
      </c>
      <c r="B693" s="87">
        <v>46059</v>
      </c>
      <c r="C693" t="s">
        <v>511</v>
      </c>
      <c r="D693" t="s">
        <v>512</v>
      </c>
      <c r="E693" t="s">
        <v>1122</v>
      </c>
      <c r="F693" t="s">
        <v>474</v>
      </c>
      <c r="G693" t="s">
        <v>470</v>
      </c>
      <c r="H693" t="s">
        <v>475</v>
      </c>
      <c r="I693">
        <v>29449.279999999999</v>
      </c>
    </row>
    <row r="694" spans="1:9">
      <c r="A694" s="90" t="s">
        <v>216</v>
      </c>
      <c r="B694" s="87">
        <v>46062</v>
      </c>
      <c r="C694" t="s">
        <v>511</v>
      </c>
      <c r="D694" t="s">
        <v>512</v>
      </c>
      <c r="E694" t="s">
        <v>1122</v>
      </c>
      <c r="F694" t="s">
        <v>474</v>
      </c>
      <c r="G694" t="s">
        <v>470</v>
      </c>
      <c r="H694" t="s">
        <v>475</v>
      </c>
      <c r="I694">
        <v>19030.939999999999</v>
      </c>
    </row>
    <row r="695" spans="1:9">
      <c r="A695" s="90" t="s">
        <v>216</v>
      </c>
      <c r="B695" s="87">
        <v>46063</v>
      </c>
      <c r="C695" t="s">
        <v>1125</v>
      </c>
      <c r="D695" t="s">
        <v>870</v>
      </c>
      <c r="E695" t="s">
        <v>1126</v>
      </c>
      <c r="F695" t="s">
        <v>490</v>
      </c>
      <c r="G695" t="s">
        <v>470</v>
      </c>
      <c r="H695" t="s">
        <v>475</v>
      </c>
      <c r="I695">
        <v>49502.6</v>
      </c>
    </row>
    <row r="696" spans="1:9">
      <c r="A696" s="90" t="s">
        <v>216</v>
      </c>
      <c r="B696" s="87">
        <v>46063</v>
      </c>
      <c r="C696" t="s">
        <v>1125</v>
      </c>
      <c r="D696" t="s">
        <v>870</v>
      </c>
      <c r="E696" t="s">
        <v>1126</v>
      </c>
      <c r="F696" t="s">
        <v>490</v>
      </c>
      <c r="G696" t="s">
        <v>470</v>
      </c>
      <c r="H696" t="s">
        <v>475</v>
      </c>
      <c r="I696">
        <v>26.6</v>
      </c>
    </row>
    <row r="697" spans="1:9">
      <c r="A697" s="90" t="s">
        <v>216</v>
      </c>
      <c r="B697" s="87">
        <v>46063</v>
      </c>
      <c r="C697" t="s">
        <v>511</v>
      </c>
      <c r="D697" t="s">
        <v>512</v>
      </c>
      <c r="E697" t="s">
        <v>1121</v>
      </c>
      <c r="F697" t="s">
        <v>474</v>
      </c>
      <c r="G697" t="s">
        <v>470</v>
      </c>
      <c r="H697" t="s">
        <v>475</v>
      </c>
      <c r="I697">
        <v>84144.87</v>
      </c>
    </row>
    <row r="698" spans="1:9">
      <c r="A698" s="90" t="s">
        <v>216</v>
      </c>
      <c r="B698" s="87">
        <v>46063</v>
      </c>
      <c r="C698" t="s">
        <v>511</v>
      </c>
      <c r="D698" t="s">
        <v>512</v>
      </c>
      <c r="E698" t="s">
        <v>1121</v>
      </c>
      <c r="F698" t="s">
        <v>474</v>
      </c>
      <c r="G698" t="s">
        <v>470</v>
      </c>
      <c r="H698" t="s">
        <v>475</v>
      </c>
      <c r="I698">
        <v>35640.239999999998</v>
      </c>
    </row>
    <row r="699" spans="1:9">
      <c r="A699" s="90" t="s">
        <v>216</v>
      </c>
      <c r="B699" s="87">
        <v>46064</v>
      </c>
      <c r="C699" t="s">
        <v>511</v>
      </c>
      <c r="D699" t="s">
        <v>512</v>
      </c>
      <c r="E699" t="s">
        <v>1121</v>
      </c>
      <c r="F699" t="s">
        <v>474</v>
      </c>
      <c r="G699" t="s">
        <v>470</v>
      </c>
      <c r="H699" t="s">
        <v>475</v>
      </c>
      <c r="I699">
        <v>46916</v>
      </c>
    </row>
    <row r="700" spans="1:9">
      <c r="A700" s="90" t="s">
        <v>216</v>
      </c>
      <c r="B700" s="87">
        <v>46065</v>
      </c>
      <c r="C700" t="s">
        <v>511</v>
      </c>
      <c r="D700" t="s">
        <v>512</v>
      </c>
      <c r="E700" t="s">
        <v>1121</v>
      </c>
      <c r="F700" t="s">
        <v>474</v>
      </c>
      <c r="G700" t="s">
        <v>470</v>
      </c>
      <c r="H700" t="s">
        <v>475</v>
      </c>
      <c r="I700">
        <v>38520.75</v>
      </c>
    </row>
    <row r="701" spans="1:9">
      <c r="A701" s="90" t="s">
        <v>216</v>
      </c>
      <c r="B701" s="87">
        <v>46066</v>
      </c>
      <c r="C701" t="s">
        <v>1124</v>
      </c>
      <c r="D701" t="s">
        <v>512</v>
      </c>
      <c r="E701" t="s">
        <v>1121</v>
      </c>
      <c r="F701" t="s">
        <v>474</v>
      </c>
      <c r="G701" t="s">
        <v>470</v>
      </c>
      <c r="H701" t="s">
        <v>475</v>
      </c>
      <c r="I701">
        <v>815260.66</v>
      </c>
    </row>
    <row r="702" spans="1:9">
      <c r="A702" s="90" t="s">
        <v>216</v>
      </c>
      <c r="B702" s="87">
        <v>46066</v>
      </c>
      <c r="C702" t="s">
        <v>511</v>
      </c>
      <c r="D702" t="s">
        <v>512</v>
      </c>
      <c r="E702" t="s">
        <v>1121</v>
      </c>
      <c r="F702" t="s">
        <v>474</v>
      </c>
      <c r="G702" t="s">
        <v>470</v>
      </c>
      <c r="H702" t="s">
        <v>475</v>
      </c>
      <c r="I702">
        <v>400000</v>
      </c>
    </row>
    <row r="703" spans="1:9">
      <c r="A703" s="90" t="s">
        <v>216</v>
      </c>
      <c r="B703" s="87">
        <v>46071</v>
      </c>
      <c r="C703" t="s">
        <v>1127</v>
      </c>
      <c r="D703" t="s">
        <v>493</v>
      </c>
      <c r="E703" t="s">
        <v>318</v>
      </c>
      <c r="F703" t="s">
        <v>486</v>
      </c>
      <c r="G703" t="s">
        <v>470</v>
      </c>
      <c r="H703" t="s">
        <v>475</v>
      </c>
      <c r="I703">
        <v>19571.97</v>
      </c>
    </row>
    <row r="704" spans="1:9">
      <c r="A704" s="90" t="s">
        <v>216</v>
      </c>
      <c r="B704" s="87">
        <v>46071</v>
      </c>
      <c r="C704" t="s">
        <v>511</v>
      </c>
      <c r="D704" t="s">
        <v>512</v>
      </c>
      <c r="E704" t="s">
        <v>1121</v>
      </c>
      <c r="F704" t="s">
        <v>474</v>
      </c>
      <c r="G704" t="s">
        <v>470</v>
      </c>
      <c r="H704" t="s">
        <v>475</v>
      </c>
      <c r="I704">
        <v>370976.41</v>
      </c>
    </row>
    <row r="705" spans="1:9">
      <c r="A705" s="90" t="s">
        <v>216</v>
      </c>
      <c r="B705" s="87">
        <v>46072</v>
      </c>
      <c r="C705" t="s">
        <v>1128</v>
      </c>
      <c r="D705" t="s">
        <v>1129</v>
      </c>
      <c r="E705" t="s">
        <v>318</v>
      </c>
      <c r="F705" t="s">
        <v>490</v>
      </c>
      <c r="G705" t="s">
        <v>470</v>
      </c>
      <c r="H705" t="s">
        <v>516</v>
      </c>
      <c r="I705">
        <v>445530.42</v>
      </c>
    </row>
    <row r="706" spans="1:9">
      <c r="A706" s="90" t="s">
        <v>216</v>
      </c>
      <c r="B706" s="87">
        <v>46072</v>
      </c>
      <c r="C706" t="s">
        <v>1128</v>
      </c>
      <c r="D706" t="s">
        <v>1129</v>
      </c>
      <c r="E706" t="s">
        <v>318</v>
      </c>
      <c r="F706" t="s">
        <v>490</v>
      </c>
      <c r="G706" t="s">
        <v>470</v>
      </c>
      <c r="H706" t="s">
        <v>516</v>
      </c>
      <c r="I706">
        <v>244.8</v>
      </c>
    </row>
    <row r="707" spans="1:9">
      <c r="A707" s="90" t="s">
        <v>216</v>
      </c>
      <c r="B707" s="87">
        <v>46072</v>
      </c>
      <c r="C707" t="s">
        <v>1124</v>
      </c>
      <c r="D707" t="s">
        <v>512</v>
      </c>
      <c r="E707" t="s">
        <v>1121</v>
      </c>
      <c r="F707" t="s">
        <v>474</v>
      </c>
      <c r="G707" t="s">
        <v>470</v>
      </c>
      <c r="H707" t="s">
        <v>471</v>
      </c>
      <c r="I707">
        <v>1671.37</v>
      </c>
    </row>
    <row r="708" spans="1:9">
      <c r="A708" s="90" t="s">
        <v>216</v>
      </c>
      <c r="B708" s="87">
        <v>46072</v>
      </c>
      <c r="C708" t="s">
        <v>1124</v>
      </c>
      <c r="D708" t="s">
        <v>512</v>
      </c>
      <c r="E708" t="s">
        <v>1121</v>
      </c>
      <c r="F708" t="s">
        <v>474</v>
      </c>
      <c r="G708" t="s">
        <v>470</v>
      </c>
      <c r="H708" t="s">
        <v>475</v>
      </c>
      <c r="I708">
        <v>400000</v>
      </c>
    </row>
    <row r="709" spans="1:9">
      <c r="A709" s="90" t="s">
        <v>216</v>
      </c>
      <c r="B709" s="87">
        <v>46073</v>
      </c>
      <c r="C709" t="s">
        <v>511</v>
      </c>
      <c r="D709" t="s">
        <v>512</v>
      </c>
      <c r="E709" t="s">
        <v>1121</v>
      </c>
      <c r="F709" t="s">
        <v>474</v>
      </c>
      <c r="G709" t="s">
        <v>470</v>
      </c>
      <c r="H709" t="s">
        <v>475</v>
      </c>
      <c r="I709">
        <v>7072.85</v>
      </c>
    </row>
    <row r="710" spans="1:9">
      <c r="A710" s="90" t="s">
        <v>216</v>
      </c>
      <c r="B710" s="87">
        <v>46076</v>
      </c>
      <c r="C710" t="s">
        <v>511</v>
      </c>
      <c r="D710" t="s">
        <v>512</v>
      </c>
      <c r="E710" t="s">
        <v>1121</v>
      </c>
      <c r="F710" t="s">
        <v>474</v>
      </c>
      <c r="G710" t="s">
        <v>470</v>
      </c>
      <c r="H710" t="s">
        <v>475</v>
      </c>
      <c r="I710">
        <v>14295.57</v>
      </c>
    </row>
    <row r="711" spans="1:9">
      <c r="A711" s="90" t="s">
        <v>216</v>
      </c>
      <c r="B711" s="87">
        <v>46077</v>
      </c>
      <c r="C711" t="s">
        <v>511</v>
      </c>
      <c r="D711" t="s">
        <v>512</v>
      </c>
      <c r="E711" t="s">
        <v>1121</v>
      </c>
      <c r="F711" t="s">
        <v>474</v>
      </c>
      <c r="G711" t="s">
        <v>470</v>
      </c>
      <c r="H711" t="s">
        <v>540</v>
      </c>
      <c r="I711">
        <v>50522.97</v>
      </c>
    </row>
    <row r="712" spans="1:9">
      <c r="A712" s="90" t="s">
        <v>216</v>
      </c>
      <c r="B712" s="87">
        <v>46078</v>
      </c>
      <c r="C712" t="s">
        <v>511</v>
      </c>
      <c r="D712" t="s">
        <v>512</v>
      </c>
      <c r="E712" t="s">
        <v>1121</v>
      </c>
      <c r="F712" t="s">
        <v>474</v>
      </c>
      <c r="G712" t="s">
        <v>470</v>
      </c>
      <c r="H712" t="s">
        <v>475</v>
      </c>
      <c r="I712">
        <v>392175.51</v>
      </c>
    </row>
    <row r="713" spans="1:9">
      <c r="A713" s="90" t="s">
        <v>216</v>
      </c>
      <c r="B713" s="87">
        <v>46078</v>
      </c>
      <c r="C713" t="s">
        <v>511</v>
      </c>
      <c r="D713" t="s">
        <v>512</v>
      </c>
      <c r="E713" t="s">
        <v>1121</v>
      </c>
      <c r="F713" t="s">
        <v>474</v>
      </c>
      <c r="G713" t="s">
        <v>470</v>
      </c>
      <c r="H713" t="s">
        <v>475</v>
      </c>
      <c r="I713">
        <v>23485.88</v>
      </c>
    </row>
    <row r="714" spans="1:9">
      <c r="A714" s="90" t="s">
        <v>216</v>
      </c>
      <c r="B714" s="87">
        <v>46079</v>
      </c>
      <c r="C714" t="s">
        <v>511</v>
      </c>
      <c r="D714" t="s">
        <v>512</v>
      </c>
      <c r="E714" t="s">
        <v>1121</v>
      </c>
      <c r="F714" t="s">
        <v>474</v>
      </c>
      <c r="G714" t="s">
        <v>470</v>
      </c>
      <c r="H714" t="s">
        <v>475</v>
      </c>
      <c r="I714">
        <v>32338.94</v>
      </c>
    </row>
    <row r="715" spans="1:9">
      <c r="A715" s="90" t="s">
        <v>216</v>
      </c>
      <c r="B715" s="87">
        <v>46080</v>
      </c>
      <c r="C715" t="s">
        <v>1130</v>
      </c>
      <c r="D715" t="s">
        <v>546</v>
      </c>
      <c r="E715" t="s">
        <v>1131</v>
      </c>
      <c r="F715" t="s">
        <v>490</v>
      </c>
      <c r="G715" t="s">
        <v>470</v>
      </c>
      <c r="H715" t="s">
        <v>475</v>
      </c>
      <c r="I715">
        <v>100000</v>
      </c>
    </row>
    <row r="716" spans="1:9">
      <c r="A716" s="90" t="s">
        <v>216</v>
      </c>
      <c r="B716" s="87">
        <v>46080</v>
      </c>
      <c r="C716" t="s">
        <v>1132</v>
      </c>
      <c r="D716" t="s">
        <v>870</v>
      </c>
      <c r="E716" t="s">
        <v>1133</v>
      </c>
      <c r="F716" t="s">
        <v>490</v>
      </c>
      <c r="G716" t="s">
        <v>470</v>
      </c>
      <c r="H716" t="s">
        <v>475</v>
      </c>
      <c r="I716">
        <v>48518.400000000001</v>
      </c>
    </row>
    <row r="717" spans="1:9">
      <c r="A717" s="90" t="s">
        <v>216</v>
      </c>
      <c r="B717" s="87">
        <v>46080</v>
      </c>
      <c r="C717" t="s">
        <v>1134</v>
      </c>
      <c r="D717" t="s">
        <v>870</v>
      </c>
      <c r="E717" t="s">
        <v>1135</v>
      </c>
      <c r="F717" t="s">
        <v>490</v>
      </c>
      <c r="G717" t="s">
        <v>470</v>
      </c>
      <c r="H717" t="s">
        <v>475</v>
      </c>
      <c r="I717">
        <v>47853.4</v>
      </c>
    </row>
    <row r="718" spans="1:9">
      <c r="A718" s="90" t="s">
        <v>216</v>
      </c>
      <c r="B718" s="87">
        <v>46080</v>
      </c>
      <c r="C718" t="s">
        <v>1124</v>
      </c>
      <c r="D718" t="s">
        <v>512</v>
      </c>
      <c r="E718" t="s">
        <v>1121</v>
      </c>
      <c r="F718" t="s">
        <v>474</v>
      </c>
      <c r="G718" t="s">
        <v>470</v>
      </c>
      <c r="H718" t="s">
        <v>475</v>
      </c>
      <c r="I718">
        <v>307565.01</v>
      </c>
    </row>
    <row r="719" spans="1:9">
      <c r="A719" s="90" t="s">
        <v>216</v>
      </c>
      <c r="B719" s="87">
        <v>46080</v>
      </c>
      <c r="C719" t="s">
        <v>1124</v>
      </c>
      <c r="D719" t="s">
        <v>512</v>
      </c>
      <c r="E719" t="s">
        <v>1121</v>
      </c>
      <c r="F719" t="s">
        <v>474</v>
      </c>
      <c r="G719" t="s">
        <v>470</v>
      </c>
      <c r="H719" t="s">
        <v>475</v>
      </c>
      <c r="I719">
        <v>107968.56</v>
      </c>
    </row>
    <row r="720" spans="1:9">
      <c r="A720" s="90" t="s">
        <v>216</v>
      </c>
      <c r="B720" s="87">
        <v>46080</v>
      </c>
      <c r="C720" t="s">
        <v>1136</v>
      </c>
      <c r="D720" t="s">
        <v>1137</v>
      </c>
      <c r="E720" t="s">
        <v>1138</v>
      </c>
      <c r="F720" t="s">
        <v>486</v>
      </c>
      <c r="G720" t="s">
        <v>470</v>
      </c>
      <c r="H720" t="s">
        <v>475</v>
      </c>
      <c r="I720">
        <v>693</v>
      </c>
    </row>
    <row r="721" spans="1:9">
      <c r="A721" s="90" t="s">
        <v>216</v>
      </c>
      <c r="B721" s="87">
        <v>46080</v>
      </c>
      <c r="C721" t="s">
        <v>524</v>
      </c>
      <c r="D721" t="s">
        <v>477</v>
      </c>
      <c r="E721" t="s">
        <v>1121</v>
      </c>
      <c r="F721" t="s">
        <v>1117</v>
      </c>
      <c r="G721" t="s">
        <v>470</v>
      </c>
      <c r="H721" t="s">
        <v>516</v>
      </c>
      <c r="I721">
        <v>1282.8800000000001</v>
      </c>
    </row>
    <row r="722" spans="1:9">
      <c r="A722" s="90" t="s">
        <v>216</v>
      </c>
      <c r="B722" s="87">
        <v>46080</v>
      </c>
      <c r="C722" t="s">
        <v>524</v>
      </c>
      <c r="D722" t="s">
        <v>477</v>
      </c>
      <c r="E722" t="s">
        <v>1121</v>
      </c>
      <c r="F722" t="s">
        <v>1117</v>
      </c>
      <c r="G722" t="s">
        <v>470</v>
      </c>
      <c r="H722" t="s">
        <v>516</v>
      </c>
      <c r="I722">
        <v>16031.79</v>
      </c>
    </row>
    <row r="723" spans="1:9">
      <c r="A723" s="90" t="s">
        <v>216</v>
      </c>
      <c r="B723" s="87">
        <v>46080</v>
      </c>
      <c r="C723" t="s">
        <v>524</v>
      </c>
      <c r="D723" t="s">
        <v>477</v>
      </c>
      <c r="E723" t="s">
        <v>1121</v>
      </c>
      <c r="F723" t="s">
        <v>1117</v>
      </c>
      <c r="G723" t="s">
        <v>470</v>
      </c>
      <c r="H723" t="s">
        <v>516</v>
      </c>
      <c r="I723">
        <v>216.62</v>
      </c>
    </row>
    <row r="724" spans="1:9">
      <c r="A724" s="90" t="s">
        <v>216</v>
      </c>
      <c r="B724" s="87">
        <v>46083</v>
      </c>
      <c r="C724" t="s">
        <v>1139</v>
      </c>
      <c r="D724" t="s">
        <v>1140</v>
      </c>
      <c r="E724" t="s">
        <v>1141</v>
      </c>
      <c r="F724" t="s">
        <v>490</v>
      </c>
      <c r="G724" t="s">
        <v>470</v>
      </c>
      <c r="H724" t="s">
        <v>516</v>
      </c>
      <c r="I724">
        <v>31921.42</v>
      </c>
    </row>
    <row r="725" spans="1:9">
      <c r="A725" s="90" t="s">
        <v>216</v>
      </c>
      <c r="B725" s="87">
        <v>46083</v>
      </c>
      <c r="C725" t="s">
        <v>1142</v>
      </c>
      <c r="D725" t="s">
        <v>1140</v>
      </c>
      <c r="E725" t="s">
        <v>1143</v>
      </c>
      <c r="F725" t="s">
        <v>490</v>
      </c>
      <c r="G725" t="s">
        <v>470</v>
      </c>
      <c r="H725" t="s">
        <v>516</v>
      </c>
      <c r="I725">
        <v>43919.199999999997</v>
      </c>
    </row>
    <row r="726" spans="1:9">
      <c r="A726" s="90" t="s">
        <v>216</v>
      </c>
      <c r="B726" s="87">
        <v>46083</v>
      </c>
      <c r="C726" t="s">
        <v>1144</v>
      </c>
      <c r="D726" t="s">
        <v>1140</v>
      </c>
      <c r="E726" t="s">
        <v>1145</v>
      </c>
      <c r="F726" t="s">
        <v>490</v>
      </c>
      <c r="G726" t="s">
        <v>470</v>
      </c>
      <c r="H726" t="s">
        <v>516</v>
      </c>
      <c r="I726">
        <v>71078.58</v>
      </c>
    </row>
    <row r="727" spans="1:9">
      <c r="A727" s="90" t="s">
        <v>216</v>
      </c>
      <c r="B727" s="87">
        <v>46083</v>
      </c>
      <c r="C727" t="s">
        <v>1146</v>
      </c>
      <c r="D727" t="s">
        <v>1140</v>
      </c>
      <c r="E727" t="s">
        <v>1147</v>
      </c>
      <c r="F727" t="s">
        <v>490</v>
      </c>
      <c r="G727" t="s">
        <v>470</v>
      </c>
      <c r="H727" t="s">
        <v>516</v>
      </c>
      <c r="I727">
        <v>59080.800000000003</v>
      </c>
    </row>
    <row r="728" spans="1:9">
      <c r="A728" s="90" t="s">
        <v>216</v>
      </c>
      <c r="B728" s="87">
        <v>46083</v>
      </c>
      <c r="C728" t="s">
        <v>1148</v>
      </c>
      <c r="D728" t="s">
        <v>1140</v>
      </c>
      <c r="E728" t="s">
        <v>1149</v>
      </c>
      <c r="F728" t="s">
        <v>490</v>
      </c>
      <c r="G728" t="s">
        <v>470</v>
      </c>
      <c r="H728" t="s">
        <v>516</v>
      </c>
      <c r="I728">
        <v>71112.92</v>
      </c>
    </row>
    <row r="729" spans="1:9">
      <c r="A729" s="90" t="s">
        <v>216</v>
      </c>
      <c r="B729" s="87">
        <v>46083</v>
      </c>
      <c r="C729" t="s">
        <v>1150</v>
      </c>
      <c r="D729" t="s">
        <v>1140</v>
      </c>
      <c r="E729" t="s">
        <v>1151</v>
      </c>
      <c r="F729" t="s">
        <v>490</v>
      </c>
      <c r="G729" t="s">
        <v>470</v>
      </c>
      <c r="H729" t="s">
        <v>516</v>
      </c>
      <c r="I729">
        <v>64902.02</v>
      </c>
    </row>
    <row r="730" spans="1:9">
      <c r="A730" s="90" t="s">
        <v>216</v>
      </c>
      <c r="B730" s="87">
        <v>46083</v>
      </c>
      <c r="C730" t="s">
        <v>1152</v>
      </c>
      <c r="D730" t="s">
        <v>1140</v>
      </c>
      <c r="E730" t="s">
        <v>1153</v>
      </c>
      <c r="F730" t="s">
        <v>490</v>
      </c>
      <c r="G730" t="s">
        <v>470</v>
      </c>
      <c r="H730" t="s">
        <v>516</v>
      </c>
      <c r="I730">
        <v>66725.119999999995</v>
      </c>
    </row>
    <row r="731" spans="1:9">
      <c r="A731" s="90" t="s">
        <v>216</v>
      </c>
      <c r="B731" s="87">
        <v>46083</v>
      </c>
      <c r="C731" t="s">
        <v>1154</v>
      </c>
      <c r="D731" t="s">
        <v>1140</v>
      </c>
      <c r="E731" t="s">
        <v>1155</v>
      </c>
      <c r="F731" t="s">
        <v>490</v>
      </c>
      <c r="G731" t="s">
        <v>470</v>
      </c>
      <c r="H731" t="s">
        <v>516</v>
      </c>
      <c r="I731">
        <v>62805.97</v>
      </c>
    </row>
    <row r="732" spans="1:9">
      <c r="A732" s="90" t="s">
        <v>216</v>
      </c>
      <c r="B732" s="87">
        <v>46083</v>
      </c>
      <c r="C732" t="s">
        <v>1156</v>
      </c>
      <c r="D732" t="s">
        <v>1140</v>
      </c>
      <c r="E732" t="s">
        <v>1157</v>
      </c>
      <c r="F732" t="s">
        <v>490</v>
      </c>
      <c r="G732" t="s">
        <v>470</v>
      </c>
      <c r="H732" t="s">
        <v>516</v>
      </c>
      <c r="I732">
        <v>57918.62</v>
      </c>
    </row>
    <row r="733" spans="1:9">
      <c r="A733" s="90" t="s">
        <v>216</v>
      </c>
      <c r="B733" s="87">
        <v>46083</v>
      </c>
      <c r="C733" t="s">
        <v>1158</v>
      </c>
      <c r="D733" t="s">
        <v>1140</v>
      </c>
      <c r="E733" t="s">
        <v>1159</v>
      </c>
      <c r="F733" t="s">
        <v>490</v>
      </c>
      <c r="G733" t="s">
        <v>470</v>
      </c>
      <c r="H733" t="s">
        <v>516</v>
      </c>
      <c r="I733">
        <v>63254.02</v>
      </c>
    </row>
    <row r="734" spans="1:9">
      <c r="A734" s="90" t="s">
        <v>216</v>
      </c>
      <c r="B734" s="87">
        <v>46083</v>
      </c>
      <c r="C734" t="s">
        <v>1160</v>
      </c>
      <c r="D734" t="s">
        <v>1140</v>
      </c>
      <c r="E734" t="s">
        <v>1161</v>
      </c>
      <c r="F734" t="s">
        <v>490</v>
      </c>
      <c r="G734" t="s">
        <v>470</v>
      </c>
      <c r="H734" t="s">
        <v>516</v>
      </c>
      <c r="I734">
        <v>68745.63</v>
      </c>
    </row>
    <row r="735" spans="1:9">
      <c r="A735" s="90" t="s">
        <v>216</v>
      </c>
      <c r="B735" s="87">
        <v>46083</v>
      </c>
      <c r="C735" t="s">
        <v>1162</v>
      </c>
      <c r="D735" t="s">
        <v>1140</v>
      </c>
      <c r="E735" t="s">
        <v>1163</v>
      </c>
      <c r="F735" t="s">
        <v>490</v>
      </c>
      <c r="G735" t="s">
        <v>470</v>
      </c>
      <c r="H735" t="s">
        <v>516</v>
      </c>
      <c r="I735">
        <v>8073.48</v>
      </c>
    </row>
    <row r="736" spans="1:9">
      <c r="A736" s="90" t="s">
        <v>216</v>
      </c>
      <c r="B736" s="87">
        <v>46083</v>
      </c>
      <c r="C736" t="s">
        <v>1164</v>
      </c>
      <c r="D736" t="s">
        <v>1140</v>
      </c>
      <c r="E736" t="s">
        <v>1165</v>
      </c>
      <c r="F736" t="s">
        <v>490</v>
      </c>
      <c r="G736" t="s">
        <v>470</v>
      </c>
      <c r="H736" t="s">
        <v>516</v>
      </c>
      <c r="I736">
        <v>64112.35</v>
      </c>
    </row>
    <row r="737" spans="1:9">
      <c r="A737" s="90" t="s">
        <v>216</v>
      </c>
      <c r="B737" s="87">
        <v>46083</v>
      </c>
      <c r="C737" t="s">
        <v>1166</v>
      </c>
      <c r="D737" t="s">
        <v>1140</v>
      </c>
      <c r="E737" t="s">
        <v>1167</v>
      </c>
      <c r="F737" t="s">
        <v>490</v>
      </c>
      <c r="G737" t="s">
        <v>470</v>
      </c>
      <c r="H737" t="s">
        <v>516</v>
      </c>
      <c r="I737">
        <v>60165.73</v>
      </c>
    </row>
    <row r="738" spans="1:9">
      <c r="A738" s="90" t="s">
        <v>216</v>
      </c>
      <c r="B738" s="87">
        <v>46083</v>
      </c>
      <c r="C738" t="s">
        <v>1168</v>
      </c>
      <c r="D738" t="s">
        <v>1140</v>
      </c>
      <c r="E738" t="s">
        <v>1169</v>
      </c>
      <c r="F738" t="s">
        <v>490</v>
      </c>
      <c r="G738" t="s">
        <v>470</v>
      </c>
      <c r="H738" t="s">
        <v>516</v>
      </c>
      <c r="I738">
        <v>70333.55</v>
      </c>
    </row>
    <row r="739" spans="1:9">
      <c r="A739" s="90" t="s">
        <v>216</v>
      </c>
      <c r="B739" s="87">
        <v>46083</v>
      </c>
      <c r="C739" t="s">
        <v>1170</v>
      </c>
      <c r="D739" t="s">
        <v>1140</v>
      </c>
      <c r="E739" t="s">
        <v>1171</v>
      </c>
      <c r="F739" t="s">
        <v>490</v>
      </c>
      <c r="G739" t="s">
        <v>470</v>
      </c>
      <c r="H739" t="s">
        <v>516</v>
      </c>
      <c r="I739">
        <v>103451.48</v>
      </c>
    </row>
    <row r="740" spans="1:9">
      <c r="A740" s="90" t="s">
        <v>216</v>
      </c>
      <c r="B740" s="87">
        <v>46083</v>
      </c>
      <c r="C740" t="s">
        <v>1172</v>
      </c>
      <c r="D740" t="s">
        <v>1140</v>
      </c>
      <c r="E740" t="s">
        <v>1173</v>
      </c>
      <c r="F740" t="s">
        <v>490</v>
      </c>
      <c r="G740" t="s">
        <v>470</v>
      </c>
      <c r="H740" t="s">
        <v>516</v>
      </c>
      <c r="I740">
        <v>75737.62</v>
      </c>
    </row>
    <row r="741" spans="1:9">
      <c r="A741" s="90" t="s">
        <v>216</v>
      </c>
      <c r="B741" s="87">
        <v>46083</v>
      </c>
      <c r="C741" t="s">
        <v>1174</v>
      </c>
      <c r="D741" t="s">
        <v>1140</v>
      </c>
      <c r="E741" t="s">
        <v>1175</v>
      </c>
      <c r="F741" t="s">
        <v>490</v>
      </c>
      <c r="G741" t="s">
        <v>470</v>
      </c>
      <c r="H741" t="s">
        <v>516</v>
      </c>
      <c r="I741">
        <v>108002.37</v>
      </c>
    </row>
    <row r="742" spans="1:9">
      <c r="A742" s="90" t="s">
        <v>216</v>
      </c>
      <c r="B742" s="87">
        <v>46083</v>
      </c>
      <c r="C742" t="s">
        <v>1176</v>
      </c>
      <c r="D742" t="s">
        <v>1140</v>
      </c>
      <c r="E742" t="s">
        <v>1177</v>
      </c>
      <c r="F742" t="s">
        <v>490</v>
      </c>
      <c r="G742" t="s">
        <v>470</v>
      </c>
      <c r="H742" t="s">
        <v>516</v>
      </c>
      <c r="I742">
        <v>84659.13</v>
      </c>
    </row>
    <row r="743" spans="1:9">
      <c r="A743" s="90" t="s">
        <v>216</v>
      </c>
      <c r="B743" s="87">
        <v>46083</v>
      </c>
      <c r="C743" t="s">
        <v>1176</v>
      </c>
      <c r="D743" t="s">
        <v>1140</v>
      </c>
      <c r="E743" t="s">
        <v>1177</v>
      </c>
      <c r="F743" t="s">
        <v>490</v>
      </c>
      <c r="G743" t="s">
        <v>470</v>
      </c>
      <c r="H743" t="s">
        <v>516</v>
      </c>
      <c r="I743">
        <v>0.02</v>
      </c>
    </row>
    <row r="744" spans="1:9">
      <c r="A744" s="90" t="s">
        <v>216</v>
      </c>
      <c r="B744" s="87">
        <v>46083</v>
      </c>
      <c r="C744" t="s">
        <v>1178</v>
      </c>
      <c r="D744" t="s">
        <v>1140</v>
      </c>
      <c r="E744" t="s">
        <v>1179</v>
      </c>
      <c r="F744" t="s">
        <v>490</v>
      </c>
      <c r="G744" t="s">
        <v>470</v>
      </c>
      <c r="H744" t="s">
        <v>516</v>
      </c>
      <c r="I744">
        <v>40885</v>
      </c>
    </row>
    <row r="745" spans="1:9">
      <c r="A745" s="90" t="s">
        <v>216</v>
      </c>
      <c r="B745" s="87">
        <v>46083</v>
      </c>
      <c r="C745" t="s">
        <v>1180</v>
      </c>
      <c r="D745" t="s">
        <v>1140</v>
      </c>
      <c r="E745" t="s">
        <v>1181</v>
      </c>
      <c r="F745" t="s">
        <v>490</v>
      </c>
      <c r="G745" t="s">
        <v>470</v>
      </c>
      <c r="H745" t="s">
        <v>516</v>
      </c>
      <c r="I745">
        <v>51000</v>
      </c>
    </row>
    <row r="746" spans="1:9">
      <c r="A746" s="90" t="s">
        <v>216</v>
      </c>
      <c r="B746" s="87">
        <v>46083</v>
      </c>
      <c r="C746" t="s">
        <v>1182</v>
      </c>
      <c r="D746" t="s">
        <v>1140</v>
      </c>
      <c r="E746" t="s">
        <v>1183</v>
      </c>
      <c r="F746" t="s">
        <v>490</v>
      </c>
      <c r="G746" t="s">
        <v>470</v>
      </c>
      <c r="H746" t="s">
        <v>516</v>
      </c>
      <c r="I746">
        <v>39948.300000000003</v>
      </c>
    </row>
    <row r="747" spans="1:9">
      <c r="A747" s="90" t="s">
        <v>216</v>
      </c>
      <c r="B747" s="87">
        <v>46083</v>
      </c>
      <c r="C747" t="s">
        <v>1184</v>
      </c>
      <c r="D747" t="s">
        <v>1140</v>
      </c>
      <c r="E747" t="s">
        <v>1185</v>
      </c>
      <c r="F747" t="s">
        <v>490</v>
      </c>
      <c r="G747" t="s">
        <v>470</v>
      </c>
      <c r="H747" t="s">
        <v>801</v>
      </c>
      <c r="I747">
        <v>72166.7</v>
      </c>
    </row>
    <row r="748" spans="1:9">
      <c r="A748" s="90" t="s">
        <v>216</v>
      </c>
      <c r="B748" s="87">
        <v>46083</v>
      </c>
      <c r="C748" t="s">
        <v>507</v>
      </c>
      <c r="D748" t="s">
        <v>508</v>
      </c>
      <c r="E748" t="s">
        <v>1186</v>
      </c>
      <c r="F748" t="s">
        <v>510</v>
      </c>
      <c r="G748" t="s">
        <v>470</v>
      </c>
      <c r="H748" t="s">
        <v>487</v>
      </c>
      <c r="I748">
        <v>10344.549999999999</v>
      </c>
    </row>
    <row r="749" spans="1:9">
      <c r="A749" s="90" t="s">
        <v>216</v>
      </c>
      <c r="B749" s="87">
        <v>46083</v>
      </c>
      <c r="C749" t="s">
        <v>517</v>
      </c>
      <c r="D749" t="s">
        <v>512</v>
      </c>
      <c r="E749" t="s">
        <v>1186</v>
      </c>
      <c r="F749" t="s">
        <v>474</v>
      </c>
      <c r="G749" t="s">
        <v>470</v>
      </c>
      <c r="H749" t="s">
        <v>475</v>
      </c>
      <c r="I749">
        <v>1098195.1100000001</v>
      </c>
    </row>
    <row r="750" spans="1:9">
      <c r="A750" s="90" t="s">
        <v>216</v>
      </c>
      <c r="B750" s="87">
        <v>46084</v>
      </c>
      <c r="C750" t="s">
        <v>511</v>
      </c>
      <c r="D750" t="s">
        <v>512</v>
      </c>
      <c r="E750" t="s">
        <v>1187</v>
      </c>
      <c r="F750" t="s">
        <v>474</v>
      </c>
      <c r="G750" t="s">
        <v>470</v>
      </c>
      <c r="H750" t="s">
        <v>475</v>
      </c>
      <c r="I750">
        <v>67930.25</v>
      </c>
    </row>
    <row r="751" spans="1:9">
      <c r="A751" s="90" t="s">
        <v>216</v>
      </c>
      <c r="B751" s="87">
        <v>46085</v>
      </c>
      <c r="C751" t="s">
        <v>511</v>
      </c>
      <c r="D751" t="s">
        <v>512</v>
      </c>
      <c r="E751" t="s">
        <v>1186</v>
      </c>
      <c r="F751" t="s">
        <v>474</v>
      </c>
      <c r="G751" t="s">
        <v>470</v>
      </c>
      <c r="H751" t="s">
        <v>475</v>
      </c>
      <c r="I751">
        <v>131171.37</v>
      </c>
    </row>
    <row r="752" spans="1:9">
      <c r="A752" s="90" t="s">
        <v>216</v>
      </c>
      <c r="B752" s="87">
        <v>46086</v>
      </c>
      <c r="C752" t="s">
        <v>511</v>
      </c>
      <c r="D752" t="s">
        <v>512</v>
      </c>
      <c r="E752" t="s">
        <v>1186</v>
      </c>
      <c r="F752" t="s">
        <v>474</v>
      </c>
      <c r="G752" t="s">
        <v>470</v>
      </c>
      <c r="H752" t="s">
        <v>475</v>
      </c>
      <c r="I752">
        <v>182.76</v>
      </c>
    </row>
    <row r="753" spans="1:9">
      <c r="A753" s="90" t="s">
        <v>216</v>
      </c>
      <c r="B753" s="87">
        <v>46087</v>
      </c>
      <c r="C753" t="s">
        <v>511</v>
      </c>
      <c r="D753" t="s">
        <v>512</v>
      </c>
      <c r="E753" t="s">
        <v>1186</v>
      </c>
      <c r="F753" t="s">
        <v>474</v>
      </c>
      <c r="G753" t="s">
        <v>470</v>
      </c>
      <c r="H753" t="s">
        <v>475</v>
      </c>
      <c r="I753">
        <v>110352.15</v>
      </c>
    </row>
    <row r="754" spans="1:9">
      <c r="A754" s="90" t="s">
        <v>216</v>
      </c>
      <c r="B754" s="87">
        <v>46091</v>
      </c>
      <c r="C754" t="s">
        <v>1188</v>
      </c>
      <c r="D754" t="s">
        <v>1140</v>
      </c>
      <c r="E754" t="s">
        <v>1189</v>
      </c>
      <c r="F754" t="s">
        <v>490</v>
      </c>
      <c r="G754" t="s">
        <v>470</v>
      </c>
      <c r="H754" t="s">
        <v>801</v>
      </c>
      <c r="I754">
        <v>66478.05</v>
      </c>
    </row>
    <row r="755" spans="1:9">
      <c r="A755" s="90" t="s">
        <v>216</v>
      </c>
      <c r="B755" s="87">
        <v>46091</v>
      </c>
      <c r="C755" t="s">
        <v>1190</v>
      </c>
      <c r="D755" t="s">
        <v>1140</v>
      </c>
      <c r="E755" t="s">
        <v>1191</v>
      </c>
      <c r="F755" t="s">
        <v>490</v>
      </c>
      <c r="G755" t="s">
        <v>470</v>
      </c>
      <c r="H755" t="s">
        <v>801</v>
      </c>
      <c r="I755">
        <v>61208.18</v>
      </c>
    </row>
    <row r="756" spans="1:9">
      <c r="A756" s="90" t="s">
        <v>216</v>
      </c>
      <c r="B756" s="87">
        <v>46091</v>
      </c>
      <c r="C756" t="s">
        <v>1192</v>
      </c>
      <c r="D756" t="s">
        <v>1140</v>
      </c>
      <c r="E756" t="s">
        <v>1193</v>
      </c>
      <c r="F756" t="s">
        <v>490</v>
      </c>
      <c r="G756" t="s">
        <v>470</v>
      </c>
      <c r="H756" t="s">
        <v>801</v>
      </c>
      <c r="I756">
        <v>68087.48</v>
      </c>
    </row>
    <row r="757" spans="1:9">
      <c r="A757" s="90" t="s">
        <v>216</v>
      </c>
      <c r="B757" s="87">
        <v>46091</v>
      </c>
      <c r="C757" t="s">
        <v>1194</v>
      </c>
      <c r="D757" t="s">
        <v>1140</v>
      </c>
      <c r="E757" t="s">
        <v>1195</v>
      </c>
      <c r="F757" t="s">
        <v>490</v>
      </c>
      <c r="G757" t="s">
        <v>470</v>
      </c>
      <c r="H757" t="s">
        <v>801</v>
      </c>
      <c r="I757">
        <v>11226.3</v>
      </c>
    </row>
    <row r="758" spans="1:9">
      <c r="A758" s="90" t="s">
        <v>216</v>
      </c>
      <c r="B758" s="87">
        <v>46091</v>
      </c>
      <c r="C758" t="s">
        <v>1196</v>
      </c>
      <c r="D758" t="s">
        <v>1140</v>
      </c>
      <c r="E758" t="s">
        <v>1197</v>
      </c>
      <c r="F758" t="s">
        <v>490</v>
      </c>
      <c r="G758" t="s">
        <v>470</v>
      </c>
      <c r="H758" t="s">
        <v>801</v>
      </c>
      <c r="I758">
        <v>6066.7</v>
      </c>
    </row>
    <row r="759" spans="1:9">
      <c r="A759" s="90" t="s">
        <v>216</v>
      </c>
      <c r="B759" s="87">
        <v>46091</v>
      </c>
      <c r="C759" t="s">
        <v>1198</v>
      </c>
      <c r="D759" t="s">
        <v>1140</v>
      </c>
      <c r="E759" t="s">
        <v>1199</v>
      </c>
      <c r="F759" t="s">
        <v>490</v>
      </c>
      <c r="G759" t="s">
        <v>470</v>
      </c>
      <c r="H759" t="s">
        <v>801</v>
      </c>
      <c r="I759">
        <v>26798.880000000001</v>
      </c>
    </row>
    <row r="760" spans="1:9">
      <c r="A760" s="90" t="s">
        <v>216</v>
      </c>
      <c r="B760" s="87">
        <v>46091</v>
      </c>
      <c r="C760" t="s">
        <v>1200</v>
      </c>
      <c r="D760" t="s">
        <v>1140</v>
      </c>
      <c r="E760" t="s">
        <v>1201</v>
      </c>
      <c r="F760" t="s">
        <v>490</v>
      </c>
      <c r="G760" t="s">
        <v>470</v>
      </c>
      <c r="H760" t="s">
        <v>801</v>
      </c>
      <c r="I760">
        <v>73935.12</v>
      </c>
    </row>
    <row r="761" spans="1:9">
      <c r="A761" s="90" t="s">
        <v>216</v>
      </c>
      <c r="B761" s="87">
        <v>46091</v>
      </c>
      <c r="C761" t="s">
        <v>1202</v>
      </c>
      <c r="D761" t="s">
        <v>1140</v>
      </c>
      <c r="E761" t="s">
        <v>1203</v>
      </c>
      <c r="F761" t="s">
        <v>490</v>
      </c>
      <c r="G761" t="s">
        <v>470</v>
      </c>
      <c r="H761" t="s">
        <v>801</v>
      </c>
      <c r="I761">
        <v>63405.08</v>
      </c>
    </row>
    <row r="762" spans="1:9">
      <c r="A762" s="90" t="s">
        <v>216</v>
      </c>
      <c r="B762" s="87">
        <v>46091</v>
      </c>
      <c r="C762" t="s">
        <v>1204</v>
      </c>
      <c r="D762" t="s">
        <v>1140</v>
      </c>
      <c r="E762" t="s">
        <v>1205</v>
      </c>
      <c r="F762" t="s">
        <v>490</v>
      </c>
      <c r="G762" t="s">
        <v>470</v>
      </c>
      <c r="H762" t="s">
        <v>801</v>
      </c>
      <c r="I762">
        <v>54281</v>
      </c>
    </row>
    <row r="763" spans="1:9">
      <c r="A763" s="90" t="s">
        <v>216</v>
      </c>
      <c r="B763" s="87">
        <v>46091</v>
      </c>
      <c r="C763" t="s">
        <v>1206</v>
      </c>
      <c r="D763" t="s">
        <v>1140</v>
      </c>
      <c r="E763" t="s">
        <v>1207</v>
      </c>
      <c r="F763" t="s">
        <v>490</v>
      </c>
      <c r="G763" t="s">
        <v>470</v>
      </c>
      <c r="H763" t="s">
        <v>801</v>
      </c>
      <c r="I763">
        <v>66747.429999999993</v>
      </c>
    </row>
    <row r="764" spans="1:9">
      <c r="A764" s="90" t="s">
        <v>216</v>
      </c>
      <c r="B764" s="87">
        <v>46091</v>
      </c>
      <c r="C764" t="s">
        <v>1208</v>
      </c>
      <c r="D764" t="s">
        <v>1140</v>
      </c>
      <c r="E764" t="s">
        <v>1209</v>
      </c>
      <c r="F764" t="s">
        <v>490</v>
      </c>
      <c r="G764" t="s">
        <v>470</v>
      </c>
      <c r="H764" t="s">
        <v>801</v>
      </c>
      <c r="I764">
        <v>68168.83</v>
      </c>
    </row>
    <row r="765" spans="1:9">
      <c r="A765" s="90" t="s">
        <v>216</v>
      </c>
      <c r="B765" s="87">
        <v>46091</v>
      </c>
      <c r="C765" t="s">
        <v>1210</v>
      </c>
      <c r="D765" t="s">
        <v>1140</v>
      </c>
      <c r="E765" t="s">
        <v>1211</v>
      </c>
      <c r="F765" t="s">
        <v>490</v>
      </c>
      <c r="G765" t="s">
        <v>470</v>
      </c>
      <c r="H765" t="s">
        <v>801</v>
      </c>
      <c r="I765">
        <v>69691.520000000004</v>
      </c>
    </row>
    <row r="766" spans="1:9">
      <c r="A766" s="90" t="s">
        <v>216</v>
      </c>
      <c r="B766" s="87">
        <v>46091</v>
      </c>
      <c r="C766" t="s">
        <v>1212</v>
      </c>
      <c r="D766" t="s">
        <v>1140</v>
      </c>
      <c r="E766" t="s">
        <v>1213</v>
      </c>
      <c r="F766" t="s">
        <v>490</v>
      </c>
      <c r="G766" t="s">
        <v>470</v>
      </c>
      <c r="H766" t="s">
        <v>801</v>
      </c>
      <c r="I766">
        <v>12826.93</v>
      </c>
    </row>
    <row r="767" spans="1:9">
      <c r="A767" s="90" t="s">
        <v>216</v>
      </c>
      <c r="B767" s="87">
        <v>46091</v>
      </c>
      <c r="C767" t="s">
        <v>517</v>
      </c>
      <c r="D767" t="s">
        <v>512</v>
      </c>
      <c r="E767" t="s">
        <v>1186</v>
      </c>
      <c r="F767" t="s">
        <v>474</v>
      </c>
      <c r="G767" t="s">
        <v>470</v>
      </c>
      <c r="H767" t="s">
        <v>475</v>
      </c>
      <c r="I767">
        <v>571960.81999999995</v>
      </c>
    </row>
    <row r="768" spans="1:9">
      <c r="A768" s="90" t="s">
        <v>216</v>
      </c>
      <c r="B768" s="87">
        <v>46092</v>
      </c>
      <c r="C768" t="s">
        <v>511</v>
      </c>
      <c r="D768" t="s">
        <v>512</v>
      </c>
      <c r="E768" t="s">
        <v>1186</v>
      </c>
      <c r="F768" t="s">
        <v>474</v>
      </c>
      <c r="G768" t="s">
        <v>470</v>
      </c>
      <c r="H768" t="s">
        <v>475</v>
      </c>
      <c r="I768">
        <v>51.21</v>
      </c>
    </row>
    <row r="769" spans="1:9">
      <c r="A769" s="90" t="s">
        <v>216</v>
      </c>
      <c r="B769" s="87">
        <v>46093</v>
      </c>
      <c r="C769" t="s">
        <v>511</v>
      </c>
      <c r="D769" t="s">
        <v>512</v>
      </c>
      <c r="E769" t="s">
        <v>1186</v>
      </c>
      <c r="F769" t="s">
        <v>474</v>
      </c>
      <c r="G769" t="s">
        <v>470</v>
      </c>
      <c r="H769" t="s">
        <v>475</v>
      </c>
      <c r="I769">
        <v>34844.32</v>
      </c>
    </row>
    <row r="770" spans="1:9">
      <c r="A770" s="90" t="s">
        <v>216</v>
      </c>
      <c r="B770" s="87">
        <v>46094</v>
      </c>
      <c r="C770" t="s">
        <v>511</v>
      </c>
      <c r="D770" t="s">
        <v>512</v>
      </c>
      <c r="E770" t="s">
        <v>1186</v>
      </c>
      <c r="F770" t="s">
        <v>474</v>
      </c>
      <c r="G770" t="s">
        <v>470</v>
      </c>
      <c r="H770" t="s">
        <v>475</v>
      </c>
      <c r="I770">
        <v>1179140.07</v>
      </c>
    </row>
    <row r="771" spans="1:9">
      <c r="A771" s="90" t="s">
        <v>216</v>
      </c>
      <c r="B771" s="87">
        <v>46097</v>
      </c>
      <c r="C771" t="s">
        <v>1214</v>
      </c>
      <c r="D771" t="s">
        <v>1140</v>
      </c>
      <c r="E771" t="s">
        <v>1215</v>
      </c>
      <c r="F771" t="s">
        <v>490</v>
      </c>
      <c r="G771" t="s">
        <v>470</v>
      </c>
      <c r="H771" t="s">
        <v>516</v>
      </c>
      <c r="I771">
        <v>62873.2</v>
      </c>
    </row>
    <row r="772" spans="1:9">
      <c r="A772" s="90" t="s">
        <v>216</v>
      </c>
      <c r="B772" s="87">
        <v>46097</v>
      </c>
      <c r="C772" t="s">
        <v>1216</v>
      </c>
      <c r="D772" t="s">
        <v>1140</v>
      </c>
      <c r="E772" t="s">
        <v>1217</v>
      </c>
      <c r="F772" t="s">
        <v>490</v>
      </c>
      <c r="G772" t="s">
        <v>470</v>
      </c>
      <c r="H772" t="s">
        <v>516</v>
      </c>
      <c r="I772">
        <v>56870.67</v>
      </c>
    </row>
    <row r="773" spans="1:9">
      <c r="A773" s="90" t="s">
        <v>216</v>
      </c>
      <c r="B773" s="87">
        <v>46097</v>
      </c>
      <c r="C773" t="s">
        <v>1218</v>
      </c>
      <c r="D773" t="s">
        <v>1140</v>
      </c>
      <c r="E773" t="s">
        <v>1219</v>
      </c>
      <c r="F773" t="s">
        <v>490</v>
      </c>
      <c r="G773" t="s">
        <v>470</v>
      </c>
      <c r="H773" t="s">
        <v>516</v>
      </c>
      <c r="I773">
        <v>2260.27</v>
      </c>
    </row>
    <row r="774" spans="1:9">
      <c r="A774" s="90" t="s">
        <v>216</v>
      </c>
      <c r="B774" s="87">
        <v>46097</v>
      </c>
      <c r="C774" t="s">
        <v>1220</v>
      </c>
      <c r="D774" t="s">
        <v>1140</v>
      </c>
      <c r="E774" t="s">
        <v>1221</v>
      </c>
      <c r="F774" t="s">
        <v>490</v>
      </c>
      <c r="G774" t="s">
        <v>470</v>
      </c>
      <c r="H774" t="s">
        <v>516</v>
      </c>
      <c r="I774">
        <v>61940.67</v>
      </c>
    </row>
    <row r="775" spans="1:9">
      <c r="A775" s="90" t="s">
        <v>216</v>
      </c>
      <c r="B775" s="87">
        <v>46097</v>
      </c>
      <c r="C775" t="s">
        <v>1222</v>
      </c>
      <c r="D775" t="s">
        <v>1140</v>
      </c>
      <c r="E775" t="s">
        <v>1223</v>
      </c>
      <c r="F775" t="s">
        <v>490</v>
      </c>
      <c r="G775" t="s">
        <v>470</v>
      </c>
      <c r="H775" t="s">
        <v>516</v>
      </c>
      <c r="I775">
        <v>67272.399999999994</v>
      </c>
    </row>
    <row r="776" spans="1:9">
      <c r="A776" s="90" t="s">
        <v>216</v>
      </c>
      <c r="B776" s="87">
        <v>46097</v>
      </c>
      <c r="C776" t="s">
        <v>1224</v>
      </c>
      <c r="D776" t="s">
        <v>1140</v>
      </c>
      <c r="E776" t="s">
        <v>1225</v>
      </c>
      <c r="F776" t="s">
        <v>490</v>
      </c>
      <c r="G776" t="s">
        <v>470</v>
      </c>
      <c r="H776" t="s">
        <v>516</v>
      </c>
      <c r="I776">
        <v>82213.73</v>
      </c>
    </row>
    <row r="777" spans="1:9">
      <c r="A777" s="90" t="s">
        <v>216</v>
      </c>
      <c r="B777" s="87">
        <v>46097</v>
      </c>
      <c r="C777" t="s">
        <v>1226</v>
      </c>
      <c r="D777" t="s">
        <v>1140</v>
      </c>
      <c r="E777" t="s">
        <v>1227</v>
      </c>
      <c r="F777" t="s">
        <v>490</v>
      </c>
      <c r="G777" t="s">
        <v>470</v>
      </c>
      <c r="H777" t="s">
        <v>516</v>
      </c>
      <c r="I777">
        <v>71650.8</v>
      </c>
    </row>
    <row r="778" spans="1:9">
      <c r="A778" s="90" t="s">
        <v>216</v>
      </c>
      <c r="B778" s="87">
        <v>46097</v>
      </c>
      <c r="C778" t="s">
        <v>1228</v>
      </c>
      <c r="D778" t="s">
        <v>1140</v>
      </c>
      <c r="E778" t="s">
        <v>1229</v>
      </c>
      <c r="F778" t="s">
        <v>490</v>
      </c>
      <c r="G778" t="s">
        <v>470</v>
      </c>
      <c r="H778" t="s">
        <v>516</v>
      </c>
      <c r="I778">
        <v>72732.399999999994</v>
      </c>
    </row>
    <row r="779" spans="1:9">
      <c r="A779" s="90" t="s">
        <v>216</v>
      </c>
      <c r="B779" s="87">
        <v>46097</v>
      </c>
      <c r="C779" t="s">
        <v>1230</v>
      </c>
      <c r="D779" t="s">
        <v>1140</v>
      </c>
      <c r="E779" t="s">
        <v>1231</v>
      </c>
      <c r="F779" t="s">
        <v>490</v>
      </c>
      <c r="G779" t="s">
        <v>470</v>
      </c>
      <c r="H779" t="s">
        <v>516</v>
      </c>
      <c r="I779">
        <v>54740.47</v>
      </c>
    </row>
    <row r="780" spans="1:9">
      <c r="A780" s="90" t="s">
        <v>216</v>
      </c>
      <c r="B780" s="87">
        <v>46097</v>
      </c>
      <c r="C780" t="s">
        <v>1232</v>
      </c>
      <c r="D780" t="s">
        <v>1140</v>
      </c>
      <c r="E780" t="s">
        <v>1233</v>
      </c>
      <c r="F780" t="s">
        <v>490</v>
      </c>
      <c r="G780" t="s">
        <v>470</v>
      </c>
      <c r="H780" t="s">
        <v>516</v>
      </c>
      <c r="I780">
        <v>1227.2</v>
      </c>
    </row>
    <row r="781" spans="1:9">
      <c r="A781" s="90" t="s">
        <v>216</v>
      </c>
      <c r="B781" s="87">
        <v>46097</v>
      </c>
      <c r="C781" t="s">
        <v>1234</v>
      </c>
      <c r="D781" t="s">
        <v>1140</v>
      </c>
      <c r="E781" t="s">
        <v>1235</v>
      </c>
      <c r="F781" t="s">
        <v>490</v>
      </c>
      <c r="G781" t="s">
        <v>470</v>
      </c>
      <c r="H781" t="s">
        <v>516</v>
      </c>
      <c r="I781">
        <v>78078</v>
      </c>
    </row>
    <row r="782" spans="1:9">
      <c r="A782" s="90" t="s">
        <v>216</v>
      </c>
      <c r="B782" s="87">
        <v>46097</v>
      </c>
      <c r="C782" t="s">
        <v>517</v>
      </c>
      <c r="D782" t="s">
        <v>512</v>
      </c>
      <c r="E782" t="s">
        <v>1186</v>
      </c>
      <c r="F782" t="s">
        <v>474</v>
      </c>
      <c r="G782" t="s">
        <v>470</v>
      </c>
      <c r="H782" t="s">
        <v>475</v>
      </c>
      <c r="I782">
        <v>538004.69999999995</v>
      </c>
    </row>
    <row r="783" spans="1:9">
      <c r="A783" s="90" t="s">
        <v>216</v>
      </c>
      <c r="B783" s="87">
        <v>46098</v>
      </c>
      <c r="C783" t="s">
        <v>517</v>
      </c>
      <c r="D783" t="s">
        <v>512</v>
      </c>
      <c r="E783" t="s">
        <v>1186</v>
      </c>
      <c r="F783" t="s">
        <v>474</v>
      </c>
      <c r="G783" t="s">
        <v>470</v>
      </c>
      <c r="H783" t="s">
        <v>475</v>
      </c>
      <c r="I783">
        <v>619356.66</v>
      </c>
    </row>
    <row r="784" spans="1:9">
      <c r="A784" s="90" t="s">
        <v>216</v>
      </c>
      <c r="B784" s="87">
        <v>46099</v>
      </c>
      <c r="C784" t="s">
        <v>511</v>
      </c>
      <c r="D784" t="s">
        <v>512</v>
      </c>
      <c r="E784" t="s">
        <v>1186</v>
      </c>
      <c r="F784" t="s">
        <v>474</v>
      </c>
      <c r="G784" t="s">
        <v>470</v>
      </c>
      <c r="H784" t="s">
        <v>475</v>
      </c>
      <c r="I784">
        <v>13100.31</v>
      </c>
    </row>
    <row r="785" spans="1:9">
      <c r="A785" s="90" t="s">
        <v>216</v>
      </c>
      <c r="B785" s="87">
        <v>46100</v>
      </c>
      <c r="C785" t="s">
        <v>1236</v>
      </c>
      <c r="D785" t="s">
        <v>870</v>
      </c>
      <c r="E785" t="s">
        <v>1237</v>
      </c>
      <c r="F785" t="s">
        <v>490</v>
      </c>
      <c r="G785" t="s">
        <v>470</v>
      </c>
      <c r="H785" t="s">
        <v>475</v>
      </c>
      <c r="I785">
        <v>38197.599999999999</v>
      </c>
    </row>
    <row r="786" spans="1:9">
      <c r="A786" s="90" t="s">
        <v>216</v>
      </c>
      <c r="B786" s="87">
        <v>46100</v>
      </c>
      <c r="C786" t="s">
        <v>1236</v>
      </c>
      <c r="D786" t="s">
        <v>870</v>
      </c>
      <c r="E786" t="s">
        <v>1237</v>
      </c>
      <c r="F786" t="s">
        <v>490</v>
      </c>
      <c r="G786" t="s">
        <v>470</v>
      </c>
      <c r="H786" t="s">
        <v>475</v>
      </c>
      <c r="I786">
        <v>133</v>
      </c>
    </row>
    <row r="787" spans="1:9">
      <c r="A787" s="90" t="s">
        <v>216</v>
      </c>
      <c r="B787" s="87">
        <v>46100</v>
      </c>
      <c r="C787" t="s">
        <v>517</v>
      </c>
      <c r="D787" t="s">
        <v>512</v>
      </c>
      <c r="E787" t="s">
        <v>1186</v>
      </c>
      <c r="F787" t="s">
        <v>474</v>
      </c>
      <c r="G787" t="s">
        <v>470</v>
      </c>
      <c r="H787" t="s">
        <v>475</v>
      </c>
      <c r="I787">
        <v>33330.6</v>
      </c>
    </row>
    <row r="788" spans="1:9">
      <c r="A788" s="90" t="s">
        <v>216</v>
      </c>
      <c r="B788" s="87">
        <v>46101</v>
      </c>
      <c r="C788" t="s">
        <v>511</v>
      </c>
      <c r="D788" t="s">
        <v>512</v>
      </c>
      <c r="E788" t="s">
        <v>1186</v>
      </c>
      <c r="F788" t="s">
        <v>474</v>
      </c>
      <c r="G788" t="s">
        <v>470</v>
      </c>
      <c r="H788" t="s">
        <v>475</v>
      </c>
      <c r="I788">
        <v>1010137.81</v>
      </c>
    </row>
    <row r="789" spans="1:9">
      <c r="A789" s="90" t="s">
        <v>216</v>
      </c>
      <c r="B789" s="87">
        <v>46104</v>
      </c>
      <c r="C789" t="s">
        <v>511</v>
      </c>
      <c r="D789" t="s">
        <v>512</v>
      </c>
      <c r="E789" t="s">
        <v>1186</v>
      </c>
      <c r="F789" t="s">
        <v>474</v>
      </c>
      <c r="G789" t="s">
        <v>470</v>
      </c>
      <c r="H789" t="s">
        <v>475</v>
      </c>
      <c r="I789">
        <v>5803.3</v>
      </c>
    </row>
    <row r="790" spans="1:9">
      <c r="A790" s="90" t="s">
        <v>216</v>
      </c>
      <c r="B790" s="87">
        <v>46105</v>
      </c>
      <c r="C790" t="s">
        <v>1230</v>
      </c>
      <c r="D790" t="s">
        <v>1140</v>
      </c>
      <c r="E790" t="s">
        <v>1231</v>
      </c>
      <c r="F790" t="s">
        <v>490</v>
      </c>
      <c r="G790" t="s">
        <v>470</v>
      </c>
      <c r="H790" t="s">
        <v>516</v>
      </c>
      <c r="I790">
        <v>12140.2</v>
      </c>
    </row>
    <row r="791" spans="1:9">
      <c r="A791" s="90" t="s">
        <v>216</v>
      </c>
      <c r="B791" s="87">
        <v>46105</v>
      </c>
      <c r="C791" t="s">
        <v>517</v>
      </c>
      <c r="D791" t="s">
        <v>512</v>
      </c>
      <c r="E791" t="s">
        <v>1186</v>
      </c>
      <c r="F791" t="s">
        <v>474</v>
      </c>
      <c r="G791" t="s">
        <v>470</v>
      </c>
      <c r="H791" t="s">
        <v>475</v>
      </c>
      <c r="I791">
        <v>7130.2</v>
      </c>
    </row>
    <row r="792" spans="1:9">
      <c r="A792" s="90" t="s">
        <v>216</v>
      </c>
      <c r="B792" s="87">
        <v>46106</v>
      </c>
      <c r="C792" t="s">
        <v>1238</v>
      </c>
      <c r="D792" t="s">
        <v>493</v>
      </c>
      <c r="E792" t="s">
        <v>449</v>
      </c>
      <c r="F792" t="s">
        <v>486</v>
      </c>
      <c r="G792" t="s">
        <v>470</v>
      </c>
      <c r="H792" t="s">
        <v>475</v>
      </c>
      <c r="I792">
        <v>2261.44</v>
      </c>
    </row>
    <row r="793" spans="1:9">
      <c r="A793" s="90" t="s">
        <v>216</v>
      </c>
      <c r="B793" s="87">
        <v>46106</v>
      </c>
      <c r="C793" t="s">
        <v>511</v>
      </c>
      <c r="D793" t="s">
        <v>512</v>
      </c>
      <c r="E793" t="s">
        <v>1186</v>
      </c>
      <c r="F793" t="s">
        <v>474</v>
      </c>
      <c r="G793" t="s">
        <v>470</v>
      </c>
      <c r="H793" t="s">
        <v>475</v>
      </c>
      <c r="I793">
        <v>10404.1</v>
      </c>
    </row>
    <row r="794" spans="1:9">
      <c r="A794" s="90" t="s">
        <v>216</v>
      </c>
      <c r="B794" s="87">
        <v>46107</v>
      </c>
      <c r="C794" t="s">
        <v>511</v>
      </c>
      <c r="D794" t="s">
        <v>512</v>
      </c>
      <c r="E794" t="s">
        <v>1186</v>
      </c>
      <c r="F794" t="s">
        <v>474</v>
      </c>
      <c r="G794" t="s">
        <v>470</v>
      </c>
      <c r="H794" t="s">
        <v>475</v>
      </c>
      <c r="I794">
        <v>45474.82</v>
      </c>
    </row>
    <row r="795" spans="1:9">
      <c r="A795" s="90" t="s">
        <v>216</v>
      </c>
      <c r="B795" s="87">
        <v>46108</v>
      </c>
      <c r="C795" t="s">
        <v>1239</v>
      </c>
      <c r="D795" t="s">
        <v>571</v>
      </c>
      <c r="E795" t="s">
        <v>1240</v>
      </c>
      <c r="F795" t="s">
        <v>490</v>
      </c>
      <c r="G795" t="s">
        <v>470</v>
      </c>
      <c r="H795" t="s">
        <v>540</v>
      </c>
      <c r="I795">
        <v>74089.33</v>
      </c>
    </row>
    <row r="796" spans="1:9">
      <c r="A796" s="90" t="s">
        <v>216</v>
      </c>
      <c r="B796" s="87">
        <v>46108</v>
      </c>
      <c r="C796" t="s">
        <v>1241</v>
      </c>
      <c r="D796" t="s">
        <v>571</v>
      </c>
      <c r="E796" t="s">
        <v>1242</v>
      </c>
      <c r="F796" t="s">
        <v>490</v>
      </c>
      <c r="G796" t="s">
        <v>470</v>
      </c>
      <c r="H796" t="s">
        <v>540</v>
      </c>
      <c r="I796">
        <v>71555.33</v>
      </c>
    </row>
    <row r="797" spans="1:9">
      <c r="A797" s="90" t="s">
        <v>216</v>
      </c>
      <c r="B797" s="87">
        <v>46108</v>
      </c>
      <c r="C797" t="s">
        <v>1243</v>
      </c>
      <c r="D797" t="s">
        <v>571</v>
      </c>
      <c r="E797" t="s">
        <v>1244</v>
      </c>
      <c r="F797" t="s">
        <v>490</v>
      </c>
      <c r="G797" t="s">
        <v>470</v>
      </c>
      <c r="H797" t="s">
        <v>540</v>
      </c>
      <c r="I797">
        <v>6184.17</v>
      </c>
    </row>
    <row r="798" spans="1:9">
      <c r="A798" s="90" t="s">
        <v>216</v>
      </c>
      <c r="B798" s="87">
        <v>46108</v>
      </c>
      <c r="C798" t="s">
        <v>1245</v>
      </c>
      <c r="D798" t="s">
        <v>571</v>
      </c>
      <c r="E798" t="s">
        <v>1246</v>
      </c>
      <c r="F798" t="s">
        <v>490</v>
      </c>
      <c r="G798" t="s">
        <v>470</v>
      </c>
      <c r="H798" t="s">
        <v>540</v>
      </c>
      <c r="I798">
        <v>67241.5</v>
      </c>
    </row>
    <row r="799" spans="1:9">
      <c r="A799" s="90" t="s">
        <v>216</v>
      </c>
      <c r="B799" s="87">
        <v>46108</v>
      </c>
      <c r="C799" t="s">
        <v>1247</v>
      </c>
      <c r="D799" t="s">
        <v>571</v>
      </c>
      <c r="E799" t="s">
        <v>1248</v>
      </c>
      <c r="F799" t="s">
        <v>490</v>
      </c>
      <c r="G799" t="s">
        <v>470</v>
      </c>
      <c r="H799" t="s">
        <v>540</v>
      </c>
      <c r="I799">
        <v>52429.67</v>
      </c>
    </row>
    <row r="800" spans="1:9">
      <c r="A800" s="90" t="s">
        <v>216</v>
      </c>
      <c r="B800" s="87">
        <v>46108</v>
      </c>
      <c r="C800" t="s">
        <v>1249</v>
      </c>
      <c r="D800" t="s">
        <v>1250</v>
      </c>
      <c r="E800" t="s">
        <v>1251</v>
      </c>
      <c r="F800" t="s">
        <v>486</v>
      </c>
      <c r="G800" t="s">
        <v>470</v>
      </c>
      <c r="H800" t="s">
        <v>475</v>
      </c>
      <c r="I800">
        <v>550000</v>
      </c>
    </row>
    <row r="801" spans="1:9">
      <c r="A801" s="90" t="s">
        <v>216</v>
      </c>
      <c r="B801" s="87">
        <v>46108</v>
      </c>
      <c r="C801" t="s">
        <v>517</v>
      </c>
      <c r="D801" t="s">
        <v>512</v>
      </c>
      <c r="E801" t="s">
        <v>1186</v>
      </c>
      <c r="F801" t="s">
        <v>474</v>
      </c>
      <c r="G801" t="s">
        <v>470</v>
      </c>
      <c r="H801" t="s">
        <v>475</v>
      </c>
      <c r="I801">
        <v>269900</v>
      </c>
    </row>
    <row r="802" spans="1:9">
      <c r="A802" s="90" t="s">
        <v>216</v>
      </c>
      <c r="B802" s="87">
        <v>46111</v>
      </c>
      <c r="C802" t="s">
        <v>1252</v>
      </c>
      <c r="D802" t="s">
        <v>546</v>
      </c>
      <c r="E802" t="s">
        <v>1253</v>
      </c>
      <c r="F802" t="s">
        <v>490</v>
      </c>
      <c r="G802" t="s">
        <v>470</v>
      </c>
      <c r="H802" t="s">
        <v>487</v>
      </c>
      <c r="I802">
        <v>63251.5</v>
      </c>
    </row>
    <row r="803" spans="1:9">
      <c r="A803" s="90" t="s">
        <v>216</v>
      </c>
      <c r="B803" s="87">
        <v>46111</v>
      </c>
      <c r="C803" t="s">
        <v>1254</v>
      </c>
      <c r="D803" t="s">
        <v>546</v>
      </c>
      <c r="E803" t="s">
        <v>1255</v>
      </c>
      <c r="F803" t="s">
        <v>490</v>
      </c>
      <c r="G803" t="s">
        <v>470</v>
      </c>
      <c r="H803" t="s">
        <v>487</v>
      </c>
      <c r="I803">
        <v>13198.97</v>
      </c>
    </row>
    <row r="804" spans="1:9">
      <c r="A804" s="90" t="s">
        <v>216</v>
      </c>
      <c r="B804" s="87">
        <v>46111</v>
      </c>
      <c r="C804" t="s">
        <v>1256</v>
      </c>
      <c r="D804" t="s">
        <v>493</v>
      </c>
      <c r="E804" t="s">
        <v>450</v>
      </c>
      <c r="F804" t="s">
        <v>486</v>
      </c>
      <c r="G804" t="s">
        <v>470</v>
      </c>
      <c r="H804" t="s">
        <v>475</v>
      </c>
      <c r="I804">
        <v>963.35</v>
      </c>
    </row>
    <row r="805" spans="1:9">
      <c r="A805" s="90" t="s">
        <v>216</v>
      </c>
      <c r="B805" s="87">
        <v>46111</v>
      </c>
      <c r="C805" t="s">
        <v>517</v>
      </c>
      <c r="D805" t="s">
        <v>512</v>
      </c>
      <c r="E805" t="s">
        <v>1186</v>
      </c>
      <c r="F805" t="s">
        <v>474</v>
      </c>
      <c r="G805" t="s">
        <v>470</v>
      </c>
      <c r="H805" t="s">
        <v>540</v>
      </c>
      <c r="I805">
        <v>920.95</v>
      </c>
    </row>
    <row r="806" spans="1:9">
      <c r="A806" s="90" t="s">
        <v>216</v>
      </c>
      <c r="B806" s="87">
        <v>46112</v>
      </c>
      <c r="C806" t="s">
        <v>1127</v>
      </c>
      <c r="D806" t="s">
        <v>493</v>
      </c>
      <c r="E806" t="s">
        <v>434</v>
      </c>
      <c r="F806" t="s">
        <v>486</v>
      </c>
      <c r="G806" t="s">
        <v>470</v>
      </c>
      <c r="H806" t="s">
        <v>475</v>
      </c>
      <c r="I806">
        <v>2354.37</v>
      </c>
    </row>
    <row r="807" spans="1:9">
      <c r="A807" s="90" t="s">
        <v>216</v>
      </c>
      <c r="B807" s="87">
        <v>46112</v>
      </c>
      <c r="C807" t="s">
        <v>1257</v>
      </c>
      <c r="D807" t="s">
        <v>493</v>
      </c>
      <c r="E807" t="s">
        <v>452</v>
      </c>
      <c r="F807" t="s">
        <v>486</v>
      </c>
      <c r="G807" t="s">
        <v>470</v>
      </c>
      <c r="H807" t="s">
        <v>475</v>
      </c>
      <c r="I807">
        <v>19031.16</v>
      </c>
    </row>
    <row r="808" spans="1:9">
      <c r="A808" s="90" t="s">
        <v>216</v>
      </c>
      <c r="B808" s="87">
        <v>46112</v>
      </c>
      <c r="C808" t="s">
        <v>1258</v>
      </c>
      <c r="D808" t="s">
        <v>493</v>
      </c>
      <c r="E808" t="s">
        <v>449</v>
      </c>
      <c r="F808" t="s">
        <v>486</v>
      </c>
      <c r="G808" t="s">
        <v>470</v>
      </c>
      <c r="H808" t="s">
        <v>475</v>
      </c>
      <c r="I808">
        <v>17112</v>
      </c>
    </row>
    <row r="809" spans="1:9">
      <c r="A809" s="90" t="s">
        <v>216</v>
      </c>
      <c r="B809" s="87">
        <v>46112</v>
      </c>
      <c r="C809" t="s">
        <v>524</v>
      </c>
      <c r="D809" t="s">
        <v>477</v>
      </c>
      <c r="E809" t="s">
        <v>1186</v>
      </c>
      <c r="F809" t="s">
        <v>1117</v>
      </c>
      <c r="G809" t="s">
        <v>470</v>
      </c>
      <c r="H809" t="s">
        <v>516</v>
      </c>
      <c r="I809">
        <v>4109.63</v>
      </c>
    </row>
    <row r="810" spans="1:9">
      <c r="A810" s="90" t="s">
        <v>216</v>
      </c>
      <c r="B810" s="87">
        <v>46112</v>
      </c>
      <c r="C810" t="s">
        <v>524</v>
      </c>
      <c r="D810" t="s">
        <v>477</v>
      </c>
      <c r="E810" t="s">
        <v>1186</v>
      </c>
      <c r="F810" t="s">
        <v>1117</v>
      </c>
      <c r="G810" t="s">
        <v>470</v>
      </c>
      <c r="H810" t="s">
        <v>516</v>
      </c>
      <c r="I810">
        <v>12977.08</v>
      </c>
    </row>
    <row r="811" spans="1:9">
      <c r="A811" s="90" t="s">
        <v>216</v>
      </c>
      <c r="B811" s="87">
        <v>46112</v>
      </c>
      <c r="C811" t="s">
        <v>511</v>
      </c>
      <c r="D811" t="s">
        <v>512</v>
      </c>
      <c r="E811" t="s">
        <v>1186</v>
      </c>
      <c r="F811" t="s">
        <v>474</v>
      </c>
      <c r="G811" t="s">
        <v>470</v>
      </c>
      <c r="H811" t="s">
        <v>475</v>
      </c>
      <c r="I811">
        <v>10483</v>
      </c>
    </row>
    <row r="812" spans="1:9">
      <c r="A812" s="90" t="s">
        <v>216</v>
      </c>
      <c r="B812" s="87">
        <v>46112</v>
      </c>
      <c r="C812" t="s">
        <v>524</v>
      </c>
      <c r="D812" t="s">
        <v>477</v>
      </c>
      <c r="E812" t="s">
        <v>1186</v>
      </c>
      <c r="F812" t="s">
        <v>1117</v>
      </c>
      <c r="G812" t="s">
        <v>470</v>
      </c>
      <c r="H812" t="s">
        <v>516</v>
      </c>
      <c r="I812">
        <v>1056.26</v>
      </c>
    </row>
    <row r="813" spans="1:9">
      <c r="A813" s="90" t="s">
        <v>216</v>
      </c>
      <c r="B813" s="87">
        <v>46113</v>
      </c>
      <c r="C813" t="s">
        <v>507</v>
      </c>
      <c r="D813" t="s">
        <v>508</v>
      </c>
      <c r="E813" t="s">
        <v>1259</v>
      </c>
      <c r="F813" t="s">
        <v>510</v>
      </c>
      <c r="G813" t="s">
        <v>470</v>
      </c>
      <c r="H813" t="s">
        <v>487</v>
      </c>
      <c r="I813">
        <v>10429.31</v>
      </c>
    </row>
    <row r="814" spans="1:9">
      <c r="A814" s="90" t="s">
        <v>216</v>
      </c>
      <c r="B814" s="87">
        <v>46113</v>
      </c>
      <c r="C814" t="s">
        <v>511</v>
      </c>
      <c r="D814" t="s">
        <v>512</v>
      </c>
      <c r="E814" t="s">
        <v>1259</v>
      </c>
      <c r="F814" t="s">
        <v>474</v>
      </c>
      <c r="G814" t="s">
        <v>470</v>
      </c>
      <c r="H814" t="s">
        <v>475</v>
      </c>
      <c r="I814">
        <v>203014.36</v>
      </c>
    </row>
    <row r="815" spans="1:9">
      <c r="A815" s="90" t="s">
        <v>216</v>
      </c>
      <c r="B815" s="87">
        <v>46114</v>
      </c>
      <c r="C815" t="s">
        <v>1260</v>
      </c>
      <c r="D815" t="s">
        <v>535</v>
      </c>
      <c r="E815" t="s">
        <v>1261</v>
      </c>
      <c r="F815" t="s">
        <v>537</v>
      </c>
      <c r="G815" t="s">
        <v>470</v>
      </c>
      <c r="H815" t="s">
        <v>475</v>
      </c>
      <c r="I815">
        <v>1500000</v>
      </c>
    </row>
    <row r="816" spans="1:9">
      <c r="A816" s="90" t="s">
        <v>216</v>
      </c>
      <c r="B816" s="87">
        <v>46114</v>
      </c>
      <c r="C816" t="s">
        <v>517</v>
      </c>
      <c r="D816" t="s">
        <v>512</v>
      </c>
      <c r="E816" t="s">
        <v>1259</v>
      </c>
      <c r="F816" t="s">
        <v>474</v>
      </c>
      <c r="G816" t="s">
        <v>470</v>
      </c>
      <c r="H816" t="s">
        <v>475</v>
      </c>
      <c r="I816">
        <v>1500000</v>
      </c>
    </row>
    <row r="817" spans="1:9">
      <c r="A817" s="90" t="s">
        <v>216</v>
      </c>
      <c r="B817" s="87">
        <v>46118</v>
      </c>
      <c r="C817" t="s">
        <v>1262</v>
      </c>
      <c r="D817" t="s">
        <v>571</v>
      </c>
      <c r="E817" t="s">
        <v>1263</v>
      </c>
      <c r="F817" t="s">
        <v>490</v>
      </c>
      <c r="G817" t="s">
        <v>470</v>
      </c>
      <c r="H817" t="s">
        <v>540</v>
      </c>
      <c r="I817">
        <v>58613.83</v>
      </c>
    </row>
    <row r="818" spans="1:9">
      <c r="A818" s="90" t="s">
        <v>216</v>
      </c>
      <c r="B818" s="87">
        <v>46118</v>
      </c>
      <c r="C818" t="s">
        <v>1264</v>
      </c>
      <c r="D818" t="s">
        <v>571</v>
      </c>
      <c r="E818" t="s">
        <v>1265</v>
      </c>
      <c r="F818" t="s">
        <v>490</v>
      </c>
      <c r="G818" t="s">
        <v>470</v>
      </c>
      <c r="H818" t="s">
        <v>540</v>
      </c>
      <c r="I818">
        <v>23469.67</v>
      </c>
    </row>
    <row r="819" spans="1:9">
      <c r="A819" s="90" t="s">
        <v>216</v>
      </c>
      <c r="B819" s="87">
        <v>46118</v>
      </c>
      <c r="C819" t="s">
        <v>517</v>
      </c>
      <c r="D819" t="s">
        <v>512</v>
      </c>
      <c r="E819" t="s">
        <v>1259</v>
      </c>
      <c r="F819" t="s">
        <v>474</v>
      </c>
      <c r="G819" t="s">
        <v>470</v>
      </c>
      <c r="H819" t="s">
        <v>475</v>
      </c>
      <c r="I819">
        <v>49258.41</v>
      </c>
    </row>
    <row r="820" spans="1:9">
      <c r="A820" s="90" t="s">
        <v>216</v>
      </c>
      <c r="B820" s="87">
        <v>46119</v>
      </c>
      <c r="C820" t="s">
        <v>1266</v>
      </c>
      <c r="D820" t="s">
        <v>546</v>
      </c>
      <c r="E820" t="s">
        <v>1267</v>
      </c>
      <c r="F820" t="s">
        <v>490</v>
      </c>
      <c r="G820" t="s">
        <v>470</v>
      </c>
      <c r="H820" t="s">
        <v>487</v>
      </c>
      <c r="I820">
        <v>17363.580000000002</v>
      </c>
    </row>
    <row r="821" spans="1:9">
      <c r="A821" s="90" t="s">
        <v>216</v>
      </c>
      <c r="B821" s="87">
        <v>46119</v>
      </c>
      <c r="C821" t="s">
        <v>1268</v>
      </c>
      <c r="D821" t="s">
        <v>546</v>
      </c>
      <c r="E821" t="s">
        <v>1269</v>
      </c>
      <c r="F821" t="s">
        <v>490</v>
      </c>
      <c r="G821" t="s">
        <v>470</v>
      </c>
      <c r="H821" t="s">
        <v>487</v>
      </c>
      <c r="I821">
        <v>59935.199999999997</v>
      </c>
    </row>
    <row r="822" spans="1:9">
      <c r="A822" s="90" t="s">
        <v>216</v>
      </c>
      <c r="B822" s="87">
        <v>46119</v>
      </c>
      <c r="C822" t="s">
        <v>517</v>
      </c>
      <c r="D822" t="s">
        <v>512</v>
      </c>
      <c r="E822" t="s">
        <v>1259</v>
      </c>
      <c r="F822" t="s">
        <v>474</v>
      </c>
      <c r="G822" t="s">
        <v>470</v>
      </c>
      <c r="H822" t="s">
        <v>475</v>
      </c>
      <c r="I822">
        <v>77298.78</v>
      </c>
    </row>
    <row r="823" spans="1:9">
      <c r="A823" s="90" t="s">
        <v>216</v>
      </c>
      <c r="B823" s="87">
        <v>46120</v>
      </c>
      <c r="C823" t="s">
        <v>511</v>
      </c>
      <c r="D823" t="s">
        <v>512</v>
      </c>
      <c r="E823" t="s">
        <v>1259</v>
      </c>
      <c r="F823" t="s">
        <v>474</v>
      </c>
      <c r="G823" t="s">
        <v>470</v>
      </c>
      <c r="H823" t="s">
        <v>475</v>
      </c>
      <c r="I823">
        <v>13010</v>
      </c>
    </row>
    <row r="824" spans="1:9">
      <c r="A824" s="90" t="s">
        <v>216</v>
      </c>
      <c r="B824" s="87">
        <v>46121</v>
      </c>
      <c r="C824" t="s">
        <v>511</v>
      </c>
      <c r="D824" t="s">
        <v>512</v>
      </c>
      <c r="E824" t="s">
        <v>1259</v>
      </c>
      <c r="F824" t="s">
        <v>474</v>
      </c>
      <c r="G824" t="s">
        <v>470</v>
      </c>
      <c r="H824" t="s">
        <v>475</v>
      </c>
      <c r="I824">
        <v>507.79</v>
      </c>
    </row>
    <row r="825" spans="1:9">
      <c r="A825" s="90" t="s">
        <v>216</v>
      </c>
      <c r="B825" s="87">
        <v>46122</v>
      </c>
      <c r="C825" t="s">
        <v>511</v>
      </c>
      <c r="D825" t="s">
        <v>512</v>
      </c>
      <c r="E825" t="s">
        <v>1259</v>
      </c>
      <c r="F825" t="s">
        <v>474</v>
      </c>
      <c r="G825" t="s">
        <v>470</v>
      </c>
      <c r="H825" t="s">
        <v>475</v>
      </c>
      <c r="I825">
        <v>79063.31</v>
      </c>
    </row>
    <row r="826" spans="1:9">
      <c r="A826" s="90" t="s">
        <v>216</v>
      </c>
      <c r="B826" s="87">
        <v>46125</v>
      </c>
      <c r="C826" t="s">
        <v>511</v>
      </c>
      <c r="D826" t="s">
        <v>512</v>
      </c>
      <c r="E826" t="s">
        <v>1259</v>
      </c>
      <c r="F826" t="s">
        <v>474</v>
      </c>
      <c r="G826" t="s">
        <v>470</v>
      </c>
      <c r="H826" t="s">
        <v>475</v>
      </c>
      <c r="I826">
        <v>1873.85</v>
      </c>
    </row>
    <row r="827" spans="1:9">
      <c r="A827" s="90" t="s">
        <v>216</v>
      </c>
      <c r="B827" s="87">
        <v>46126</v>
      </c>
      <c r="C827" t="s">
        <v>563</v>
      </c>
      <c r="D827" t="s">
        <v>512</v>
      </c>
      <c r="E827" t="s">
        <v>1259</v>
      </c>
      <c r="F827" t="s">
        <v>474</v>
      </c>
      <c r="G827" t="s">
        <v>470</v>
      </c>
      <c r="H827" t="s">
        <v>475</v>
      </c>
      <c r="I827">
        <v>578.66999999999996</v>
      </c>
    </row>
    <row r="828" spans="1:9">
      <c r="A828" s="90" t="s">
        <v>216</v>
      </c>
      <c r="B828" s="87">
        <v>46129</v>
      </c>
      <c r="C828" t="s">
        <v>511</v>
      </c>
      <c r="D828" t="s">
        <v>512</v>
      </c>
      <c r="E828" t="s">
        <v>1259</v>
      </c>
      <c r="F828" t="s">
        <v>474</v>
      </c>
      <c r="G828" t="s">
        <v>470</v>
      </c>
      <c r="H828" t="s">
        <v>475</v>
      </c>
      <c r="I828">
        <v>149.24</v>
      </c>
    </row>
    <row r="829" spans="1:9">
      <c r="A829" s="90" t="s">
        <v>216</v>
      </c>
      <c r="B829" s="87">
        <v>46132</v>
      </c>
      <c r="C829" t="s">
        <v>511</v>
      </c>
      <c r="D829" t="s">
        <v>512</v>
      </c>
      <c r="E829" t="s">
        <v>1259</v>
      </c>
      <c r="F829" t="s">
        <v>474</v>
      </c>
      <c r="G829" t="s">
        <v>470</v>
      </c>
      <c r="H829" t="s">
        <v>475</v>
      </c>
      <c r="I829">
        <v>2625.8</v>
      </c>
    </row>
    <row r="830" spans="1:9">
      <c r="A830" s="90" t="s">
        <v>216</v>
      </c>
      <c r="B830" s="87">
        <v>46134</v>
      </c>
      <c r="C830" t="s">
        <v>1270</v>
      </c>
      <c r="D830" t="s">
        <v>1140</v>
      </c>
      <c r="E830" t="s">
        <v>1271</v>
      </c>
      <c r="F830" t="s">
        <v>490</v>
      </c>
      <c r="G830" t="s">
        <v>470</v>
      </c>
      <c r="H830" t="s">
        <v>516</v>
      </c>
      <c r="I830">
        <v>66422.399999999994</v>
      </c>
    </row>
    <row r="831" spans="1:9">
      <c r="A831" s="90" t="s">
        <v>216</v>
      </c>
      <c r="B831" s="87">
        <v>46134</v>
      </c>
      <c r="C831" t="s">
        <v>1272</v>
      </c>
      <c r="D831" t="s">
        <v>1140</v>
      </c>
      <c r="E831" t="s">
        <v>1273</v>
      </c>
      <c r="F831" t="s">
        <v>490</v>
      </c>
      <c r="G831" t="s">
        <v>470</v>
      </c>
      <c r="H831" t="s">
        <v>516</v>
      </c>
      <c r="I831">
        <v>76126.289999999994</v>
      </c>
    </row>
    <row r="832" spans="1:9">
      <c r="A832" s="90" t="s">
        <v>216</v>
      </c>
      <c r="B832" s="87">
        <v>46134</v>
      </c>
      <c r="C832" t="s">
        <v>978</v>
      </c>
      <c r="D832" t="s">
        <v>977</v>
      </c>
      <c r="E832" t="s">
        <v>304</v>
      </c>
      <c r="F832" t="s">
        <v>486</v>
      </c>
      <c r="G832" t="s">
        <v>470</v>
      </c>
      <c r="H832" t="s">
        <v>482</v>
      </c>
      <c r="I832">
        <v>6524.36</v>
      </c>
    </row>
    <row r="833" spans="1:9">
      <c r="A833" s="90" t="s">
        <v>216</v>
      </c>
      <c r="B833" s="87">
        <v>46134</v>
      </c>
      <c r="C833" t="s">
        <v>1274</v>
      </c>
      <c r="D833" t="s">
        <v>977</v>
      </c>
      <c r="E833" t="s">
        <v>1275</v>
      </c>
      <c r="F833" t="s">
        <v>486</v>
      </c>
      <c r="G833" t="s">
        <v>470</v>
      </c>
      <c r="H833" t="s">
        <v>487</v>
      </c>
      <c r="I833">
        <v>2717.15</v>
      </c>
    </row>
    <row r="834" spans="1:9">
      <c r="A834" s="90" t="s">
        <v>216</v>
      </c>
      <c r="B834" s="87">
        <v>46134</v>
      </c>
      <c r="C834" t="s">
        <v>517</v>
      </c>
      <c r="D834" t="s">
        <v>512</v>
      </c>
      <c r="E834" t="s">
        <v>1259</v>
      </c>
      <c r="F834" t="s">
        <v>474</v>
      </c>
      <c r="G834" t="s">
        <v>470</v>
      </c>
      <c r="H834" t="s">
        <v>475</v>
      </c>
      <c r="I834">
        <v>111516.1</v>
      </c>
    </row>
    <row r="835" spans="1:9">
      <c r="A835" s="90" t="s">
        <v>216</v>
      </c>
      <c r="B835" s="87">
        <v>46135</v>
      </c>
      <c r="C835" t="s">
        <v>1276</v>
      </c>
      <c r="D835" t="s">
        <v>1140</v>
      </c>
      <c r="E835" t="s">
        <v>1277</v>
      </c>
      <c r="F835" t="s">
        <v>490</v>
      </c>
      <c r="G835" t="s">
        <v>470</v>
      </c>
      <c r="H835" t="s">
        <v>516</v>
      </c>
      <c r="I835">
        <v>39783.67</v>
      </c>
    </row>
    <row r="836" spans="1:9">
      <c r="A836" s="90" t="s">
        <v>216</v>
      </c>
      <c r="B836" s="87">
        <v>46135</v>
      </c>
      <c r="C836" t="s">
        <v>1278</v>
      </c>
      <c r="D836" t="s">
        <v>1140</v>
      </c>
      <c r="E836" t="s">
        <v>1279</v>
      </c>
      <c r="F836" t="s">
        <v>490</v>
      </c>
      <c r="G836" t="s">
        <v>470</v>
      </c>
      <c r="H836" t="s">
        <v>516</v>
      </c>
      <c r="I836">
        <v>85763.46</v>
      </c>
    </row>
    <row r="837" spans="1:9">
      <c r="A837" s="90" t="s">
        <v>216</v>
      </c>
      <c r="B837" s="87">
        <v>46135</v>
      </c>
      <c r="C837" t="s">
        <v>1280</v>
      </c>
      <c r="D837" t="s">
        <v>1140</v>
      </c>
      <c r="E837" t="s">
        <v>1281</v>
      </c>
      <c r="F837" t="s">
        <v>490</v>
      </c>
      <c r="G837" t="s">
        <v>470</v>
      </c>
      <c r="H837" t="s">
        <v>516</v>
      </c>
      <c r="I837">
        <v>16736.54</v>
      </c>
    </row>
    <row r="838" spans="1:9">
      <c r="A838" s="90" t="s">
        <v>216</v>
      </c>
      <c r="B838" s="87">
        <v>46135</v>
      </c>
      <c r="C838" t="s">
        <v>1282</v>
      </c>
      <c r="D838" t="s">
        <v>1140</v>
      </c>
      <c r="E838" t="s">
        <v>1283</v>
      </c>
      <c r="F838" t="s">
        <v>490</v>
      </c>
      <c r="G838" t="s">
        <v>470</v>
      </c>
      <c r="H838" t="s">
        <v>516</v>
      </c>
      <c r="I838">
        <v>79452.87</v>
      </c>
    </row>
    <row r="839" spans="1:9">
      <c r="A839" s="90" t="s">
        <v>216</v>
      </c>
      <c r="B839" s="87">
        <v>46135</v>
      </c>
      <c r="C839" t="s">
        <v>1284</v>
      </c>
      <c r="D839" t="s">
        <v>1285</v>
      </c>
      <c r="E839" t="s">
        <v>1286</v>
      </c>
      <c r="F839" t="s">
        <v>490</v>
      </c>
      <c r="G839" t="s">
        <v>470</v>
      </c>
      <c r="H839" t="s">
        <v>475</v>
      </c>
      <c r="I839">
        <v>179131.41</v>
      </c>
    </row>
    <row r="840" spans="1:9">
      <c r="A840" s="90" t="s">
        <v>216</v>
      </c>
      <c r="B840" s="87">
        <v>46135</v>
      </c>
      <c r="C840" t="s">
        <v>1287</v>
      </c>
      <c r="D840" t="s">
        <v>1285</v>
      </c>
      <c r="E840" t="s">
        <v>1286</v>
      </c>
      <c r="F840" t="s">
        <v>490</v>
      </c>
      <c r="G840" t="s">
        <v>470</v>
      </c>
      <c r="H840" t="s">
        <v>475</v>
      </c>
      <c r="I840">
        <v>120867.7</v>
      </c>
    </row>
    <row r="841" spans="1:9">
      <c r="A841" s="90" t="s">
        <v>216</v>
      </c>
      <c r="B841" s="87">
        <v>46135</v>
      </c>
      <c r="C841" t="s">
        <v>517</v>
      </c>
      <c r="D841" t="s">
        <v>512</v>
      </c>
      <c r="E841" t="s">
        <v>1259</v>
      </c>
      <c r="F841" t="s">
        <v>474</v>
      </c>
      <c r="G841" t="s">
        <v>470</v>
      </c>
      <c r="H841" t="s">
        <v>475</v>
      </c>
      <c r="I841">
        <v>334155.55</v>
      </c>
    </row>
    <row r="842" spans="1:9">
      <c r="A842" s="90" t="s">
        <v>216</v>
      </c>
      <c r="B842" s="87">
        <v>46139</v>
      </c>
      <c r="C842" t="s">
        <v>511</v>
      </c>
      <c r="D842" t="s">
        <v>512</v>
      </c>
      <c r="E842" t="s">
        <v>1259</v>
      </c>
      <c r="F842" t="s">
        <v>474</v>
      </c>
      <c r="G842" t="s">
        <v>470</v>
      </c>
      <c r="H842" t="s">
        <v>475</v>
      </c>
      <c r="I842">
        <v>37768.949999999997</v>
      </c>
    </row>
    <row r="843" spans="1:9">
      <c r="A843" s="90" t="s">
        <v>216</v>
      </c>
      <c r="B843" s="87">
        <v>46140</v>
      </c>
      <c r="C843" t="s">
        <v>1288</v>
      </c>
      <c r="D843" t="s">
        <v>546</v>
      </c>
      <c r="E843" t="s">
        <v>1289</v>
      </c>
      <c r="F843" t="s">
        <v>490</v>
      </c>
      <c r="G843" t="s">
        <v>470</v>
      </c>
      <c r="H843" t="s">
        <v>487</v>
      </c>
      <c r="I843">
        <v>113828</v>
      </c>
    </row>
    <row r="844" spans="1:9">
      <c r="A844" s="90" t="s">
        <v>216</v>
      </c>
      <c r="B844" s="87">
        <v>46140</v>
      </c>
      <c r="C844" t="s">
        <v>1290</v>
      </c>
      <c r="D844" t="s">
        <v>546</v>
      </c>
      <c r="E844" t="s">
        <v>1291</v>
      </c>
      <c r="F844" t="s">
        <v>490</v>
      </c>
      <c r="G844" t="s">
        <v>470</v>
      </c>
      <c r="H844" t="s">
        <v>487</v>
      </c>
      <c r="I844">
        <v>97898.17</v>
      </c>
    </row>
    <row r="845" spans="1:9">
      <c r="A845" s="90" t="s">
        <v>216</v>
      </c>
      <c r="B845" s="87">
        <v>46140</v>
      </c>
      <c r="C845" t="s">
        <v>1292</v>
      </c>
      <c r="D845" t="s">
        <v>546</v>
      </c>
      <c r="E845" t="s">
        <v>1293</v>
      </c>
      <c r="F845" t="s">
        <v>490</v>
      </c>
      <c r="G845" t="s">
        <v>470</v>
      </c>
      <c r="H845" t="s">
        <v>487</v>
      </c>
      <c r="I845">
        <v>97056.67</v>
      </c>
    </row>
    <row r="846" spans="1:9">
      <c r="A846" s="90" t="s">
        <v>216</v>
      </c>
      <c r="B846" s="87">
        <v>46140</v>
      </c>
      <c r="C846" t="s">
        <v>1294</v>
      </c>
      <c r="D846" t="s">
        <v>546</v>
      </c>
      <c r="E846" t="s">
        <v>1295</v>
      </c>
      <c r="F846" t="s">
        <v>490</v>
      </c>
      <c r="G846" t="s">
        <v>470</v>
      </c>
      <c r="H846" t="s">
        <v>487</v>
      </c>
      <c r="I846">
        <v>116495.5</v>
      </c>
    </row>
    <row r="847" spans="1:9">
      <c r="A847" s="90" t="s">
        <v>216</v>
      </c>
      <c r="B847" s="87">
        <v>46140</v>
      </c>
      <c r="C847" t="s">
        <v>1296</v>
      </c>
      <c r="D847" t="s">
        <v>546</v>
      </c>
      <c r="E847" t="s">
        <v>1297</v>
      </c>
      <c r="F847" t="s">
        <v>490</v>
      </c>
      <c r="G847" t="s">
        <v>470</v>
      </c>
      <c r="H847" t="s">
        <v>487</v>
      </c>
      <c r="I847">
        <v>31456.33</v>
      </c>
    </row>
    <row r="848" spans="1:9">
      <c r="A848" s="90" t="s">
        <v>216</v>
      </c>
      <c r="B848" s="87">
        <v>46140</v>
      </c>
      <c r="C848" t="s">
        <v>1298</v>
      </c>
      <c r="D848" t="s">
        <v>546</v>
      </c>
      <c r="E848" t="s">
        <v>1299</v>
      </c>
      <c r="F848" t="s">
        <v>490</v>
      </c>
      <c r="G848" t="s">
        <v>470</v>
      </c>
      <c r="H848" t="s">
        <v>487</v>
      </c>
      <c r="I848">
        <v>80045.17</v>
      </c>
    </row>
    <row r="849" spans="1:9">
      <c r="A849" s="90" t="s">
        <v>216</v>
      </c>
      <c r="B849" s="87">
        <v>46140</v>
      </c>
      <c r="C849" t="s">
        <v>1300</v>
      </c>
      <c r="D849" t="s">
        <v>546</v>
      </c>
      <c r="E849" t="s">
        <v>1301</v>
      </c>
      <c r="F849" t="s">
        <v>490</v>
      </c>
      <c r="G849" t="s">
        <v>470</v>
      </c>
      <c r="H849" t="s">
        <v>487</v>
      </c>
      <c r="I849">
        <v>13220.17</v>
      </c>
    </row>
    <row r="850" spans="1:9">
      <c r="A850" s="90" t="s">
        <v>216</v>
      </c>
      <c r="B850" s="87">
        <v>46140</v>
      </c>
      <c r="C850" t="s">
        <v>517</v>
      </c>
      <c r="D850" t="s">
        <v>512</v>
      </c>
      <c r="E850" t="s">
        <v>1259</v>
      </c>
      <c r="F850" t="s">
        <v>474</v>
      </c>
      <c r="G850" t="s">
        <v>470</v>
      </c>
      <c r="H850" t="s">
        <v>475</v>
      </c>
      <c r="I850">
        <v>549481</v>
      </c>
    </row>
    <row r="851" spans="1:9">
      <c r="A851" s="90" t="s">
        <v>216</v>
      </c>
      <c r="B851" s="87">
        <v>46141</v>
      </c>
      <c r="C851" t="s">
        <v>511</v>
      </c>
      <c r="D851" t="s">
        <v>512</v>
      </c>
      <c r="E851" t="s">
        <v>1259</v>
      </c>
      <c r="F851" t="s">
        <v>474</v>
      </c>
      <c r="G851" t="s">
        <v>470</v>
      </c>
      <c r="H851" t="s">
        <v>475</v>
      </c>
      <c r="I851">
        <v>438.72</v>
      </c>
    </row>
    <row r="852" spans="1:9">
      <c r="A852" s="90" t="s">
        <v>216</v>
      </c>
      <c r="B852" s="87">
        <v>46142</v>
      </c>
      <c r="C852" t="s">
        <v>1302</v>
      </c>
      <c r="D852" t="s">
        <v>546</v>
      </c>
      <c r="E852" t="s">
        <v>1303</v>
      </c>
      <c r="F852" t="s">
        <v>490</v>
      </c>
      <c r="G852" t="s">
        <v>470</v>
      </c>
      <c r="H852" t="s">
        <v>487</v>
      </c>
      <c r="I852">
        <v>94189.33</v>
      </c>
    </row>
    <row r="853" spans="1:9">
      <c r="A853" s="90" t="s">
        <v>216</v>
      </c>
      <c r="B853" s="87">
        <v>46142</v>
      </c>
      <c r="C853" t="s">
        <v>1304</v>
      </c>
      <c r="D853" t="s">
        <v>546</v>
      </c>
      <c r="E853" t="s">
        <v>1305</v>
      </c>
      <c r="F853" t="s">
        <v>490</v>
      </c>
      <c r="G853" t="s">
        <v>470</v>
      </c>
      <c r="H853" t="s">
        <v>487</v>
      </c>
      <c r="I853">
        <v>82032.5</v>
      </c>
    </row>
    <row r="854" spans="1:9">
      <c r="A854" s="90" t="s">
        <v>216</v>
      </c>
      <c r="B854" s="87">
        <v>46142</v>
      </c>
      <c r="C854" t="s">
        <v>1306</v>
      </c>
      <c r="D854" t="s">
        <v>546</v>
      </c>
      <c r="E854" t="s">
        <v>1307</v>
      </c>
      <c r="F854" t="s">
        <v>490</v>
      </c>
      <c r="G854" t="s">
        <v>470</v>
      </c>
      <c r="H854" t="s">
        <v>487</v>
      </c>
      <c r="I854">
        <v>75363.66</v>
      </c>
    </row>
    <row r="855" spans="1:9">
      <c r="A855" s="90" t="s">
        <v>216</v>
      </c>
      <c r="B855" s="87">
        <v>46142</v>
      </c>
      <c r="C855" t="s">
        <v>1308</v>
      </c>
      <c r="D855" t="s">
        <v>546</v>
      </c>
      <c r="E855" t="s">
        <v>1309</v>
      </c>
      <c r="F855" t="s">
        <v>490</v>
      </c>
      <c r="G855" t="s">
        <v>470</v>
      </c>
      <c r="H855" t="s">
        <v>487</v>
      </c>
      <c r="I855">
        <v>87919.33</v>
      </c>
    </row>
    <row r="856" spans="1:9">
      <c r="A856" s="90" t="s">
        <v>216</v>
      </c>
      <c r="B856" s="87">
        <v>46142</v>
      </c>
      <c r="C856" t="s">
        <v>1310</v>
      </c>
      <c r="D856" t="s">
        <v>546</v>
      </c>
      <c r="E856" t="s">
        <v>1311</v>
      </c>
      <c r="F856" t="s">
        <v>490</v>
      </c>
      <c r="G856" t="s">
        <v>470</v>
      </c>
      <c r="H856" t="s">
        <v>487</v>
      </c>
      <c r="I856">
        <v>75205.17</v>
      </c>
    </row>
    <row r="857" spans="1:9">
      <c r="A857" s="90" t="s">
        <v>216</v>
      </c>
      <c r="B857" s="87">
        <v>46142</v>
      </c>
      <c r="C857" t="s">
        <v>1312</v>
      </c>
      <c r="D857" t="s">
        <v>546</v>
      </c>
      <c r="E857" t="s">
        <v>1313</v>
      </c>
      <c r="F857" t="s">
        <v>490</v>
      </c>
      <c r="G857" t="s">
        <v>470</v>
      </c>
      <c r="H857" t="s">
        <v>487</v>
      </c>
      <c r="I857">
        <v>58199.53</v>
      </c>
    </row>
    <row r="858" spans="1:9">
      <c r="A858" s="90" t="s">
        <v>216</v>
      </c>
      <c r="B858" s="87">
        <v>46142</v>
      </c>
      <c r="C858" t="s">
        <v>1314</v>
      </c>
      <c r="D858" t="s">
        <v>546</v>
      </c>
      <c r="E858" t="s">
        <v>1315</v>
      </c>
      <c r="F858" t="s">
        <v>490</v>
      </c>
      <c r="G858" t="s">
        <v>470</v>
      </c>
      <c r="H858" t="s">
        <v>487</v>
      </c>
      <c r="I858">
        <v>101840.48</v>
      </c>
    </row>
    <row r="859" spans="1:9">
      <c r="A859" s="90" t="s">
        <v>216</v>
      </c>
      <c r="B859" s="87">
        <v>46142</v>
      </c>
      <c r="C859" t="s">
        <v>1316</v>
      </c>
      <c r="D859" t="s">
        <v>1317</v>
      </c>
      <c r="E859" t="s">
        <v>407</v>
      </c>
      <c r="F859" t="s">
        <v>474</v>
      </c>
      <c r="G859" t="s">
        <v>470</v>
      </c>
      <c r="H859" t="s">
        <v>475</v>
      </c>
      <c r="I859">
        <v>83666.740000000005</v>
      </c>
    </row>
    <row r="860" spans="1:9">
      <c r="A860" s="90" t="s">
        <v>216</v>
      </c>
      <c r="B860" s="87">
        <v>46142</v>
      </c>
      <c r="C860" t="s">
        <v>1318</v>
      </c>
      <c r="D860" t="s">
        <v>477</v>
      </c>
      <c r="E860" t="s">
        <v>1319</v>
      </c>
      <c r="F860" t="s">
        <v>218</v>
      </c>
      <c r="G860" t="s">
        <v>470</v>
      </c>
      <c r="H860" t="s">
        <v>516</v>
      </c>
      <c r="I860">
        <v>19370</v>
      </c>
    </row>
    <row r="861" spans="1:9">
      <c r="A861" s="90" t="s">
        <v>216</v>
      </c>
      <c r="B861" s="87">
        <v>46142</v>
      </c>
      <c r="C861" t="s">
        <v>511</v>
      </c>
      <c r="D861" t="s">
        <v>512</v>
      </c>
      <c r="E861" t="s">
        <v>1259</v>
      </c>
      <c r="F861" t="s">
        <v>474</v>
      </c>
      <c r="G861" t="s">
        <v>470</v>
      </c>
      <c r="H861" t="s">
        <v>475</v>
      </c>
      <c r="I861">
        <v>434607.05</v>
      </c>
    </row>
    <row r="862" spans="1:9">
      <c r="A862" s="90" t="s">
        <v>216</v>
      </c>
      <c r="B862" s="87">
        <v>46142</v>
      </c>
      <c r="C862" t="s">
        <v>526</v>
      </c>
      <c r="D862" t="s">
        <v>512</v>
      </c>
      <c r="E862" t="s">
        <v>1259</v>
      </c>
      <c r="F862" t="s">
        <v>474</v>
      </c>
      <c r="G862" t="s">
        <v>470</v>
      </c>
      <c r="H862" t="s">
        <v>475</v>
      </c>
      <c r="I862">
        <v>0.01</v>
      </c>
    </row>
    <row r="863" spans="1:9">
      <c r="A863" s="90" t="s">
        <v>216</v>
      </c>
      <c r="B863" s="87">
        <v>46142</v>
      </c>
      <c r="C863" t="s">
        <v>524</v>
      </c>
      <c r="D863" t="s">
        <v>477</v>
      </c>
      <c r="E863" t="s">
        <v>1259</v>
      </c>
      <c r="F863" t="s">
        <v>1117</v>
      </c>
      <c r="G863" t="s">
        <v>470</v>
      </c>
      <c r="H863" t="s">
        <v>516</v>
      </c>
      <c r="I863">
        <v>18003.330000000002</v>
      </c>
    </row>
    <row r="864" spans="1:9">
      <c r="A864" s="90" t="s">
        <v>216</v>
      </c>
      <c r="B864" s="87">
        <v>46142</v>
      </c>
      <c r="C864" t="s">
        <v>524</v>
      </c>
      <c r="D864" t="s">
        <v>477</v>
      </c>
      <c r="E864" t="s">
        <v>1259</v>
      </c>
      <c r="F864" t="s">
        <v>1117</v>
      </c>
      <c r="G864" t="s">
        <v>470</v>
      </c>
      <c r="H864" t="s">
        <v>516</v>
      </c>
      <c r="I864">
        <v>11619.27</v>
      </c>
    </row>
    <row r="865" spans="1:9">
      <c r="A865" s="90" t="s">
        <v>216</v>
      </c>
      <c r="B865" s="87">
        <v>46142</v>
      </c>
      <c r="C865" t="s">
        <v>524</v>
      </c>
      <c r="D865" t="s">
        <v>477</v>
      </c>
      <c r="E865" t="s">
        <v>1259</v>
      </c>
      <c r="F865" t="s">
        <v>1117</v>
      </c>
      <c r="G865" t="s">
        <v>470</v>
      </c>
      <c r="H865" t="s">
        <v>516</v>
      </c>
      <c r="I865">
        <v>695.51</v>
      </c>
    </row>
    <row r="866" spans="1:9">
      <c r="A866" s="90" t="s">
        <v>51</v>
      </c>
      <c r="B866" s="87">
        <v>45659</v>
      </c>
      <c r="C866" t="s">
        <v>511</v>
      </c>
      <c r="D866" t="s">
        <v>512</v>
      </c>
      <c r="E866" t="s">
        <v>509</v>
      </c>
      <c r="F866" t="s">
        <v>474</v>
      </c>
      <c r="G866" t="s">
        <v>470</v>
      </c>
      <c r="H866" t="s">
        <v>475</v>
      </c>
      <c r="I866">
        <v>588.79999999999995</v>
      </c>
    </row>
    <row r="867" spans="1:9">
      <c r="A867" s="90" t="s">
        <v>51</v>
      </c>
      <c r="B867" s="87">
        <v>45663</v>
      </c>
      <c r="C867" t="s">
        <v>511</v>
      </c>
      <c r="D867" t="s">
        <v>512</v>
      </c>
      <c r="E867" t="s">
        <v>509</v>
      </c>
      <c r="F867" t="s">
        <v>474</v>
      </c>
      <c r="G867" t="s">
        <v>470</v>
      </c>
      <c r="H867" t="s">
        <v>475</v>
      </c>
      <c r="I867">
        <v>179.9</v>
      </c>
    </row>
    <row r="868" spans="1:9">
      <c r="A868" s="90" t="s">
        <v>51</v>
      </c>
      <c r="B868" s="87">
        <v>45664</v>
      </c>
      <c r="C868" t="s">
        <v>511</v>
      </c>
      <c r="D868" t="s">
        <v>512</v>
      </c>
      <c r="E868" t="s">
        <v>509</v>
      </c>
      <c r="F868" t="s">
        <v>474</v>
      </c>
      <c r="G868" t="s">
        <v>470</v>
      </c>
      <c r="H868" t="s">
        <v>475</v>
      </c>
      <c r="I868">
        <v>15671.2</v>
      </c>
    </row>
    <row r="869" spans="1:9">
      <c r="A869" s="90" t="s">
        <v>51</v>
      </c>
      <c r="B869" s="87">
        <v>45666</v>
      </c>
      <c r="C869" t="s">
        <v>511</v>
      </c>
      <c r="D869" t="s">
        <v>512</v>
      </c>
      <c r="E869" t="s">
        <v>509</v>
      </c>
      <c r="F869" t="s">
        <v>474</v>
      </c>
      <c r="G869" t="s">
        <v>470</v>
      </c>
      <c r="H869" t="s">
        <v>475</v>
      </c>
      <c r="I869">
        <v>8197.08</v>
      </c>
    </row>
    <row r="870" spans="1:9">
      <c r="A870" s="90" t="s">
        <v>51</v>
      </c>
      <c r="B870" s="87">
        <v>45667</v>
      </c>
      <c r="C870" t="s">
        <v>511</v>
      </c>
      <c r="D870" t="s">
        <v>512</v>
      </c>
      <c r="E870" t="s">
        <v>509</v>
      </c>
      <c r="F870" t="s">
        <v>474</v>
      </c>
      <c r="G870" t="s">
        <v>470</v>
      </c>
      <c r="H870" t="s">
        <v>475</v>
      </c>
      <c r="I870">
        <v>698.05</v>
      </c>
    </row>
    <row r="871" spans="1:9">
      <c r="A871" s="90" t="s">
        <v>51</v>
      </c>
      <c r="B871" s="87">
        <v>45672</v>
      </c>
      <c r="C871" t="s">
        <v>511</v>
      </c>
      <c r="D871" t="s">
        <v>512</v>
      </c>
      <c r="E871" t="s">
        <v>509</v>
      </c>
      <c r="F871" t="s">
        <v>474</v>
      </c>
      <c r="G871" t="s">
        <v>470</v>
      </c>
      <c r="H871" t="s">
        <v>475</v>
      </c>
      <c r="I871">
        <v>890.23</v>
      </c>
    </row>
    <row r="872" spans="1:9">
      <c r="A872" s="90" t="s">
        <v>51</v>
      </c>
      <c r="B872" s="87">
        <v>45673</v>
      </c>
      <c r="C872" t="s">
        <v>511</v>
      </c>
      <c r="D872" t="s">
        <v>512</v>
      </c>
      <c r="E872" t="s">
        <v>509</v>
      </c>
      <c r="F872" t="s">
        <v>474</v>
      </c>
      <c r="G872" t="s">
        <v>470</v>
      </c>
      <c r="H872" t="s">
        <v>475</v>
      </c>
      <c r="I872">
        <v>67963.7</v>
      </c>
    </row>
    <row r="873" spans="1:9">
      <c r="A873" s="90" t="s">
        <v>51</v>
      </c>
      <c r="B873" s="87">
        <v>45674</v>
      </c>
      <c r="C873" t="s">
        <v>511</v>
      </c>
      <c r="D873" t="s">
        <v>512</v>
      </c>
      <c r="E873" t="s">
        <v>509</v>
      </c>
      <c r="F873" t="s">
        <v>474</v>
      </c>
      <c r="G873" t="s">
        <v>470</v>
      </c>
      <c r="H873" t="s">
        <v>475</v>
      </c>
      <c r="I873">
        <v>118.5</v>
      </c>
    </row>
    <row r="874" spans="1:9">
      <c r="A874" s="90" t="s">
        <v>51</v>
      </c>
      <c r="B874" s="87">
        <v>45677</v>
      </c>
      <c r="C874" t="s">
        <v>1320</v>
      </c>
      <c r="D874" t="s">
        <v>773</v>
      </c>
      <c r="E874" t="s">
        <v>671</v>
      </c>
      <c r="F874" t="s">
        <v>537</v>
      </c>
      <c r="G874" t="s">
        <v>470</v>
      </c>
      <c r="H874" t="s">
        <v>475</v>
      </c>
      <c r="I874">
        <v>1500000</v>
      </c>
    </row>
    <row r="875" spans="1:9">
      <c r="A875" s="90" t="s">
        <v>51</v>
      </c>
      <c r="B875" s="87">
        <v>45677</v>
      </c>
      <c r="C875" t="s">
        <v>517</v>
      </c>
      <c r="D875" t="s">
        <v>512</v>
      </c>
      <c r="E875" t="s">
        <v>509</v>
      </c>
      <c r="F875" t="s">
        <v>474</v>
      </c>
      <c r="G875" t="s">
        <v>470</v>
      </c>
      <c r="H875" t="s">
        <v>475</v>
      </c>
      <c r="I875">
        <v>991844.61</v>
      </c>
    </row>
    <row r="876" spans="1:9">
      <c r="A876" s="90" t="s">
        <v>51</v>
      </c>
      <c r="B876" s="87">
        <v>45678</v>
      </c>
      <c r="C876" t="s">
        <v>511</v>
      </c>
      <c r="D876" t="s">
        <v>512</v>
      </c>
      <c r="E876" t="s">
        <v>509</v>
      </c>
      <c r="F876" t="s">
        <v>474</v>
      </c>
      <c r="G876" t="s">
        <v>470</v>
      </c>
      <c r="H876" t="s">
        <v>475</v>
      </c>
      <c r="I876">
        <v>120000</v>
      </c>
    </row>
    <row r="877" spans="1:9">
      <c r="A877" s="90" t="s">
        <v>51</v>
      </c>
      <c r="B877" s="87">
        <v>45679</v>
      </c>
      <c r="C877" t="s">
        <v>511</v>
      </c>
      <c r="D877" t="s">
        <v>512</v>
      </c>
      <c r="E877" t="s">
        <v>1321</v>
      </c>
      <c r="F877" t="s">
        <v>474</v>
      </c>
      <c r="G877" t="s">
        <v>470</v>
      </c>
      <c r="H877" t="s">
        <v>475</v>
      </c>
      <c r="I877">
        <v>140</v>
      </c>
    </row>
    <row r="878" spans="1:9">
      <c r="A878" s="90" t="s">
        <v>51</v>
      </c>
      <c r="B878" s="87">
        <v>45680</v>
      </c>
      <c r="C878" t="s">
        <v>511</v>
      </c>
      <c r="D878" t="s">
        <v>512</v>
      </c>
      <c r="E878" t="s">
        <v>509</v>
      </c>
      <c r="F878" t="s">
        <v>474</v>
      </c>
      <c r="G878" t="s">
        <v>470</v>
      </c>
      <c r="H878" t="s">
        <v>475</v>
      </c>
      <c r="I878">
        <v>813.97</v>
      </c>
    </row>
    <row r="879" spans="1:9">
      <c r="A879" s="90" t="s">
        <v>51</v>
      </c>
      <c r="B879" s="87">
        <v>45681</v>
      </c>
      <c r="C879" t="s">
        <v>511</v>
      </c>
      <c r="D879" t="s">
        <v>512</v>
      </c>
      <c r="E879" t="s">
        <v>509</v>
      </c>
      <c r="F879" t="s">
        <v>474</v>
      </c>
      <c r="G879" t="s">
        <v>470</v>
      </c>
      <c r="H879" t="s">
        <v>475</v>
      </c>
      <c r="I879">
        <v>245521.39</v>
      </c>
    </row>
    <row r="880" spans="1:9">
      <c r="A880" s="90" t="s">
        <v>51</v>
      </c>
      <c r="B880" s="87">
        <v>45684</v>
      </c>
      <c r="C880" t="s">
        <v>1322</v>
      </c>
      <c r="D880" t="s">
        <v>512</v>
      </c>
      <c r="E880" t="s">
        <v>509</v>
      </c>
      <c r="F880" t="s">
        <v>474</v>
      </c>
      <c r="G880" t="s">
        <v>470</v>
      </c>
      <c r="H880" t="s">
        <v>475</v>
      </c>
      <c r="I880">
        <v>198489.23</v>
      </c>
    </row>
    <row r="881" spans="1:9">
      <c r="A881" s="90" t="s">
        <v>51</v>
      </c>
      <c r="B881" s="87">
        <v>45684</v>
      </c>
      <c r="C881" t="s">
        <v>511</v>
      </c>
      <c r="D881" t="s">
        <v>512</v>
      </c>
      <c r="E881" t="s">
        <v>509</v>
      </c>
      <c r="F881" t="s">
        <v>474</v>
      </c>
      <c r="G881" t="s">
        <v>470</v>
      </c>
      <c r="H881" t="s">
        <v>475</v>
      </c>
      <c r="I881">
        <v>610517.06999999995</v>
      </c>
    </row>
    <row r="882" spans="1:9">
      <c r="A882" s="90" t="s">
        <v>51</v>
      </c>
      <c r="B882" s="87">
        <v>45685</v>
      </c>
      <c r="C882" t="s">
        <v>1323</v>
      </c>
      <c r="D882" t="s">
        <v>773</v>
      </c>
      <c r="E882" t="s">
        <v>539</v>
      </c>
      <c r="F882" t="s">
        <v>537</v>
      </c>
      <c r="G882" t="s">
        <v>470</v>
      </c>
      <c r="H882" t="s">
        <v>475</v>
      </c>
      <c r="I882">
        <v>1000000</v>
      </c>
    </row>
    <row r="883" spans="1:9">
      <c r="A883" s="90" t="s">
        <v>51</v>
      </c>
      <c r="B883" s="87">
        <v>45685</v>
      </c>
      <c r="C883" t="s">
        <v>517</v>
      </c>
      <c r="D883" t="s">
        <v>512</v>
      </c>
      <c r="E883" t="s">
        <v>509</v>
      </c>
      <c r="F883" t="s">
        <v>474</v>
      </c>
      <c r="G883" t="s">
        <v>470</v>
      </c>
      <c r="H883" t="s">
        <v>475</v>
      </c>
      <c r="I883">
        <v>652072.03</v>
      </c>
    </row>
    <row r="884" spans="1:9">
      <c r="A884" s="90" t="s">
        <v>51</v>
      </c>
      <c r="B884" s="87">
        <v>45687</v>
      </c>
      <c r="C884" t="s">
        <v>1323</v>
      </c>
      <c r="D884" t="s">
        <v>773</v>
      </c>
      <c r="E884" t="s">
        <v>539</v>
      </c>
      <c r="F884" t="s">
        <v>537</v>
      </c>
      <c r="G884" t="s">
        <v>470</v>
      </c>
      <c r="H884" t="s">
        <v>475</v>
      </c>
      <c r="I884">
        <v>300000</v>
      </c>
    </row>
    <row r="885" spans="1:9">
      <c r="A885" s="90" t="s">
        <v>51</v>
      </c>
      <c r="B885" s="87">
        <v>45687</v>
      </c>
      <c r="C885" t="s">
        <v>511</v>
      </c>
      <c r="D885" t="s">
        <v>512</v>
      </c>
      <c r="E885" t="s">
        <v>509</v>
      </c>
      <c r="F885" t="s">
        <v>474</v>
      </c>
      <c r="G885" t="s">
        <v>470</v>
      </c>
      <c r="H885" t="s">
        <v>475</v>
      </c>
      <c r="I885">
        <v>475336</v>
      </c>
    </row>
    <row r="886" spans="1:9">
      <c r="A886" s="90" t="s">
        <v>51</v>
      </c>
      <c r="B886" s="87">
        <v>45688</v>
      </c>
      <c r="C886" t="s">
        <v>524</v>
      </c>
      <c r="D886" t="s">
        <v>477</v>
      </c>
      <c r="E886" t="s">
        <v>509</v>
      </c>
      <c r="F886" t="s">
        <v>525</v>
      </c>
      <c r="G886" t="s">
        <v>470</v>
      </c>
      <c r="H886" t="s">
        <v>516</v>
      </c>
      <c r="I886">
        <v>619.02</v>
      </c>
    </row>
    <row r="887" spans="1:9">
      <c r="A887" s="90" t="s">
        <v>51</v>
      </c>
      <c r="B887" s="87">
        <v>45688</v>
      </c>
      <c r="C887" t="s">
        <v>524</v>
      </c>
      <c r="D887" t="s">
        <v>477</v>
      </c>
      <c r="E887" t="s">
        <v>509</v>
      </c>
      <c r="F887" t="s">
        <v>525</v>
      </c>
      <c r="G887" t="s">
        <v>470</v>
      </c>
      <c r="H887" t="s">
        <v>516</v>
      </c>
      <c r="I887">
        <v>263.37</v>
      </c>
    </row>
    <row r="888" spans="1:9">
      <c r="A888" s="90" t="s">
        <v>51</v>
      </c>
      <c r="B888" s="87">
        <v>45688</v>
      </c>
      <c r="C888" t="s">
        <v>524</v>
      </c>
      <c r="D888" t="s">
        <v>1324</v>
      </c>
      <c r="E888" t="s">
        <v>509</v>
      </c>
      <c r="F888" t="s">
        <v>525</v>
      </c>
      <c r="G888" t="s">
        <v>470</v>
      </c>
      <c r="H888" t="s">
        <v>516</v>
      </c>
      <c r="I888">
        <v>1648.31</v>
      </c>
    </row>
    <row r="889" spans="1:9">
      <c r="A889" s="90" t="s">
        <v>51</v>
      </c>
      <c r="B889" s="87">
        <v>45691</v>
      </c>
      <c r="C889" t="s">
        <v>563</v>
      </c>
      <c r="D889" t="s">
        <v>512</v>
      </c>
      <c r="E889" t="s">
        <v>527</v>
      </c>
      <c r="F889" t="s">
        <v>474</v>
      </c>
      <c r="G889" t="s">
        <v>470</v>
      </c>
      <c r="H889" t="s">
        <v>475</v>
      </c>
      <c r="I889">
        <v>21759.72</v>
      </c>
    </row>
    <row r="890" spans="1:9">
      <c r="A890" s="90" t="s">
        <v>51</v>
      </c>
      <c r="B890" s="87">
        <v>45691</v>
      </c>
      <c r="C890" t="s">
        <v>517</v>
      </c>
      <c r="D890" t="s">
        <v>512</v>
      </c>
      <c r="E890" t="s">
        <v>527</v>
      </c>
      <c r="F890" t="s">
        <v>474</v>
      </c>
      <c r="G890" t="s">
        <v>470</v>
      </c>
      <c r="H890" t="s">
        <v>475</v>
      </c>
      <c r="I890">
        <v>174388.38</v>
      </c>
    </row>
    <row r="891" spans="1:9">
      <c r="A891" s="90" t="s">
        <v>51</v>
      </c>
      <c r="B891" s="87">
        <v>45692</v>
      </c>
      <c r="C891" t="s">
        <v>511</v>
      </c>
      <c r="D891" t="s">
        <v>512</v>
      </c>
      <c r="E891" t="s">
        <v>527</v>
      </c>
      <c r="F891" t="s">
        <v>474</v>
      </c>
      <c r="G891" t="s">
        <v>470</v>
      </c>
      <c r="H891" t="s">
        <v>475</v>
      </c>
      <c r="I891">
        <v>34129.21</v>
      </c>
    </row>
    <row r="892" spans="1:9">
      <c r="A892" s="90" t="s">
        <v>51</v>
      </c>
      <c r="B892" s="87">
        <v>45693</v>
      </c>
      <c r="C892" t="s">
        <v>511</v>
      </c>
      <c r="D892" t="s">
        <v>512</v>
      </c>
      <c r="E892" t="s">
        <v>527</v>
      </c>
      <c r="F892" t="s">
        <v>474</v>
      </c>
      <c r="G892" t="s">
        <v>470</v>
      </c>
      <c r="H892" t="s">
        <v>475</v>
      </c>
      <c r="I892">
        <v>103922.5</v>
      </c>
    </row>
    <row r="893" spans="1:9">
      <c r="A893" s="90" t="s">
        <v>51</v>
      </c>
      <c r="B893" s="87">
        <v>45694</v>
      </c>
      <c r="C893" t="s">
        <v>1323</v>
      </c>
      <c r="D893" t="s">
        <v>773</v>
      </c>
      <c r="E893" t="s">
        <v>539</v>
      </c>
      <c r="F893" t="s">
        <v>537</v>
      </c>
      <c r="G893" t="s">
        <v>470</v>
      </c>
      <c r="H893" t="s">
        <v>475</v>
      </c>
      <c r="I893">
        <v>250000</v>
      </c>
    </row>
    <row r="894" spans="1:9">
      <c r="A894" s="90" t="s">
        <v>51</v>
      </c>
      <c r="B894" s="87">
        <v>45698</v>
      </c>
      <c r="C894" t="s">
        <v>511</v>
      </c>
      <c r="D894" t="s">
        <v>512</v>
      </c>
      <c r="E894" t="s">
        <v>527</v>
      </c>
      <c r="F894" t="s">
        <v>474</v>
      </c>
      <c r="G894" t="s">
        <v>470</v>
      </c>
      <c r="H894" t="s">
        <v>475</v>
      </c>
      <c r="I894">
        <v>31097.599999999999</v>
      </c>
    </row>
    <row r="895" spans="1:9">
      <c r="A895" s="90" t="s">
        <v>51</v>
      </c>
      <c r="B895" s="87">
        <v>45702</v>
      </c>
      <c r="C895" t="s">
        <v>511</v>
      </c>
      <c r="D895" t="s">
        <v>512</v>
      </c>
      <c r="E895" t="s">
        <v>527</v>
      </c>
      <c r="F895" t="s">
        <v>474</v>
      </c>
      <c r="G895" t="s">
        <v>470</v>
      </c>
      <c r="H895" t="s">
        <v>475</v>
      </c>
      <c r="I895">
        <v>47943.94</v>
      </c>
    </row>
    <row r="896" spans="1:9">
      <c r="A896" s="90" t="s">
        <v>51</v>
      </c>
      <c r="B896" s="87">
        <v>45705</v>
      </c>
      <c r="C896" t="s">
        <v>511</v>
      </c>
      <c r="D896" t="s">
        <v>512</v>
      </c>
      <c r="E896" t="s">
        <v>527</v>
      </c>
      <c r="F896" t="s">
        <v>474</v>
      </c>
      <c r="G896" t="s">
        <v>470</v>
      </c>
      <c r="H896" t="s">
        <v>475</v>
      </c>
      <c r="I896">
        <v>103844.27</v>
      </c>
    </row>
    <row r="897" spans="1:9">
      <c r="A897" s="90" t="s">
        <v>51</v>
      </c>
      <c r="B897" s="87">
        <v>45707</v>
      </c>
      <c r="C897" t="s">
        <v>511</v>
      </c>
      <c r="D897" t="s">
        <v>512</v>
      </c>
      <c r="E897" t="s">
        <v>527</v>
      </c>
      <c r="F897" t="s">
        <v>474</v>
      </c>
      <c r="G897" t="s">
        <v>470</v>
      </c>
      <c r="H897" t="s">
        <v>475</v>
      </c>
      <c r="I897">
        <v>16595.900000000001</v>
      </c>
    </row>
    <row r="898" spans="1:9">
      <c r="A898" s="90" t="s">
        <v>51</v>
      </c>
      <c r="B898" s="87">
        <v>45708</v>
      </c>
      <c r="C898" t="s">
        <v>1325</v>
      </c>
      <c r="D898" t="s">
        <v>1326</v>
      </c>
      <c r="E898" t="s">
        <v>1327</v>
      </c>
      <c r="F898" t="s">
        <v>490</v>
      </c>
      <c r="G898" t="s">
        <v>470</v>
      </c>
      <c r="H898" t="s">
        <v>801</v>
      </c>
      <c r="I898">
        <v>97539</v>
      </c>
    </row>
    <row r="899" spans="1:9">
      <c r="A899" s="90" t="s">
        <v>51</v>
      </c>
      <c r="B899" s="87">
        <v>45708</v>
      </c>
      <c r="C899" t="s">
        <v>1328</v>
      </c>
      <c r="D899" t="s">
        <v>1326</v>
      </c>
      <c r="E899" t="s">
        <v>1329</v>
      </c>
      <c r="F899" t="s">
        <v>490</v>
      </c>
      <c r="G899" t="s">
        <v>470</v>
      </c>
      <c r="H899" t="s">
        <v>801</v>
      </c>
      <c r="I899">
        <v>96760</v>
      </c>
    </row>
    <row r="900" spans="1:9">
      <c r="A900" s="90" t="s">
        <v>51</v>
      </c>
      <c r="B900" s="87">
        <v>45708</v>
      </c>
      <c r="C900" t="s">
        <v>1330</v>
      </c>
      <c r="D900" t="s">
        <v>1326</v>
      </c>
      <c r="E900" t="s">
        <v>1331</v>
      </c>
      <c r="F900" t="s">
        <v>490</v>
      </c>
      <c r="G900" t="s">
        <v>470</v>
      </c>
      <c r="H900" t="s">
        <v>801</v>
      </c>
      <c r="I900">
        <v>97375</v>
      </c>
    </row>
    <row r="901" spans="1:9">
      <c r="A901" s="90" t="s">
        <v>51</v>
      </c>
      <c r="B901" s="87">
        <v>45708</v>
      </c>
      <c r="C901" t="s">
        <v>1332</v>
      </c>
      <c r="D901" t="s">
        <v>1326</v>
      </c>
      <c r="E901" t="s">
        <v>1333</v>
      </c>
      <c r="F901" t="s">
        <v>490</v>
      </c>
      <c r="G901" t="s">
        <v>470</v>
      </c>
      <c r="H901" t="s">
        <v>801</v>
      </c>
      <c r="I901">
        <v>93562</v>
      </c>
    </row>
    <row r="902" spans="1:9">
      <c r="A902" s="90" t="s">
        <v>51</v>
      </c>
      <c r="B902" s="87">
        <v>45708</v>
      </c>
      <c r="C902" t="s">
        <v>1334</v>
      </c>
      <c r="D902" t="s">
        <v>1326</v>
      </c>
      <c r="E902" t="s">
        <v>1335</v>
      </c>
      <c r="F902" t="s">
        <v>490</v>
      </c>
      <c r="G902" t="s">
        <v>470</v>
      </c>
      <c r="H902" t="s">
        <v>801</v>
      </c>
      <c r="I902">
        <v>96104</v>
      </c>
    </row>
    <row r="903" spans="1:9">
      <c r="A903" s="90" t="s">
        <v>51</v>
      </c>
      <c r="B903" s="87">
        <v>45708</v>
      </c>
      <c r="C903" t="s">
        <v>1336</v>
      </c>
      <c r="D903" t="s">
        <v>1326</v>
      </c>
      <c r="E903" t="s">
        <v>1337</v>
      </c>
      <c r="F903" t="s">
        <v>490</v>
      </c>
      <c r="G903" t="s">
        <v>470</v>
      </c>
      <c r="H903" t="s">
        <v>801</v>
      </c>
      <c r="I903">
        <v>95653</v>
      </c>
    </row>
    <row r="904" spans="1:9">
      <c r="A904" s="90" t="s">
        <v>51</v>
      </c>
      <c r="B904" s="87">
        <v>45708</v>
      </c>
      <c r="C904" t="s">
        <v>1338</v>
      </c>
      <c r="D904" t="s">
        <v>1140</v>
      </c>
      <c r="E904" t="s">
        <v>1339</v>
      </c>
      <c r="F904" t="s">
        <v>490</v>
      </c>
      <c r="G904" t="s">
        <v>470</v>
      </c>
      <c r="H904" t="s">
        <v>801</v>
      </c>
      <c r="I904">
        <v>62406.67</v>
      </c>
    </row>
    <row r="905" spans="1:9">
      <c r="A905" s="90" t="s">
        <v>51</v>
      </c>
      <c r="B905" s="87">
        <v>45708</v>
      </c>
      <c r="C905" t="s">
        <v>1340</v>
      </c>
      <c r="D905" t="s">
        <v>1140</v>
      </c>
      <c r="E905" t="s">
        <v>1341</v>
      </c>
      <c r="F905" t="s">
        <v>490</v>
      </c>
      <c r="G905" t="s">
        <v>470</v>
      </c>
      <c r="H905" t="s">
        <v>801</v>
      </c>
      <c r="I905">
        <v>58338.5</v>
      </c>
    </row>
    <row r="906" spans="1:9">
      <c r="A906" s="90" t="s">
        <v>51</v>
      </c>
      <c r="B906" s="87">
        <v>45708</v>
      </c>
      <c r="C906" t="s">
        <v>1342</v>
      </c>
      <c r="D906" t="s">
        <v>1326</v>
      </c>
      <c r="E906" t="s">
        <v>1343</v>
      </c>
      <c r="F906" t="s">
        <v>490</v>
      </c>
      <c r="G906" t="s">
        <v>470</v>
      </c>
      <c r="H906" t="s">
        <v>801</v>
      </c>
      <c r="I906">
        <v>101147</v>
      </c>
    </row>
    <row r="907" spans="1:9">
      <c r="A907" s="90" t="s">
        <v>51</v>
      </c>
      <c r="B907" s="87">
        <v>45708</v>
      </c>
      <c r="C907" t="s">
        <v>1344</v>
      </c>
      <c r="D907" t="s">
        <v>1140</v>
      </c>
      <c r="E907" t="s">
        <v>1345</v>
      </c>
      <c r="F907" t="s">
        <v>490</v>
      </c>
      <c r="G907" t="s">
        <v>470</v>
      </c>
      <c r="H907" t="s">
        <v>801</v>
      </c>
      <c r="I907">
        <v>67464.83</v>
      </c>
    </row>
    <row r="908" spans="1:9">
      <c r="A908" s="90" t="s">
        <v>51</v>
      </c>
      <c r="B908" s="87">
        <v>45708</v>
      </c>
      <c r="C908" t="s">
        <v>1346</v>
      </c>
      <c r="D908" t="s">
        <v>1140</v>
      </c>
      <c r="E908" t="s">
        <v>1347</v>
      </c>
      <c r="F908" t="s">
        <v>490</v>
      </c>
      <c r="G908" t="s">
        <v>470</v>
      </c>
      <c r="H908" t="s">
        <v>801</v>
      </c>
      <c r="I908">
        <v>73348</v>
      </c>
    </row>
    <row r="909" spans="1:9">
      <c r="A909" s="90" t="s">
        <v>51</v>
      </c>
      <c r="B909" s="87">
        <v>45708</v>
      </c>
      <c r="C909" t="s">
        <v>1348</v>
      </c>
      <c r="D909" t="s">
        <v>1140</v>
      </c>
      <c r="E909" t="s">
        <v>1349</v>
      </c>
      <c r="F909" t="s">
        <v>490</v>
      </c>
      <c r="G909" t="s">
        <v>470</v>
      </c>
      <c r="H909" t="s">
        <v>801</v>
      </c>
      <c r="I909">
        <v>78244.83</v>
      </c>
    </row>
    <row r="910" spans="1:9">
      <c r="A910" s="90" t="s">
        <v>51</v>
      </c>
      <c r="B910" s="87">
        <v>45708</v>
      </c>
      <c r="C910" t="s">
        <v>1350</v>
      </c>
      <c r="D910" t="s">
        <v>1140</v>
      </c>
      <c r="E910" t="s">
        <v>1351</v>
      </c>
      <c r="F910" t="s">
        <v>490</v>
      </c>
      <c r="G910" t="s">
        <v>470</v>
      </c>
      <c r="H910" t="s">
        <v>801</v>
      </c>
      <c r="I910">
        <v>67503.33</v>
      </c>
    </row>
    <row r="911" spans="1:9">
      <c r="A911" s="90" t="s">
        <v>51</v>
      </c>
      <c r="B911" s="87">
        <v>45708</v>
      </c>
      <c r="C911" t="s">
        <v>1352</v>
      </c>
      <c r="D911" t="s">
        <v>1140</v>
      </c>
      <c r="E911" t="s">
        <v>1353</v>
      </c>
      <c r="F911" t="s">
        <v>490</v>
      </c>
      <c r="G911" t="s">
        <v>470</v>
      </c>
      <c r="H911" t="s">
        <v>801</v>
      </c>
      <c r="I911">
        <v>74706.5</v>
      </c>
    </row>
    <row r="912" spans="1:9">
      <c r="A912" s="90" t="s">
        <v>51</v>
      </c>
      <c r="B912" s="87">
        <v>45708</v>
      </c>
      <c r="C912" t="s">
        <v>1354</v>
      </c>
      <c r="D912" t="s">
        <v>1140</v>
      </c>
      <c r="E912" t="s">
        <v>1355</v>
      </c>
      <c r="F912" t="s">
        <v>490</v>
      </c>
      <c r="G912" t="s">
        <v>470</v>
      </c>
      <c r="H912" t="s">
        <v>801</v>
      </c>
      <c r="I912">
        <v>68938.83</v>
      </c>
    </row>
    <row r="913" spans="1:9">
      <c r="A913" s="90" t="s">
        <v>51</v>
      </c>
      <c r="B913" s="87">
        <v>45708</v>
      </c>
      <c r="C913" t="s">
        <v>1356</v>
      </c>
      <c r="D913" t="s">
        <v>1140</v>
      </c>
      <c r="E913" t="s">
        <v>1357</v>
      </c>
      <c r="F913" t="s">
        <v>490</v>
      </c>
      <c r="G913" t="s">
        <v>470</v>
      </c>
      <c r="H913" t="s">
        <v>801</v>
      </c>
      <c r="I913">
        <v>64630.5</v>
      </c>
    </row>
    <row r="914" spans="1:9">
      <c r="A914" s="90" t="s">
        <v>51</v>
      </c>
      <c r="B914" s="87">
        <v>45708</v>
      </c>
      <c r="C914" t="s">
        <v>1358</v>
      </c>
      <c r="D914" t="s">
        <v>1140</v>
      </c>
      <c r="E914" t="s">
        <v>1359</v>
      </c>
      <c r="F914" t="s">
        <v>490</v>
      </c>
      <c r="G914" t="s">
        <v>470</v>
      </c>
      <c r="H914" t="s">
        <v>801</v>
      </c>
      <c r="I914">
        <v>76121.83</v>
      </c>
    </row>
    <row r="915" spans="1:9">
      <c r="A915" s="90" t="s">
        <v>51</v>
      </c>
      <c r="B915" s="87">
        <v>45708</v>
      </c>
      <c r="C915" t="s">
        <v>1360</v>
      </c>
      <c r="D915" t="s">
        <v>1326</v>
      </c>
      <c r="E915" t="s">
        <v>1361</v>
      </c>
      <c r="F915" t="s">
        <v>490</v>
      </c>
      <c r="G915" t="s">
        <v>470</v>
      </c>
      <c r="H915" t="s">
        <v>801</v>
      </c>
      <c r="I915">
        <v>94710</v>
      </c>
    </row>
    <row r="916" spans="1:9">
      <c r="A916" s="90" t="s">
        <v>51</v>
      </c>
      <c r="B916" s="87">
        <v>45708</v>
      </c>
      <c r="C916" t="s">
        <v>1362</v>
      </c>
      <c r="D916" t="s">
        <v>1326</v>
      </c>
      <c r="E916" t="s">
        <v>1363</v>
      </c>
      <c r="F916" t="s">
        <v>490</v>
      </c>
      <c r="G916" t="s">
        <v>470</v>
      </c>
      <c r="H916" t="s">
        <v>801</v>
      </c>
      <c r="I916">
        <v>77039</v>
      </c>
    </row>
    <row r="917" spans="1:9">
      <c r="A917" s="90" t="s">
        <v>51</v>
      </c>
      <c r="B917" s="87">
        <v>45708</v>
      </c>
      <c r="C917" t="s">
        <v>1364</v>
      </c>
      <c r="D917" t="s">
        <v>1326</v>
      </c>
      <c r="E917" t="s">
        <v>1365</v>
      </c>
      <c r="F917" t="s">
        <v>490</v>
      </c>
      <c r="G917" t="s">
        <v>470</v>
      </c>
      <c r="H917" t="s">
        <v>801</v>
      </c>
      <c r="I917">
        <v>96186</v>
      </c>
    </row>
    <row r="918" spans="1:9">
      <c r="A918" s="90" t="s">
        <v>51</v>
      </c>
      <c r="B918" s="87">
        <v>45708</v>
      </c>
      <c r="C918" t="s">
        <v>1366</v>
      </c>
      <c r="D918" t="s">
        <v>1326</v>
      </c>
      <c r="E918" t="s">
        <v>1367</v>
      </c>
      <c r="F918" t="s">
        <v>490</v>
      </c>
      <c r="G918" t="s">
        <v>470</v>
      </c>
      <c r="H918" t="s">
        <v>801</v>
      </c>
      <c r="I918">
        <v>97621</v>
      </c>
    </row>
    <row r="919" spans="1:9">
      <c r="A919" s="90" t="s">
        <v>51</v>
      </c>
      <c r="B919" s="87">
        <v>45708</v>
      </c>
      <c r="C919" t="s">
        <v>1368</v>
      </c>
      <c r="D919" t="s">
        <v>1369</v>
      </c>
      <c r="E919" t="s">
        <v>1370</v>
      </c>
      <c r="F919" t="s">
        <v>490</v>
      </c>
      <c r="G919" t="s">
        <v>470</v>
      </c>
      <c r="H919" t="s">
        <v>801</v>
      </c>
      <c r="I919">
        <v>102729.60000000001</v>
      </c>
    </row>
    <row r="920" spans="1:9">
      <c r="A920" s="90" t="s">
        <v>51</v>
      </c>
      <c r="B920" s="87">
        <v>45708</v>
      </c>
      <c r="C920" t="s">
        <v>1371</v>
      </c>
      <c r="D920" t="s">
        <v>1369</v>
      </c>
      <c r="E920" t="s">
        <v>1372</v>
      </c>
      <c r="F920" t="s">
        <v>490</v>
      </c>
      <c r="G920" t="s">
        <v>470</v>
      </c>
      <c r="H920" t="s">
        <v>801</v>
      </c>
      <c r="I920">
        <v>84844.800000000003</v>
      </c>
    </row>
    <row r="921" spans="1:9">
      <c r="A921" s="90" t="s">
        <v>51</v>
      </c>
      <c r="B921" s="87">
        <v>45708</v>
      </c>
      <c r="C921" t="s">
        <v>1373</v>
      </c>
      <c r="D921" t="s">
        <v>1369</v>
      </c>
      <c r="E921" t="s">
        <v>1374</v>
      </c>
      <c r="F921" t="s">
        <v>490</v>
      </c>
      <c r="G921" t="s">
        <v>470</v>
      </c>
      <c r="H921" t="s">
        <v>801</v>
      </c>
      <c r="I921">
        <v>83548.800000000003</v>
      </c>
    </row>
    <row r="922" spans="1:9">
      <c r="A922" s="90" t="s">
        <v>51</v>
      </c>
      <c r="B922" s="87">
        <v>45708</v>
      </c>
      <c r="C922" t="s">
        <v>1375</v>
      </c>
      <c r="D922" t="s">
        <v>1369</v>
      </c>
      <c r="E922" t="s">
        <v>1376</v>
      </c>
      <c r="F922" t="s">
        <v>490</v>
      </c>
      <c r="G922" t="s">
        <v>470</v>
      </c>
      <c r="H922" t="s">
        <v>801</v>
      </c>
      <c r="I922">
        <v>80870.399999999994</v>
      </c>
    </row>
    <row r="923" spans="1:9">
      <c r="A923" s="90" t="s">
        <v>51</v>
      </c>
      <c r="B923" s="87">
        <v>45708</v>
      </c>
      <c r="C923" t="s">
        <v>1377</v>
      </c>
      <c r="D923" t="s">
        <v>1369</v>
      </c>
      <c r="E923" t="s">
        <v>1378</v>
      </c>
      <c r="F923" t="s">
        <v>490</v>
      </c>
      <c r="G923" t="s">
        <v>470</v>
      </c>
      <c r="H923" t="s">
        <v>801</v>
      </c>
      <c r="I923">
        <v>108172.8</v>
      </c>
    </row>
    <row r="924" spans="1:9">
      <c r="A924" s="90" t="s">
        <v>51</v>
      </c>
      <c r="B924" s="87">
        <v>45708</v>
      </c>
      <c r="C924" t="s">
        <v>1379</v>
      </c>
      <c r="D924" t="s">
        <v>1369</v>
      </c>
      <c r="E924" t="s">
        <v>1380</v>
      </c>
      <c r="F924" t="s">
        <v>490</v>
      </c>
      <c r="G924" t="s">
        <v>470</v>
      </c>
      <c r="H924" t="s">
        <v>801</v>
      </c>
      <c r="I924">
        <v>105451.2</v>
      </c>
    </row>
    <row r="925" spans="1:9">
      <c r="A925" s="90" t="s">
        <v>51</v>
      </c>
      <c r="B925" s="87">
        <v>45708</v>
      </c>
      <c r="C925" t="s">
        <v>1381</v>
      </c>
      <c r="D925" t="s">
        <v>1369</v>
      </c>
      <c r="E925" t="s">
        <v>1382</v>
      </c>
      <c r="F925" t="s">
        <v>490</v>
      </c>
      <c r="G925" t="s">
        <v>470</v>
      </c>
      <c r="H925" t="s">
        <v>801</v>
      </c>
      <c r="I925">
        <v>101952</v>
      </c>
    </row>
    <row r="926" spans="1:9">
      <c r="A926" s="90" t="s">
        <v>51</v>
      </c>
      <c r="B926" s="87">
        <v>45708</v>
      </c>
      <c r="C926" t="s">
        <v>1383</v>
      </c>
      <c r="D926" t="s">
        <v>1326</v>
      </c>
      <c r="E926" t="s">
        <v>1384</v>
      </c>
      <c r="F926" t="s">
        <v>490</v>
      </c>
      <c r="G926" t="s">
        <v>470</v>
      </c>
      <c r="H926" t="s">
        <v>801</v>
      </c>
      <c r="I926">
        <v>100286</v>
      </c>
    </row>
    <row r="927" spans="1:9">
      <c r="A927" s="90" t="s">
        <v>51</v>
      </c>
      <c r="B927" s="87">
        <v>45708</v>
      </c>
      <c r="C927" t="s">
        <v>1385</v>
      </c>
      <c r="D927" t="s">
        <v>1140</v>
      </c>
      <c r="E927" t="s">
        <v>1386</v>
      </c>
      <c r="F927" t="s">
        <v>490</v>
      </c>
      <c r="G927" t="s">
        <v>470</v>
      </c>
      <c r="H927" t="s">
        <v>801</v>
      </c>
      <c r="I927">
        <v>67204.5</v>
      </c>
    </row>
    <row r="928" spans="1:9">
      <c r="A928" s="90" t="s">
        <v>51</v>
      </c>
      <c r="B928" s="87">
        <v>45708</v>
      </c>
      <c r="C928" t="s">
        <v>1387</v>
      </c>
      <c r="D928" t="s">
        <v>1140</v>
      </c>
      <c r="E928" t="s">
        <v>1388</v>
      </c>
      <c r="F928" t="s">
        <v>490</v>
      </c>
      <c r="G928" t="s">
        <v>470</v>
      </c>
      <c r="H928" t="s">
        <v>801</v>
      </c>
      <c r="I928">
        <v>62778.83</v>
      </c>
    </row>
    <row r="929" spans="1:9">
      <c r="A929" s="90" t="s">
        <v>51</v>
      </c>
      <c r="B929" s="87">
        <v>45708</v>
      </c>
      <c r="C929" t="s">
        <v>1389</v>
      </c>
      <c r="D929" t="s">
        <v>1140</v>
      </c>
      <c r="E929" t="s">
        <v>1390</v>
      </c>
      <c r="F929" t="s">
        <v>490</v>
      </c>
      <c r="G929" t="s">
        <v>470</v>
      </c>
      <c r="H929" t="s">
        <v>801</v>
      </c>
      <c r="I929">
        <v>70486.17</v>
      </c>
    </row>
    <row r="930" spans="1:9">
      <c r="A930" s="90" t="s">
        <v>51</v>
      </c>
      <c r="B930" s="87">
        <v>45708</v>
      </c>
      <c r="C930" t="s">
        <v>1391</v>
      </c>
      <c r="D930" t="s">
        <v>1140</v>
      </c>
      <c r="E930" t="s">
        <v>1392</v>
      </c>
      <c r="F930" t="s">
        <v>490</v>
      </c>
      <c r="G930" t="s">
        <v>470</v>
      </c>
      <c r="H930" t="s">
        <v>801</v>
      </c>
      <c r="I930">
        <v>65277.67</v>
      </c>
    </row>
    <row r="931" spans="1:9">
      <c r="A931" s="90" t="s">
        <v>51</v>
      </c>
      <c r="B931" s="87">
        <v>45708</v>
      </c>
      <c r="C931" t="s">
        <v>1393</v>
      </c>
      <c r="D931" t="s">
        <v>1140</v>
      </c>
      <c r="E931" t="s">
        <v>1394</v>
      </c>
      <c r="F931" t="s">
        <v>490</v>
      </c>
      <c r="G931" t="s">
        <v>470</v>
      </c>
      <c r="H931" t="s">
        <v>801</v>
      </c>
      <c r="I931">
        <v>69131.33</v>
      </c>
    </row>
    <row r="932" spans="1:9">
      <c r="A932" s="90" t="s">
        <v>51</v>
      </c>
      <c r="B932" s="87">
        <v>45708</v>
      </c>
      <c r="C932" t="s">
        <v>1395</v>
      </c>
      <c r="D932" t="s">
        <v>1140</v>
      </c>
      <c r="E932" t="s">
        <v>1396</v>
      </c>
      <c r="F932" t="s">
        <v>490</v>
      </c>
      <c r="G932" t="s">
        <v>470</v>
      </c>
      <c r="H932" t="s">
        <v>801</v>
      </c>
      <c r="I932">
        <v>6106.83</v>
      </c>
    </row>
    <row r="933" spans="1:9">
      <c r="A933" s="90" t="s">
        <v>51</v>
      </c>
      <c r="B933" s="87">
        <v>45708</v>
      </c>
      <c r="C933" t="s">
        <v>1397</v>
      </c>
      <c r="D933" t="s">
        <v>1140</v>
      </c>
      <c r="E933" t="s">
        <v>1398</v>
      </c>
      <c r="F933" t="s">
        <v>490</v>
      </c>
      <c r="G933" t="s">
        <v>470</v>
      </c>
      <c r="H933" t="s">
        <v>801</v>
      </c>
      <c r="I933">
        <v>67310.83</v>
      </c>
    </row>
    <row r="934" spans="1:9">
      <c r="A934" s="90" t="s">
        <v>51</v>
      </c>
      <c r="B934" s="87">
        <v>45708</v>
      </c>
      <c r="C934" t="s">
        <v>1399</v>
      </c>
      <c r="D934" t="s">
        <v>512</v>
      </c>
      <c r="E934" t="s">
        <v>527</v>
      </c>
      <c r="F934" t="s">
        <v>474</v>
      </c>
      <c r="G934" t="s">
        <v>470</v>
      </c>
      <c r="H934" t="s">
        <v>475</v>
      </c>
      <c r="I934">
        <v>1600000</v>
      </c>
    </row>
    <row r="935" spans="1:9">
      <c r="A935" s="90" t="s">
        <v>51</v>
      </c>
      <c r="B935" s="87">
        <v>45708</v>
      </c>
      <c r="C935" t="s">
        <v>562</v>
      </c>
      <c r="D935" t="s">
        <v>512</v>
      </c>
      <c r="E935" t="s">
        <v>527</v>
      </c>
      <c r="F935" t="s">
        <v>474</v>
      </c>
      <c r="G935" t="s">
        <v>470</v>
      </c>
      <c r="H935" t="s">
        <v>475</v>
      </c>
      <c r="I935">
        <v>589190.03</v>
      </c>
    </row>
    <row r="936" spans="1:9">
      <c r="A936" s="90" t="s">
        <v>51</v>
      </c>
      <c r="B936" s="87">
        <v>45709</v>
      </c>
      <c r="C936" t="s">
        <v>511</v>
      </c>
      <c r="D936" t="s">
        <v>512</v>
      </c>
      <c r="E936" t="s">
        <v>527</v>
      </c>
      <c r="F936" t="s">
        <v>474</v>
      </c>
      <c r="G936" t="s">
        <v>470</v>
      </c>
      <c r="H936" t="s">
        <v>475</v>
      </c>
      <c r="I936">
        <v>550000</v>
      </c>
    </row>
    <row r="937" spans="1:9">
      <c r="A937" s="90" t="s">
        <v>51</v>
      </c>
      <c r="B937" s="87">
        <v>45709</v>
      </c>
      <c r="C937" t="s">
        <v>517</v>
      </c>
      <c r="D937" t="s">
        <v>512</v>
      </c>
      <c r="E937" t="s">
        <v>780</v>
      </c>
      <c r="F937" t="s">
        <v>474</v>
      </c>
      <c r="G937" t="s">
        <v>470</v>
      </c>
      <c r="H937" t="s">
        <v>475</v>
      </c>
      <c r="I937">
        <v>550000</v>
      </c>
    </row>
    <row r="938" spans="1:9">
      <c r="A938" s="90" t="s">
        <v>51</v>
      </c>
      <c r="B938" s="87">
        <v>45712</v>
      </c>
      <c r="C938" t="s">
        <v>511</v>
      </c>
      <c r="D938" t="s">
        <v>512</v>
      </c>
      <c r="E938" t="s">
        <v>527</v>
      </c>
      <c r="F938" t="s">
        <v>474</v>
      </c>
      <c r="G938" t="s">
        <v>470</v>
      </c>
      <c r="H938" t="s">
        <v>475</v>
      </c>
      <c r="I938">
        <v>84</v>
      </c>
    </row>
    <row r="939" spans="1:9">
      <c r="A939" s="90" t="s">
        <v>51</v>
      </c>
      <c r="B939" s="87">
        <v>45713</v>
      </c>
      <c r="C939" t="s">
        <v>511</v>
      </c>
      <c r="D939" t="s">
        <v>512</v>
      </c>
      <c r="E939" t="s">
        <v>527</v>
      </c>
      <c r="F939" t="s">
        <v>474</v>
      </c>
      <c r="G939" t="s">
        <v>470</v>
      </c>
      <c r="H939" t="s">
        <v>475</v>
      </c>
      <c r="I939">
        <v>1600</v>
      </c>
    </row>
    <row r="940" spans="1:9">
      <c r="A940" s="90" t="s">
        <v>51</v>
      </c>
      <c r="B940" s="87">
        <v>45716</v>
      </c>
      <c r="C940" t="s">
        <v>511</v>
      </c>
      <c r="D940" t="s">
        <v>512</v>
      </c>
      <c r="E940" t="s">
        <v>527</v>
      </c>
      <c r="F940" t="s">
        <v>474</v>
      </c>
      <c r="G940" t="s">
        <v>470</v>
      </c>
      <c r="H940" t="s">
        <v>475</v>
      </c>
      <c r="I940">
        <v>3832</v>
      </c>
    </row>
    <row r="941" spans="1:9">
      <c r="A941" s="90" t="s">
        <v>51</v>
      </c>
      <c r="B941" s="87">
        <v>45716</v>
      </c>
      <c r="C941" t="s">
        <v>524</v>
      </c>
      <c r="D941" t="s">
        <v>477</v>
      </c>
      <c r="E941" t="s">
        <v>527</v>
      </c>
      <c r="F941" t="s">
        <v>525</v>
      </c>
      <c r="G941" t="s">
        <v>470</v>
      </c>
      <c r="H941" t="s">
        <v>516</v>
      </c>
      <c r="I941">
        <v>1525.05</v>
      </c>
    </row>
    <row r="942" spans="1:9">
      <c r="A942" s="90" t="s">
        <v>51</v>
      </c>
      <c r="B942" s="87">
        <v>45716</v>
      </c>
      <c r="C942" t="s">
        <v>524</v>
      </c>
      <c r="D942" t="s">
        <v>477</v>
      </c>
      <c r="E942" t="s">
        <v>527</v>
      </c>
      <c r="F942" t="s">
        <v>525</v>
      </c>
      <c r="G942" t="s">
        <v>470</v>
      </c>
      <c r="H942" t="s">
        <v>516</v>
      </c>
      <c r="I942">
        <v>129.56</v>
      </c>
    </row>
    <row r="943" spans="1:9">
      <c r="A943" s="90" t="s">
        <v>51</v>
      </c>
      <c r="B943" s="87">
        <v>45716</v>
      </c>
      <c r="C943" t="s">
        <v>524</v>
      </c>
      <c r="D943" t="s">
        <v>1324</v>
      </c>
      <c r="E943" t="s">
        <v>527</v>
      </c>
      <c r="F943" t="s">
        <v>525</v>
      </c>
      <c r="G943" t="s">
        <v>470</v>
      </c>
      <c r="H943" t="s">
        <v>516</v>
      </c>
      <c r="I943">
        <v>529.61</v>
      </c>
    </row>
    <row r="944" spans="1:9">
      <c r="A944" s="90" t="s">
        <v>51</v>
      </c>
      <c r="B944" s="87">
        <v>45721</v>
      </c>
      <c r="C944" t="s">
        <v>563</v>
      </c>
      <c r="D944" t="s">
        <v>512</v>
      </c>
      <c r="E944" t="s">
        <v>468</v>
      </c>
      <c r="F944" t="s">
        <v>474</v>
      </c>
      <c r="G944" t="s">
        <v>470</v>
      </c>
      <c r="H944" t="s">
        <v>475</v>
      </c>
      <c r="I944">
        <v>3812.91</v>
      </c>
    </row>
    <row r="945" spans="1:9">
      <c r="A945" s="90" t="s">
        <v>51</v>
      </c>
      <c r="B945" s="87">
        <v>45722</v>
      </c>
      <c r="C945" t="s">
        <v>511</v>
      </c>
      <c r="D945" t="s">
        <v>512</v>
      </c>
      <c r="E945" t="s">
        <v>468</v>
      </c>
      <c r="F945" t="s">
        <v>474</v>
      </c>
      <c r="G945" t="s">
        <v>470</v>
      </c>
      <c r="H945" t="s">
        <v>475</v>
      </c>
      <c r="I945">
        <v>36616.33</v>
      </c>
    </row>
    <row r="946" spans="1:9">
      <c r="A946" s="90" t="s">
        <v>51</v>
      </c>
      <c r="B946" s="87">
        <v>45722</v>
      </c>
      <c r="C946" t="s">
        <v>511</v>
      </c>
      <c r="D946" t="s">
        <v>512</v>
      </c>
      <c r="E946" t="s">
        <v>468</v>
      </c>
      <c r="F946" t="s">
        <v>474</v>
      </c>
      <c r="G946" t="s">
        <v>470</v>
      </c>
      <c r="H946" t="s">
        <v>475</v>
      </c>
      <c r="I946">
        <v>70325.2</v>
      </c>
    </row>
    <row r="947" spans="1:9">
      <c r="A947" s="90" t="s">
        <v>51</v>
      </c>
      <c r="B947" s="87">
        <v>45723</v>
      </c>
      <c r="C947" t="s">
        <v>511</v>
      </c>
      <c r="D947" t="s">
        <v>512</v>
      </c>
      <c r="E947" t="s">
        <v>468</v>
      </c>
      <c r="F947" t="s">
        <v>474</v>
      </c>
      <c r="G947" t="s">
        <v>470</v>
      </c>
      <c r="H947" t="s">
        <v>540</v>
      </c>
      <c r="I947">
        <v>174.9</v>
      </c>
    </row>
    <row r="948" spans="1:9">
      <c r="A948" s="90" t="s">
        <v>51</v>
      </c>
      <c r="B948" s="87">
        <v>45726</v>
      </c>
      <c r="C948" t="s">
        <v>511</v>
      </c>
      <c r="D948" t="s">
        <v>512</v>
      </c>
      <c r="E948" t="s">
        <v>468</v>
      </c>
      <c r="F948" t="s">
        <v>474</v>
      </c>
      <c r="G948" t="s">
        <v>470</v>
      </c>
      <c r="H948" t="s">
        <v>475</v>
      </c>
      <c r="I948">
        <v>708.78</v>
      </c>
    </row>
    <row r="949" spans="1:9">
      <c r="A949" s="90" t="s">
        <v>51</v>
      </c>
      <c r="B949" s="87">
        <v>45729</v>
      </c>
      <c r="C949" t="s">
        <v>511</v>
      </c>
      <c r="D949" t="s">
        <v>512</v>
      </c>
      <c r="E949" t="s">
        <v>468</v>
      </c>
      <c r="F949" t="s">
        <v>474</v>
      </c>
      <c r="G949" t="s">
        <v>470</v>
      </c>
      <c r="H949" t="s">
        <v>475</v>
      </c>
      <c r="I949">
        <v>1000</v>
      </c>
    </row>
    <row r="950" spans="1:9">
      <c r="A950" s="90" t="s">
        <v>51</v>
      </c>
      <c r="B950" s="87">
        <v>45733</v>
      </c>
      <c r="C950" t="s">
        <v>511</v>
      </c>
      <c r="D950" t="s">
        <v>512</v>
      </c>
      <c r="E950" t="s">
        <v>468</v>
      </c>
      <c r="F950" t="s">
        <v>474</v>
      </c>
      <c r="G950" t="s">
        <v>470</v>
      </c>
      <c r="H950" t="s">
        <v>475</v>
      </c>
      <c r="I950">
        <v>67982.55</v>
      </c>
    </row>
    <row r="951" spans="1:9">
      <c r="A951" s="90" t="s">
        <v>51</v>
      </c>
      <c r="B951" s="87">
        <v>45735</v>
      </c>
      <c r="C951" t="s">
        <v>511</v>
      </c>
      <c r="D951" t="s">
        <v>512</v>
      </c>
      <c r="E951" t="s">
        <v>468</v>
      </c>
      <c r="F951" t="s">
        <v>474</v>
      </c>
      <c r="G951" t="s">
        <v>470</v>
      </c>
      <c r="H951" t="s">
        <v>475</v>
      </c>
      <c r="I951">
        <v>3312.57</v>
      </c>
    </row>
    <row r="952" spans="1:9">
      <c r="A952" s="90" t="s">
        <v>51</v>
      </c>
      <c r="B952" s="87">
        <v>45736</v>
      </c>
      <c r="C952" t="s">
        <v>511</v>
      </c>
      <c r="D952" t="s">
        <v>512</v>
      </c>
      <c r="E952" t="s">
        <v>468</v>
      </c>
      <c r="F952" t="s">
        <v>474</v>
      </c>
      <c r="G952" t="s">
        <v>470</v>
      </c>
      <c r="H952" t="s">
        <v>475</v>
      </c>
      <c r="I952">
        <v>4449.7299999999996</v>
      </c>
    </row>
    <row r="953" spans="1:9">
      <c r="A953" s="90" t="s">
        <v>51</v>
      </c>
      <c r="B953" s="87">
        <v>45736</v>
      </c>
      <c r="C953" t="s">
        <v>1400</v>
      </c>
      <c r="D953" t="s">
        <v>1401</v>
      </c>
      <c r="E953" t="s">
        <v>468</v>
      </c>
      <c r="F953" t="s">
        <v>469</v>
      </c>
      <c r="G953" t="s">
        <v>470</v>
      </c>
      <c r="H953" t="s">
        <v>475</v>
      </c>
      <c r="I953">
        <v>304.93</v>
      </c>
    </row>
    <row r="954" spans="1:9">
      <c r="A954" s="90" t="s">
        <v>51</v>
      </c>
      <c r="B954" s="87">
        <v>45741</v>
      </c>
      <c r="C954" t="s">
        <v>511</v>
      </c>
      <c r="D954" t="s">
        <v>512</v>
      </c>
      <c r="E954" t="s">
        <v>468</v>
      </c>
      <c r="F954" t="s">
        <v>474</v>
      </c>
      <c r="G954" t="s">
        <v>470</v>
      </c>
      <c r="H954" t="s">
        <v>475</v>
      </c>
      <c r="I954">
        <v>1645.57</v>
      </c>
    </row>
    <row r="955" spans="1:9">
      <c r="A955" s="90" t="s">
        <v>51</v>
      </c>
      <c r="B955" s="87">
        <v>45742</v>
      </c>
      <c r="C955" t="s">
        <v>511</v>
      </c>
      <c r="D955" t="s">
        <v>512</v>
      </c>
      <c r="E955" t="s">
        <v>468</v>
      </c>
      <c r="F955" t="s">
        <v>474</v>
      </c>
      <c r="G955" t="s">
        <v>470</v>
      </c>
      <c r="H955" t="s">
        <v>475</v>
      </c>
      <c r="I955">
        <v>3000</v>
      </c>
    </row>
    <row r="956" spans="1:9">
      <c r="A956" s="90" t="s">
        <v>51</v>
      </c>
      <c r="B956" s="87">
        <v>45744</v>
      </c>
      <c r="C956" t="s">
        <v>511</v>
      </c>
      <c r="D956" t="s">
        <v>512</v>
      </c>
      <c r="E956" t="s">
        <v>468</v>
      </c>
      <c r="F956" t="s">
        <v>474</v>
      </c>
      <c r="G956" t="s">
        <v>470</v>
      </c>
      <c r="H956" t="s">
        <v>475</v>
      </c>
      <c r="I956">
        <v>2314</v>
      </c>
    </row>
    <row r="957" spans="1:9">
      <c r="A957" s="90" t="s">
        <v>51</v>
      </c>
      <c r="B957" s="87">
        <v>45747</v>
      </c>
      <c r="C957" t="s">
        <v>1402</v>
      </c>
      <c r="D957" t="s">
        <v>546</v>
      </c>
      <c r="E957" t="s">
        <v>1403</v>
      </c>
      <c r="F957" t="s">
        <v>490</v>
      </c>
      <c r="G957" t="s">
        <v>470</v>
      </c>
      <c r="H957" t="s">
        <v>540</v>
      </c>
      <c r="I957">
        <v>25668</v>
      </c>
    </row>
    <row r="958" spans="1:9">
      <c r="A958" s="90" t="s">
        <v>51</v>
      </c>
      <c r="B958" s="87">
        <v>45747</v>
      </c>
      <c r="C958" t="s">
        <v>562</v>
      </c>
      <c r="D958" t="s">
        <v>512</v>
      </c>
      <c r="E958" t="s">
        <v>468</v>
      </c>
      <c r="F958" t="s">
        <v>474</v>
      </c>
      <c r="G958" t="s">
        <v>470</v>
      </c>
      <c r="H958" t="s">
        <v>475</v>
      </c>
      <c r="I958">
        <v>18399.34</v>
      </c>
    </row>
    <row r="959" spans="1:9">
      <c r="A959" s="90" t="s">
        <v>51</v>
      </c>
      <c r="B959" s="87">
        <v>45747</v>
      </c>
      <c r="C959" t="s">
        <v>524</v>
      </c>
      <c r="D959" t="s">
        <v>477</v>
      </c>
      <c r="E959" t="s">
        <v>468</v>
      </c>
      <c r="F959" t="s">
        <v>525</v>
      </c>
      <c r="G959" t="s">
        <v>470</v>
      </c>
      <c r="H959" t="s">
        <v>516</v>
      </c>
      <c r="I959">
        <v>4276.5200000000004</v>
      </c>
    </row>
    <row r="960" spans="1:9">
      <c r="A960" s="90" t="s">
        <v>51</v>
      </c>
      <c r="B960" s="87">
        <v>45747</v>
      </c>
      <c r="C960" t="s">
        <v>524</v>
      </c>
      <c r="D960" t="s">
        <v>477</v>
      </c>
      <c r="E960" t="s">
        <v>468</v>
      </c>
      <c r="F960" t="s">
        <v>525</v>
      </c>
      <c r="G960" t="s">
        <v>470</v>
      </c>
      <c r="H960" t="s">
        <v>471</v>
      </c>
      <c r="I960">
        <v>3.76</v>
      </c>
    </row>
    <row r="961" spans="1:9">
      <c r="A961" s="90" t="s">
        <v>51</v>
      </c>
      <c r="B961" s="87">
        <v>45747</v>
      </c>
      <c r="C961" t="s">
        <v>524</v>
      </c>
      <c r="D961" t="s">
        <v>1324</v>
      </c>
      <c r="E961" t="s">
        <v>468</v>
      </c>
      <c r="F961" t="s">
        <v>525</v>
      </c>
      <c r="G961" t="s">
        <v>470</v>
      </c>
      <c r="H961" t="s">
        <v>516</v>
      </c>
      <c r="I961">
        <v>1708.06</v>
      </c>
    </row>
    <row r="962" spans="1:9">
      <c r="A962" s="90" t="s">
        <v>51</v>
      </c>
      <c r="B962" s="87">
        <v>45748</v>
      </c>
      <c r="C962" t="s">
        <v>1404</v>
      </c>
      <c r="D962" t="s">
        <v>1140</v>
      </c>
      <c r="E962" t="s">
        <v>1405</v>
      </c>
      <c r="F962" t="s">
        <v>490</v>
      </c>
      <c r="G962" t="s">
        <v>470</v>
      </c>
      <c r="H962" t="s">
        <v>540</v>
      </c>
      <c r="I962">
        <v>470143.58</v>
      </c>
    </row>
    <row r="963" spans="1:9">
      <c r="A963" s="90" t="s">
        <v>51</v>
      </c>
      <c r="B963" s="87">
        <v>45748</v>
      </c>
      <c r="C963" t="s">
        <v>511</v>
      </c>
      <c r="D963" t="s">
        <v>512</v>
      </c>
      <c r="E963" t="s">
        <v>569</v>
      </c>
      <c r="F963" t="s">
        <v>474</v>
      </c>
      <c r="G963" t="s">
        <v>470</v>
      </c>
      <c r="H963" t="s">
        <v>475</v>
      </c>
      <c r="I963">
        <v>18399.38</v>
      </c>
    </row>
    <row r="964" spans="1:9">
      <c r="A964" s="90" t="s">
        <v>51</v>
      </c>
      <c r="B964" s="87">
        <v>45748</v>
      </c>
      <c r="C964" t="s">
        <v>511</v>
      </c>
      <c r="D964" t="s">
        <v>512</v>
      </c>
      <c r="E964" t="s">
        <v>569</v>
      </c>
      <c r="F964" t="s">
        <v>474</v>
      </c>
      <c r="G964" t="s">
        <v>470</v>
      </c>
      <c r="H964" t="s">
        <v>475</v>
      </c>
      <c r="I964">
        <v>90649.84</v>
      </c>
    </row>
    <row r="965" spans="1:9">
      <c r="A965" s="90" t="s">
        <v>51</v>
      </c>
      <c r="B965" s="87">
        <v>45750</v>
      </c>
      <c r="C965" t="s">
        <v>511</v>
      </c>
      <c r="D965" t="s">
        <v>512</v>
      </c>
      <c r="E965" t="s">
        <v>569</v>
      </c>
      <c r="F965" t="s">
        <v>474</v>
      </c>
      <c r="G965" t="s">
        <v>470</v>
      </c>
      <c r="H965" t="s">
        <v>475</v>
      </c>
      <c r="I965">
        <v>3000</v>
      </c>
    </row>
    <row r="966" spans="1:9">
      <c r="A966" s="90" t="s">
        <v>51</v>
      </c>
      <c r="B966" s="87">
        <v>45754</v>
      </c>
      <c r="C966" t="s">
        <v>511</v>
      </c>
      <c r="D966" t="s">
        <v>512</v>
      </c>
      <c r="E966" t="s">
        <v>569</v>
      </c>
      <c r="F966" t="s">
        <v>474</v>
      </c>
      <c r="G966" t="s">
        <v>470</v>
      </c>
      <c r="H966" t="s">
        <v>475</v>
      </c>
      <c r="I966">
        <v>50606.31</v>
      </c>
    </row>
    <row r="967" spans="1:9">
      <c r="A967" s="90" t="s">
        <v>51</v>
      </c>
      <c r="B967" s="87">
        <v>45755</v>
      </c>
      <c r="C967" t="s">
        <v>511</v>
      </c>
      <c r="D967" t="s">
        <v>512</v>
      </c>
      <c r="E967" t="s">
        <v>569</v>
      </c>
      <c r="F967" t="s">
        <v>474</v>
      </c>
      <c r="G967" t="s">
        <v>470</v>
      </c>
      <c r="H967" t="s">
        <v>475</v>
      </c>
      <c r="I967">
        <v>3000</v>
      </c>
    </row>
    <row r="968" spans="1:9">
      <c r="A968" s="90" t="s">
        <v>51</v>
      </c>
      <c r="B968" s="87">
        <v>45757</v>
      </c>
      <c r="C968" t="s">
        <v>1322</v>
      </c>
      <c r="D968" t="s">
        <v>512</v>
      </c>
      <c r="E968" t="s">
        <v>569</v>
      </c>
      <c r="F968" t="s">
        <v>474</v>
      </c>
      <c r="G968" t="s">
        <v>470</v>
      </c>
      <c r="H968" t="s">
        <v>475</v>
      </c>
      <c r="I968">
        <v>214059.35</v>
      </c>
    </row>
    <row r="969" spans="1:9">
      <c r="A969" s="90" t="s">
        <v>51</v>
      </c>
      <c r="B969" s="87">
        <v>45757</v>
      </c>
      <c r="C969" t="s">
        <v>511</v>
      </c>
      <c r="D969" t="s">
        <v>512</v>
      </c>
      <c r="E969" t="s">
        <v>569</v>
      </c>
      <c r="F969" t="s">
        <v>474</v>
      </c>
      <c r="G969" t="s">
        <v>470</v>
      </c>
      <c r="H969" t="s">
        <v>475</v>
      </c>
      <c r="I969">
        <v>259751.73</v>
      </c>
    </row>
    <row r="970" spans="1:9">
      <c r="A970" s="90" t="s">
        <v>51</v>
      </c>
      <c r="B970" s="87">
        <v>45757</v>
      </c>
      <c r="C970" t="s">
        <v>524</v>
      </c>
      <c r="D970" t="s">
        <v>1324</v>
      </c>
      <c r="E970" t="s">
        <v>569</v>
      </c>
      <c r="F970" t="s">
        <v>525</v>
      </c>
      <c r="G970" t="s">
        <v>470</v>
      </c>
      <c r="H970" t="s">
        <v>516</v>
      </c>
      <c r="I970">
        <v>971.42</v>
      </c>
    </row>
    <row r="971" spans="1:9">
      <c r="A971" s="90" t="s">
        <v>51</v>
      </c>
      <c r="B971" s="87">
        <v>45758</v>
      </c>
      <c r="C971" t="s">
        <v>1406</v>
      </c>
      <c r="D971" t="s">
        <v>773</v>
      </c>
      <c r="E971" t="s">
        <v>1407</v>
      </c>
      <c r="F971" t="s">
        <v>490</v>
      </c>
      <c r="G971" t="s">
        <v>470</v>
      </c>
      <c r="H971" t="s">
        <v>475</v>
      </c>
      <c r="I971">
        <v>223005</v>
      </c>
    </row>
    <row r="972" spans="1:9">
      <c r="A972" s="90" t="s">
        <v>51</v>
      </c>
      <c r="B972" s="87">
        <v>45758</v>
      </c>
      <c r="C972" t="s">
        <v>1408</v>
      </c>
      <c r="D972" t="s">
        <v>773</v>
      </c>
      <c r="E972" t="s">
        <v>1409</v>
      </c>
      <c r="F972" t="s">
        <v>490</v>
      </c>
      <c r="G972" t="s">
        <v>470</v>
      </c>
      <c r="H972" t="s">
        <v>475</v>
      </c>
      <c r="I972">
        <v>220650</v>
      </c>
    </row>
    <row r="973" spans="1:9">
      <c r="A973" s="90" t="s">
        <v>51</v>
      </c>
      <c r="B973" s="87">
        <v>45758</v>
      </c>
      <c r="C973" t="s">
        <v>1410</v>
      </c>
      <c r="D973" t="s">
        <v>773</v>
      </c>
      <c r="E973" t="s">
        <v>1411</v>
      </c>
      <c r="F973" t="s">
        <v>490</v>
      </c>
      <c r="G973" t="s">
        <v>470</v>
      </c>
      <c r="H973" t="s">
        <v>475</v>
      </c>
      <c r="I973">
        <v>254456</v>
      </c>
    </row>
    <row r="974" spans="1:9">
      <c r="A974" s="90" t="s">
        <v>51</v>
      </c>
      <c r="B974" s="87">
        <v>45758</v>
      </c>
      <c r="C974" t="s">
        <v>1412</v>
      </c>
      <c r="D974" t="s">
        <v>773</v>
      </c>
      <c r="E974" t="s">
        <v>1413</v>
      </c>
      <c r="F974" t="s">
        <v>490</v>
      </c>
      <c r="G974" t="s">
        <v>470</v>
      </c>
      <c r="H974" t="s">
        <v>475</v>
      </c>
      <c r="I974">
        <v>167059</v>
      </c>
    </row>
    <row r="975" spans="1:9">
      <c r="A975" s="90" t="s">
        <v>51</v>
      </c>
      <c r="B975" s="87">
        <v>45758</v>
      </c>
      <c r="C975" t="s">
        <v>1414</v>
      </c>
      <c r="D975" t="s">
        <v>773</v>
      </c>
      <c r="E975" t="s">
        <v>1415</v>
      </c>
      <c r="F975" t="s">
        <v>490</v>
      </c>
      <c r="G975" t="s">
        <v>470</v>
      </c>
      <c r="H975" t="s">
        <v>475</v>
      </c>
      <c r="I975">
        <v>34830</v>
      </c>
    </row>
    <row r="976" spans="1:9">
      <c r="A976" s="90" t="s">
        <v>51</v>
      </c>
      <c r="B976" s="87">
        <v>45758</v>
      </c>
      <c r="C976" t="s">
        <v>517</v>
      </c>
      <c r="D976" t="s">
        <v>512</v>
      </c>
      <c r="E976" t="s">
        <v>569</v>
      </c>
      <c r="F976" t="s">
        <v>474</v>
      </c>
      <c r="G976" t="s">
        <v>470</v>
      </c>
      <c r="H976" t="s">
        <v>475</v>
      </c>
      <c r="I976">
        <v>353222.33</v>
      </c>
    </row>
    <row r="977" spans="1:9">
      <c r="A977" s="90" t="s">
        <v>51</v>
      </c>
      <c r="B977" s="87">
        <v>45761</v>
      </c>
      <c r="C977" t="s">
        <v>1414</v>
      </c>
      <c r="D977" t="s">
        <v>773</v>
      </c>
      <c r="E977" t="s">
        <v>1415</v>
      </c>
      <c r="F977" t="s">
        <v>490</v>
      </c>
      <c r="G977" t="s">
        <v>470</v>
      </c>
      <c r="H977" t="s">
        <v>475</v>
      </c>
      <c r="I977">
        <v>215427</v>
      </c>
    </row>
    <row r="978" spans="1:9">
      <c r="A978" s="90" t="s">
        <v>51</v>
      </c>
      <c r="B978" s="87">
        <v>45761</v>
      </c>
      <c r="C978" t="s">
        <v>1416</v>
      </c>
      <c r="D978" t="s">
        <v>773</v>
      </c>
      <c r="E978" t="s">
        <v>1417</v>
      </c>
      <c r="F978" t="s">
        <v>490</v>
      </c>
      <c r="G978" t="s">
        <v>470</v>
      </c>
      <c r="H978" t="s">
        <v>475</v>
      </c>
      <c r="I978">
        <v>49419</v>
      </c>
    </row>
    <row r="979" spans="1:9">
      <c r="A979" s="90" t="s">
        <v>51</v>
      </c>
      <c r="B979" s="87">
        <v>45761</v>
      </c>
      <c r="C979" t="s">
        <v>511</v>
      </c>
      <c r="D979" t="s">
        <v>512</v>
      </c>
      <c r="E979" t="s">
        <v>569</v>
      </c>
      <c r="F979" t="s">
        <v>474</v>
      </c>
      <c r="G979" t="s">
        <v>470</v>
      </c>
      <c r="H979" t="s">
        <v>475</v>
      </c>
      <c r="I979">
        <v>87415.55</v>
      </c>
    </row>
    <row r="980" spans="1:9">
      <c r="A980" s="90" t="s">
        <v>51</v>
      </c>
      <c r="B980" s="87">
        <v>45762</v>
      </c>
      <c r="C980" t="s">
        <v>511</v>
      </c>
      <c r="D980" t="s">
        <v>512</v>
      </c>
      <c r="E980" t="s">
        <v>569</v>
      </c>
      <c r="F980" t="s">
        <v>474</v>
      </c>
      <c r="G980" t="s">
        <v>470</v>
      </c>
      <c r="H980" t="s">
        <v>475</v>
      </c>
      <c r="I980">
        <v>235928.22</v>
      </c>
    </row>
    <row r="981" spans="1:9">
      <c r="A981" s="90" t="s">
        <v>51</v>
      </c>
      <c r="B981" s="87">
        <v>45763</v>
      </c>
      <c r="C981" t="s">
        <v>1418</v>
      </c>
      <c r="D981" t="s">
        <v>546</v>
      </c>
      <c r="E981" t="s">
        <v>1419</v>
      </c>
      <c r="F981" t="s">
        <v>490</v>
      </c>
      <c r="G981" t="s">
        <v>470</v>
      </c>
      <c r="H981" t="s">
        <v>540</v>
      </c>
      <c r="I981">
        <v>119761.37</v>
      </c>
    </row>
    <row r="982" spans="1:9">
      <c r="A982" s="90" t="s">
        <v>51</v>
      </c>
      <c r="B982" s="87">
        <v>45763</v>
      </c>
      <c r="C982" t="s">
        <v>1420</v>
      </c>
      <c r="D982" t="s">
        <v>546</v>
      </c>
      <c r="E982" t="s">
        <v>1421</v>
      </c>
      <c r="F982" t="s">
        <v>490</v>
      </c>
      <c r="G982" t="s">
        <v>470</v>
      </c>
      <c r="H982" t="s">
        <v>540</v>
      </c>
      <c r="I982">
        <v>123852.2</v>
      </c>
    </row>
    <row r="983" spans="1:9">
      <c r="A983" s="90" t="s">
        <v>51</v>
      </c>
      <c r="B983" s="87">
        <v>45763</v>
      </c>
      <c r="C983" t="s">
        <v>1422</v>
      </c>
      <c r="D983" t="s">
        <v>546</v>
      </c>
      <c r="E983" t="s">
        <v>1423</v>
      </c>
      <c r="F983" t="s">
        <v>490</v>
      </c>
      <c r="G983" t="s">
        <v>470</v>
      </c>
      <c r="H983" t="s">
        <v>540</v>
      </c>
      <c r="I983">
        <v>77810.19</v>
      </c>
    </row>
    <row r="984" spans="1:9">
      <c r="A984" s="90" t="s">
        <v>51</v>
      </c>
      <c r="B984" s="87">
        <v>45763</v>
      </c>
      <c r="C984" t="s">
        <v>1424</v>
      </c>
      <c r="D984" t="s">
        <v>546</v>
      </c>
      <c r="E984" t="s">
        <v>1425</v>
      </c>
      <c r="F984" t="s">
        <v>490</v>
      </c>
      <c r="G984" t="s">
        <v>470</v>
      </c>
      <c r="H984" t="s">
        <v>540</v>
      </c>
      <c r="I984">
        <v>116966.63</v>
      </c>
    </row>
    <row r="985" spans="1:9">
      <c r="A985" s="90" t="s">
        <v>51</v>
      </c>
      <c r="B985" s="87">
        <v>45763</v>
      </c>
      <c r="C985" t="s">
        <v>1426</v>
      </c>
      <c r="D985" t="s">
        <v>546</v>
      </c>
      <c r="E985" t="s">
        <v>1427</v>
      </c>
      <c r="F985" t="s">
        <v>490</v>
      </c>
      <c r="G985" t="s">
        <v>470</v>
      </c>
      <c r="H985" t="s">
        <v>540</v>
      </c>
      <c r="I985">
        <v>89150.48</v>
      </c>
    </row>
    <row r="986" spans="1:9">
      <c r="A986" s="90" t="s">
        <v>51</v>
      </c>
      <c r="B986" s="87">
        <v>45763</v>
      </c>
      <c r="C986" t="s">
        <v>1428</v>
      </c>
      <c r="D986" t="s">
        <v>546</v>
      </c>
      <c r="E986" t="s">
        <v>1429</v>
      </c>
      <c r="F986" t="s">
        <v>490</v>
      </c>
      <c r="G986" t="s">
        <v>470</v>
      </c>
      <c r="H986" t="s">
        <v>540</v>
      </c>
      <c r="I986">
        <v>57504.21</v>
      </c>
    </row>
    <row r="987" spans="1:9">
      <c r="A987" s="90" t="s">
        <v>51</v>
      </c>
      <c r="B987" s="87">
        <v>45763</v>
      </c>
      <c r="C987" t="s">
        <v>1430</v>
      </c>
      <c r="D987" t="s">
        <v>546</v>
      </c>
      <c r="E987" t="s">
        <v>1431</v>
      </c>
      <c r="F987" t="s">
        <v>490</v>
      </c>
      <c r="G987" t="s">
        <v>470</v>
      </c>
      <c r="H987" t="s">
        <v>540</v>
      </c>
      <c r="I987">
        <v>68236.78</v>
      </c>
    </row>
    <row r="988" spans="1:9">
      <c r="A988" s="90" t="s">
        <v>51</v>
      </c>
      <c r="B988" s="87">
        <v>45763</v>
      </c>
      <c r="C988" t="s">
        <v>1432</v>
      </c>
      <c r="D988" t="s">
        <v>546</v>
      </c>
      <c r="E988" t="s">
        <v>1433</v>
      </c>
      <c r="F988" t="s">
        <v>490</v>
      </c>
      <c r="G988" t="s">
        <v>470</v>
      </c>
      <c r="H988" t="s">
        <v>540</v>
      </c>
      <c r="I988">
        <v>74169.52</v>
      </c>
    </row>
    <row r="989" spans="1:9">
      <c r="A989" s="90" t="s">
        <v>51</v>
      </c>
      <c r="B989" s="87">
        <v>45763</v>
      </c>
      <c r="C989" t="s">
        <v>1434</v>
      </c>
      <c r="D989" t="s">
        <v>546</v>
      </c>
      <c r="E989" t="s">
        <v>1435</v>
      </c>
      <c r="F989" t="s">
        <v>490</v>
      </c>
      <c r="G989" t="s">
        <v>470</v>
      </c>
      <c r="H989" t="s">
        <v>540</v>
      </c>
      <c r="I989">
        <v>106181.54</v>
      </c>
    </row>
    <row r="990" spans="1:9">
      <c r="A990" s="90" t="s">
        <v>51</v>
      </c>
      <c r="B990" s="87">
        <v>45763</v>
      </c>
      <c r="C990" t="s">
        <v>1436</v>
      </c>
      <c r="D990" t="s">
        <v>546</v>
      </c>
      <c r="E990" t="s">
        <v>1437</v>
      </c>
      <c r="F990" t="s">
        <v>490</v>
      </c>
      <c r="G990" t="s">
        <v>470</v>
      </c>
      <c r="H990" t="s">
        <v>540</v>
      </c>
      <c r="I990">
        <v>72670.86</v>
      </c>
    </row>
    <row r="991" spans="1:9">
      <c r="A991" s="90" t="s">
        <v>51</v>
      </c>
      <c r="B991" s="87">
        <v>45763</v>
      </c>
      <c r="C991" t="s">
        <v>1438</v>
      </c>
      <c r="D991" t="s">
        <v>546</v>
      </c>
      <c r="E991" t="s">
        <v>1439</v>
      </c>
      <c r="F991" t="s">
        <v>490</v>
      </c>
      <c r="G991" t="s">
        <v>470</v>
      </c>
      <c r="H991" t="s">
        <v>540</v>
      </c>
      <c r="I991">
        <v>102475.22</v>
      </c>
    </row>
    <row r="992" spans="1:9">
      <c r="A992" s="90" t="s">
        <v>51</v>
      </c>
      <c r="B992" s="87">
        <v>45763</v>
      </c>
      <c r="C992" t="s">
        <v>1440</v>
      </c>
      <c r="D992" t="s">
        <v>546</v>
      </c>
      <c r="E992" t="s">
        <v>1441</v>
      </c>
      <c r="F992" t="s">
        <v>490</v>
      </c>
      <c r="G992" t="s">
        <v>470</v>
      </c>
      <c r="H992" t="s">
        <v>540</v>
      </c>
      <c r="I992">
        <v>56262.52</v>
      </c>
    </row>
    <row r="993" spans="1:9">
      <c r="A993" s="90" t="s">
        <v>51</v>
      </c>
      <c r="B993" s="87">
        <v>45763</v>
      </c>
      <c r="C993" t="s">
        <v>1442</v>
      </c>
      <c r="D993" t="s">
        <v>546</v>
      </c>
      <c r="E993" t="s">
        <v>1443</v>
      </c>
      <c r="F993" t="s">
        <v>490</v>
      </c>
      <c r="G993" t="s">
        <v>470</v>
      </c>
      <c r="H993" t="s">
        <v>540</v>
      </c>
      <c r="I993">
        <v>60358.98</v>
      </c>
    </row>
    <row r="994" spans="1:9">
      <c r="A994" s="90" t="s">
        <v>51</v>
      </c>
      <c r="B994" s="87">
        <v>45763</v>
      </c>
      <c r="C994" t="s">
        <v>613</v>
      </c>
      <c r="D994" t="s">
        <v>512</v>
      </c>
      <c r="E994" t="s">
        <v>569</v>
      </c>
      <c r="F994" t="s">
        <v>474</v>
      </c>
      <c r="G994" t="s">
        <v>470</v>
      </c>
      <c r="H994" t="s">
        <v>475</v>
      </c>
      <c r="I994">
        <v>100000</v>
      </c>
    </row>
    <row r="995" spans="1:9">
      <c r="A995" s="90" t="s">
        <v>51</v>
      </c>
      <c r="B995" s="87">
        <v>45763</v>
      </c>
      <c r="C995" t="s">
        <v>1444</v>
      </c>
      <c r="D995" t="s">
        <v>1445</v>
      </c>
      <c r="E995" t="s">
        <v>569</v>
      </c>
      <c r="F995" t="s">
        <v>469</v>
      </c>
      <c r="G995" t="s">
        <v>470</v>
      </c>
      <c r="H995" t="s">
        <v>487</v>
      </c>
      <c r="I995">
        <v>66.739999999999995</v>
      </c>
    </row>
    <row r="996" spans="1:9">
      <c r="A996" s="90" t="s">
        <v>51</v>
      </c>
      <c r="B996" s="87">
        <v>45763</v>
      </c>
      <c r="C996" t="s">
        <v>517</v>
      </c>
      <c r="D996" t="s">
        <v>512</v>
      </c>
      <c r="E996" t="s">
        <v>569</v>
      </c>
      <c r="F996" t="s">
        <v>474</v>
      </c>
      <c r="G996" t="s">
        <v>470</v>
      </c>
      <c r="H996" t="s">
        <v>475</v>
      </c>
      <c r="I996">
        <v>935422.73</v>
      </c>
    </row>
    <row r="997" spans="1:9">
      <c r="A997" s="90" t="s">
        <v>51</v>
      </c>
      <c r="B997" s="87">
        <v>45763</v>
      </c>
      <c r="C997" t="s">
        <v>1446</v>
      </c>
      <c r="D997" t="s">
        <v>546</v>
      </c>
      <c r="E997" t="s">
        <v>1447</v>
      </c>
      <c r="F997" t="s">
        <v>469</v>
      </c>
      <c r="G997" t="s">
        <v>470</v>
      </c>
      <c r="H997" t="s">
        <v>475</v>
      </c>
      <c r="I997">
        <v>8599.5</v>
      </c>
    </row>
    <row r="998" spans="1:9">
      <c r="A998" s="90" t="s">
        <v>51</v>
      </c>
      <c r="B998" s="87">
        <v>45764</v>
      </c>
      <c r="C998" t="s">
        <v>511</v>
      </c>
      <c r="D998" t="s">
        <v>512</v>
      </c>
      <c r="E998" t="s">
        <v>569</v>
      </c>
      <c r="F998" t="s">
        <v>474</v>
      </c>
      <c r="G998" t="s">
        <v>470</v>
      </c>
      <c r="H998" t="s">
        <v>475</v>
      </c>
      <c r="I998">
        <v>163731.88</v>
      </c>
    </row>
    <row r="999" spans="1:9">
      <c r="A999" s="90" t="s">
        <v>51</v>
      </c>
      <c r="B999" s="87">
        <v>45769</v>
      </c>
      <c r="C999" t="s">
        <v>1448</v>
      </c>
      <c r="D999" t="s">
        <v>477</v>
      </c>
      <c r="E999" t="s">
        <v>1449</v>
      </c>
      <c r="F999" t="s">
        <v>515</v>
      </c>
      <c r="G999" t="s">
        <v>470</v>
      </c>
      <c r="H999" t="s">
        <v>516</v>
      </c>
      <c r="I999">
        <v>1500000</v>
      </c>
    </row>
    <row r="1000" spans="1:9">
      <c r="A1000" s="90" t="s">
        <v>51</v>
      </c>
      <c r="B1000" s="87">
        <v>45769</v>
      </c>
      <c r="C1000" t="s">
        <v>517</v>
      </c>
      <c r="D1000" t="s">
        <v>512</v>
      </c>
      <c r="E1000" t="s">
        <v>569</v>
      </c>
      <c r="F1000" t="s">
        <v>474</v>
      </c>
      <c r="G1000" t="s">
        <v>470</v>
      </c>
      <c r="H1000" t="s">
        <v>475</v>
      </c>
      <c r="I1000">
        <v>1442917.03</v>
      </c>
    </row>
    <row r="1001" spans="1:9">
      <c r="A1001" s="90" t="s">
        <v>51</v>
      </c>
      <c r="B1001" s="87">
        <v>45770</v>
      </c>
      <c r="C1001" t="s">
        <v>511</v>
      </c>
      <c r="D1001" t="s">
        <v>512</v>
      </c>
      <c r="E1001" t="s">
        <v>569</v>
      </c>
      <c r="F1001" t="s">
        <v>474</v>
      </c>
      <c r="G1001" t="s">
        <v>470</v>
      </c>
      <c r="H1001" t="s">
        <v>475</v>
      </c>
      <c r="I1001">
        <v>532682.96</v>
      </c>
    </row>
    <row r="1002" spans="1:9">
      <c r="A1002" s="90" t="s">
        <v>51</v>
      </c>
      <c r="B1002" s="87">
        <v>45771</v>
      </c>
      <c r="C1002" t="s">
        <v>1450</v>
      </c>
      <c r="D1002" t="s">
        <v>1140</v>
      </c>
      <c r="E1002" t="s">
        <v>1451</v>
      </c>
      <c r="F1002" t="s">
        <v>490</v>
      </c>
      <c r="G1002" t="s">
        <v>470</v>
      </c>
      <c r="H1002" t="s">
        <v>540</v>
      </c>
      <c r="I1002">
        <v>16711.2</v>
      </c>
    </row>
    <row r="1003" spans="1:9">
      <c r="A1003" s="90" t="s">
        <v>51</v>
      </c>
      <c r="B1003" s="87">
        <v>45771</v>
      </c>
      <c r="C1003" t="s">
        <v>1452</v>
      </c>
      <c r="D1003" t="s">
        <v>1140</v>
      </c>
      <c r="E1003" t="s">
        <v>1453</v>
      </c>
      <c r="F1003" t="s">
        <v>490</v>
      </c>
      <c r="G1003" t="s">
        <v>470</v>
      </c>
      <c r="H1003" t="s">
        <v>540</v>
      </c>
      <c r="I1003">
        <v>70168.05</v>
      </c>
    </row>
    <row r="1004" spans="1:9">
      <c r="A1004" s="90" t="s">
        <v>51</v>
      </c>
      <c r="B1004" s="87">
        <v>45771</v>
      </c>
      <c r="C1004" t="s">
        <v>1454</v>
      </c>
      <c r="D1004" t="s">
        <v>1140</v>
      </c>
      <c r="E1004" t="s">
        <v>1455</v>
      </c>
      <c r="F1004" t="s">
        <v>490</v>
      </c>
      <c r="G1004" t="s">
        <v>470</v>
      </c>
      <c r="H1004" t="s">
        <v>540</v>
      </c>
      <c r="I1004">
        <v>64566</v>
      </c>
    </row>
    <row r="1005" spans="1:9">
      <c r="A1005" s="90" t="s">
        <v>51</v>
      </c>
      <c r="B1005" s="87">
        <v>45771</v>
      </c>
      <c r="C1005" t="s">
        <v>1456</v>
      </c>
      <c r="D1005" t="s">
        <v>1140</v>
      </c>
      <c r="E1005" t="s">
        <v>1457</v>
      </c>
      <c r="F1005" t="s">
        <v>490</v>
      </c>
      <c r="G1005" t="s">
        <v>470</v>
      </c>
      <c r="H1005" t="s">
        <v>540</v>
      </c>
      <c r="I1005">
        <v>58236</v>
      </c>
    </row>
    <row r="1006" spans="1:9">
      <c r="A1006" s="90" t="s">
        <v>51</v>
      </c>
      <c r="B1006" s="87">
        <v>45771</v>
      </c>
      <c r="C1006" t="s">
        <v>511</v>
      </c>
      <c r="D1006" t="s">
        <v>512</v>
      </c>
      <c r="E1006" t="s">
        <v>569</v>
      </c>
      <c r="F1006" t="s">
        <v>474</v>
      </c>
      <c r="G1006" t="s">
        <v>470</v>
      </c>
      <c r="H1006" t="s">
        <v>475</v>
      </c>
      <c r="I1006">
        <v>65482.12</v>
      </c>
    </row>
    <row r="1007" spans="1:9">
      <c r="A1007" s="90" t="s">
        <v>51</v>
      </c>
      <c r="B1007" s="87">
        <v>45772</v>
      </c>
      <c r="C1007" t="s">
        <v>1458</v>
      </c>
      <c r="D1007" t="s">
        <v>1140</v>
      </c>
      <c r="E1007" t="s">
        <v>1459</v>
      </c>
      <c r="F1007" t="s">
        <v>490</v>
      </c>
      <c r="G1007" t="s">
        <v>470</v>
      </c>
      <c r="H1007" t="s">
        <v>540</v>
      </c>
      <c r="I1007">
        <v>115648.11</v>
      </c>
    </row>
    <row r="1008" spans="1:9">
      <c r="A1008" s="90" t="s">
        <v>51</v>
      </c>
      <c r="B1008" s="87">
        <v>45772</v>
      </c>
      <c r="C1008" t="s">
        <v>1460</v>
      </c>
      <c r="D1008" t="s">
        <v>1140</v>
      </c>
      <c r="E1008" t="s">
        <v>1461</v>
      </c>
      <c r="F1008" t="s">
        <v>490</v>
      </c>
      <c r="G1008" t="s">
        <v>470</v>
      </c>
      <c r="H1008" t="s">
        <v>540</v>
      </c>
      <c r="I1008">
        <v>117094.61</v>
      </c>
    </row>
    <row r="1009" spans="1:9">
      <c r="A1009" s="90" t="s">
        <v>51</v>
      </c>
      <c r="B1009" s="87">
        <v>45772</v>
      </c>
      <c r="C1009" t="s">
        <v>1462</v>
      </c>
      <c r="D1009" t="s">
        <v>1140</v>
      </c>
      <c r="E1009" t="s">
        <v>1463</v>
      </c>
      <c r="F1009" t="s">
        <v>490</v>
      </c>
      <c r="G1009" t="s">
        <v>470</v>
      </c>
      <c r="H1009" t="s">
        <v>540</v>
      </c>
      <c r="I1009">
        <v>92197.28</v>
      </c>
    </row>
    <row r="1010" spans="1:9">
      <c r="A1010" s="90" t="s">
        <v>51</v>
      </c>
      <c r="B1010" s="87">
        <v>45772</v>
      </c>
      <c r="C1010" t="s">
        <v>1464</v>
      </c>
      <c r="D1010" t="s">
        <v>1140</v>
      </c>
      <c r="E1010" t="s">
        <v>1465</v>
      </c>
      <c r="F1010" t="s">
        <v>490</v>
      </c>
      <c r="G1010" t="s">
        <v>470</v>
      </c>
      <c r="H1010" t="s">
        <v>540</v>
      </c>
      <c r="I1010">
        <v>112914.67</v>
      </c>
    </row>
    <row r="1011" spans="1:9">
      <c r="A1011" s="90" t="s">
        <v>51</v>
      </c>
      <c r="B1011" s="87">
        <v>45772</v>
      </c>
      <c r="C1011" t="s">
        <v>1466</v>
      </c>
      <c r="D1011" t="s">
        <v>1140</v>
      </c>
      <c r="E1011" t="s">
        <v>1467</v>
      </c>
      <c r="F1011" t="s">
        <v>490</v>
      </c>
      <c r="G1011" t="s">
        <v>470</v>
      </c>
      <c r="H1011" t="s">
        <v>540</v>
      </c>
      <c r="I1011">
        <v>91341.65</v>
      </c>
    </row>
    <row r="1012" spans="1:9">
      <c r="A1012" s="90" t="s">
        <v>51</v>
      </c>
      <c r="B1012" s="87">
        <v>45772</v>
      </c>
      <c r="C1012" t="s">
        <v>1468</v>
      </c>
      <c r="D1012" t="s">
        <v>1140</v>
      </c>
      <c r="E1012" t="s">
        <v>1469</v>
      </c>
      <c r="F1012" t="s">
        <v>490</v>
      </c>
      <c r="G1012" t="s">
        <v>470</v>
      </c>
      <c r="H1012" t="s">
        <v>540</v>
      </c>
      <c r="I1012">
        <v>94914.95</v>
      </c>
    </row>
    <row r="1013" spans="1:9">
      <c r="A1013" s="90" t="s">
        <v>51</v>
      </c>
      <c r="B1013" s="87">
        <v>45772</v>
      </c>
      <c r="C1013" t="s">
        <v>1470</v>
      </c>
      <c r="D1013" t="s">
        <v>1140</v>
      </c>
      <c r="E1013" t="s">
        <v>1471</v>
      </c>
      <c r="F1013" t="s">
        <v>490</v>
      </c>
      <c r="G1013" t="s">
        <v>470</v>
      </c>
      <c r="H1013" t="s">
        <v>540</v>
      </c>
      <c r="I1013">
        <v>64228.11</v>
      </c>
    </row>
    <row r="1014" spans="1:9">
      <c r="A1014" s="90" t="s">
        <v>51</v>
      </c>
      <c r="B1014" s="87">
        <v>45772</v>
      </c>
      <c r="C1014" t="s">
        <v>1472</v>
      </c>
      <c r="D1014" t="s">
        <v>1140</v>
      </c>
      <c r="E1014" t="s">
        <v>1473</v>
      </c>
      <c r="F1014" t="s">
        <v>490</v>
      </c>
      <c r="G1014" t="s">
        <v>470</v>
      </c>
      <c r="H1014" t="s">
        <v>540</v>
      </c>
      <c r="I1014">
        <v>70012.350000000006</v>
      </c>
    </row>
    <row r="1015" spans="1:9">
      <c r="A1015" s="90" t="s">
        <v>51</v>
      </c>
      <c r="B1015" s="87">
        <v>45772</v>
      </c>
      <c r="C1015" t="s">
        <v>1474</v>
      </c>
      <c r="D1015" t="s">
        <v>1140</v>
      </c>
      <c r="E1015" t="s">
        <v>1475</v>
      </c>
      <c r="F1015" t="s">
        <v>490</v>
      </c>
      <c r="G1015" t="s">
        <v>470</v>
      </c>
      <c r="H1015" t="s">
        <v>540</v>
      </c>
      <c r="I1015">
        <v>84550.99</v>
      </c>
    </row>
    <row r="1016" spans="1:9">
      <c r="A1016" s="90" t="s">
        <v>51</v>
      </c>
      <c r="B1016" s="87">
        <v>45772</v>
      </c>
      <c r="C1016" t="s">
        <v>1476</v>
      </c>
      <c r="D1016" t="s">
        <v>1140</v>
      </c>
      <c r="E1016" t="s">
        <v>1477</v>
      </c>
      <c r="F1016" t="s">
        <v>490</v>
      </c>
      <c r="G1016" t="s">
        <v>470</v>
      </c>
      <c r="H1016" t="s">
        <v>540</v>
      </c>
      <c r="I1016">
        <v>60542.6</v>
      </c>
    </row>
    <row r="1017" spans="1:9">
      <c r="A1017" s="90" t="s">
        <v>51</v>
      </c>
      <c r="B1017" s="87">
        <v>45772</v>
      </c>
      <c r="C1017" t="s">
        <v>1478</v>
      </c>
      <c r="D1017" t="s">
        <v>1140</v>
      </c>
      <c r="E1017" t="s">
        <v>1479</v>
      </c>
      <c r="F1017" t="s">
        <v>490</v>
      </c>
      <c r="G1017" t="s">
        <v>470</v>
      </c>
      <c r="H1017" t="s">
        <v>540</v>
      </c>
      <c r="I1017">
        <v>49703.49</v>
      </c>
    </row>
    <row r="1018" spans="1:9">
      <c r="A1018" s="90" t="s">
        <v>51</v>
      </c>
      <c r="B1018" s="87">
        <v>45772</v>
      </c>
      <c r="C1018" t="s">
        <v>1478</v>
      </c>
      <c r="D1018" t="s">
        <v>1140</v>
      </c>
      <c r="E1018" t="s">
        <v>1479</v>
      </c>
      <c r="F1018" t="s">
        <v>490</v>
      </c>
      <c r="G1018" t="s">
        <v>470</v>
      </c>
      <c r="H1018" t="s">
        <v>540</v>
      </c>
      <c r="I1018">
        <v>0.01</v>
      </c>
    </row>
    <row r="1019" spans="1:9">
      <c r="A1019" s="90" t="s">
        <v>51</v>
      </c>
      <c r="B1019" s="87">
        <v>45772</v>
      </c>
      <c r="C1019" t="s">
        <v>1480</v>
      </c>
      <c r="D1019" t="s">
        <v>1140</v>
      </c>
      <c r="E1019" t="s">
        <v>1481</v>
      </c>
      <c r="F1019" t="s">
        <v>490</v>
      </c>
      <c r="G1019" t="s">
        <v>470</v>
      </c>
      <c r="H1019" t="s">
        <v>540</v>
      </c>
      <c r="I1019">
        <v>35941.58</v>
      </c>
    </row>
    <row r="1020" spans="1:9">
      <c r="A1020" s="90" t="s">
        <v>51</v>
      </c>
      <c r="B1020" s="87">
        <v>45772</v>
      </c>
      <c r="C1020" t="s">
        <v>1482</v>
      </c>
      <c r="D1020" t="s">
        <v>1140</v>
      </c>
      <c r="E1020" t="s">
        <v>1483</v>
      </c>
      <c r="F1020" t="s">
        <v>490</v>
      </c>
      <c r="G1020" t="s">
        <v>470</v>
      </c>
      <c r="H1020" t="s">
        <v>540</v>
      </c>
      <c r="I1020">
        <v>62909.599999999999</v>
      </c>
    </row>
    <row r="1021" spans="1:9">
      <c r="A1021" s="90" t="s">
        <v>51</v>
      </c>
      <c r="B1021" s="87">
        <v>45772</v>
      </c>
      <c r="C1021" t="s">
        <v>517</v>
      </c>
      <c r="D1021" t="s">
        <v>512</v>
      </c>
      <c r="E1021" t="s">
        <v>569</v>
      </c>
      <c r="F1021" t="s">
        <v>474</v>
      </c>
      <c r="G1021" t="s">
        <v>470</v>
      </c>
      <c r="H1021" t="s">
        <v>475</v>
      </c>
      <c r="I1021">
        <v>877816.3</v>
      </c>
    </row>
    <row r="1022" spans="1:9">
      <c r="A1022" s="90" t="s">
        <v>51</v>
      </c>
      <c r="B1022" s="87">
        <v>45775</v>
      </c>
      <c r="C1022" t="s">
        <v>1484</v>
      </c>
      <c r="D1022" t="s">
        <v>1140</v>
      </c>
      <c r="E1022" t="s">
        <v>1485</v>
      </c>
      <c r="F1022" t="s">
        <v>490</v>
      </c>
      <c r="G1022" t="s">
        <v>470</v>
      </c>
      <c r="H1022" t="s">
        <v>801</v>
      </c>
      <c r="I1022">
        <v>86630.63</v>
      </c>
    </row>
    <row r="1023" spans="1:9">
      <c r="A1023" s="90" t="s">
        <v>51</v>
      </c>
      <c r="B1023" s="87">
        <v>45775</v>
      </c>
      <c r="C1023" t="s">
        <v>1486</v>
      </c>
      <c r="D1023" t="s">
        <v>1140</v>
      </c>
      <c r="E1023" t="s">
        <v>1487</v>
      </c>
      <c r="F1023" t="s">
        <v>490</v>
      </c>
      <c r="G1023" t="s">
        <v>470</v>
      </c>
      <c r="H1023" t="s">
        <v>801</v>
      </c>
      <c r="I1023">
        <v>62634.38</v>
      </c>
    </row>
    <row r="1024" spans="1:9">
      <c r="A1024" s="90" t="s">
        <v>51</v>
      </c>
      <c r="B1024" s="87">
        <v>45775</v>
      </c>
      <c r="C1024" t="s">
        <v>1488</v>
      </c>
      <c r="D1024" t="s">
        <v>1140</v>
      </c>
      <c r="E1024" t="s">
        <v>1489</v>
      </c>
      <c r="F1024" t="s">
        <v>490</v>
      </c>
      <c r="G1024" t="s">
        <v>470</v>
      </c>
      <c r="H1024" t="s">
        <v>801</v>
      </c>
      <c r="I1024">
        <v>97196.25</v>
      </c>
    </row>
    <row r="1025" spans="1:9">
      <c r="A1025" s="90" t="s">
        <v>51</v>
      </c>
      <c r="B1025" s="87">
        <v>45775</v>
      </c>
      <c r="C1025" t="s">
        <v>1490</v>
      </c>
      <c r="D1025" t="s">
        <v>1140</v>
      </c>
      <c r="E1025" t="s">
        <v>1491</v>
      </c>
      <c r="F1025" t="s">
        <v>490</v>
      </c>
      <c r="G1025" t="s">
        <v>470</v>
      </c>
      <c r="H1025" t="s">
        <v>801</v>
      </c>
      <c r="I1025">
        <v>94771.88</v>
      </c>
    </row>
    <row r="1026" spans="1:9">
      <c r="A1026" s="90" t="s">
        <v>51</v>
      </c>
      <c r="B1026" s="87">
        <v>45775</v>
      </c>
      <c r="C1026" t="s">
        <v>1492</v>
      </c>
      <c r="D1026" t="s">
        <v>1140</v>
      </c>
      <c r="E1026" t="s">
        <v>1493</v>
      </c>
      <c r="F1026" t="s">
        <v>490</v>
      </c>
      <c r="G1026" t="s">
        <v>470</v>
      </c>
      <c r="H1026" t="s">
        <v>801</v>
      </c>
      <c r="I1026">
        <v>100597.5</v>
      </c>
    </row>
    <row r="1027" spans="1:9">
      <c r="A1027" s="90" t="s">
        <v>51</v>
      </c>
      <c r="B1027" s="87">
        <v>45775</v>
      </c>
      <c r="C1027" t="s">
        <v>1494</v>
      </c>
      <c r="D1027" t="s">
        <v>1140</v>
      </c>
      <c r="E1027" t="s">
        <v>1495</v>
      </c>
      <c r="F1027" t="s">
        <v>490</v>
      </c>
      <c r="G1027" t="s">
        <v>470</v>
      </c>
      <c r="H1027" t="s">
        <v>801</v>
      </c>
      <c r="I1027">
        <v>77092.5</v>
      </c>
    </row>
    <row r="1028" spans="1:9">
      <c r="A1028" s="90" t="s">
        <v>51</v>
      </c>
      <c r="B1028" s="87">
        <v>45775</v>
      </c>
      <c r="C1028" t="s">
        <v>1496</v>
      </c>
      <c r="D1028" t="s">
        <v>1140</v>
      </c>
      <c r="E1028" t="s">
        <v>1497</v>
      </c>
      <c r="F1028" t="s">
        <v>490</v>
      </c>
      <c r="G1028" t="s">
        <v>470</v>
      </c>
      <c r="H1028" t="s">
        <v>801</v>
      </c>
      <c r="I1028">
        <v>82031.25</v>
      </c>
    </row>
    <row r="1029" spans="1:9">
      <c r="A1029" s="90" t="s">
        <v>51</v>
      </c>
      <c r="B1029" s="87">
        <v>45775</v>
      </c>
      <c r="C1029" t="s">
        <v>1498</v>
      </c>
      <c r="D1029" t="s">
        <v>1140</v>
      </c>
      <c r="E1029" t="s">
        <v>1499</v>
      </c>
      <c r="F1029" t="s">
        <v>490</v>
      </c>
      <c r="G1029" t="s">
        <v>470</v>
      </c>
      <c r="H1029" t="s">
        <v>801</v>
      </c>
      <c r="I1029">
        <v>78022.5</v>
      </c>
    </row>
    <row r="1030" spans="1:9">
      <c r="A1030" s="90" t="s">
        <v>51</v>
      </c>
      <c r="B1030" s="87">
        <v>45775</v>
      </c>
      <c r="C1030" t="s">
        <v>1500</v>
      </c>
      <c r="D1030" t="s">
        <v>1140</v>
      </c>
      <c r="E1030" t="s">
        <v>1501</v>
      </c>
      <c r="F1030" t="s">
        <v>490</v>
      </c>
      <c r="G1030" t="s">
        <v>470</v>
      </c>
      <c r="H1030" t="s">
        <v>801</v>
      </c>
      <c r="I1030">
        <v>86726.25</v>
      </c>
    </row>
    <row r="1031" spans="1:9">
      <c r="A1031" s="90" t="s">
        <v>51</v>
      </c>
      <c r="B1031" s="87">
        <v>45775</v>
      </c>
      <c r="C1031" t="s">
        <v>1502</v>
      </c>
      <c r="D1031" t="s">
        <v>1140</v>
      </c>
      <c r="E1031" t="s">
        <v>1503</v>
      </c>
      <c r="F1031" t="s">
        <v>490</v>
      </c>
      <c r="G1031" t="s">
        <v>470</v>
      </c>
      <c r="H1031" t="s">
        <v>801</v>
      </c>
      <c r="I1031">
        <v>77934.38</v>
      </c>
    </row>
    <row r="1032" spans="1:9">
      <c r="A1032" s="90" t="s">
        <v>51</v>
      </c>
      <c r="B1032" s="87">
        <v>45775</v>
      </c>
      <c r="C1032" t="s">
        <v>1504</v>
      </c>
      <c r="D1032" t="s">
        <v>1140</v>
      </c>
      <c r="E1032" t="s">
        <v>1505</v>
      </c>
      <c r="F1032" t="s">
        <v>490</v>
      </c>
      <c r="G1032" t="s">
        <v>470</v>
      </c>
      <c r="H1032" t="s">
        <v>801</v>
      </c>
      <c r="I1032">
        <v>96084.38</v>
      </c>
    </row>
    <row r="1033" spans="1:9">
      <c r="A1033" s="90" t="s">
        <v>51</v>
      </c>
      <c r="B1033" s="87">
        <v>45775</v>
      </c>
      <c r="C1033" t="s">
        <v>1506</v>
      </c>
      <c r="D1033" t="s">
        <v>1140</v>
      </c>
      <c r="E1033" t="s">
        <v>1507</v>
      </c>
      <c r="F1033" t="s">
        <v>490</v>
      </c>
      <c r="G1033" t="s">
        <v>470</v>
      </c>
      <c r="H1033" t="s">
        <v>801</v>
      </c>
      <c r="I1033">
        <v>99519.38</v>
      </c>
    </row>
    <row r="1034" spans="1:9">
      <c r="A1034" s="90" t="s">
        <v>51</v>
      </c>
      <c r="B1034" s="87">
        <v>45775</v>
      </c>
      <c r="C1034" t="s">
        <v>1508</v>
      </c>
      <c r="D1034" t="s">
        <v>1140</v>
      </c>
      <c r="E1034" t="s">
        <v>1509</v>
      </c>
      <c r="F1034" t="s">
        <v>490</v>
      </c>
      <c r="G1034" t="s">
        <v>470</v>
      </c>
      <c r="H1034" t="s">
        <v>801</v>
      </c>
      <c r="I1034">
        <v>77158.13</v>
      </c>
    </row>
    <row r="1035" spans="1:9">
      <c r="A1035" s="90" t="s">
        <v>51</v>
      </c>
      <c r="B1035" s="87">
        <v>45775</v>
      </c>
      <c r="C1035" t="s">
        <v>1510</v>
      </c>
      <c r="D1035" t="s">
        <v>1140</v>
      </c>
      <c r="E1035" t="s">
        <v>1511</v>
      </c>
      <c r="F1035" t="s">
        <v>490</v>
      </c>
      <c r="G1035" t="s">
        <v>470</v>
      </c>
      <c r="H1035" t="s">
        <v>801</v>
      </c>
      <c r="I1035">
        <v>8600.6299999999992</v>
      </c>
    </row>
    <row r="1036" spans="1:9">
      <c r="A1036" s="90" t="s">
        <v>51</v>
      </c>
      <c r="B1036" s="87">
        <v>45775</v>
      </c>
      <c r="C1036" t="s">
        <v>1512</v>
      </c>
      <c r="D1036" t="s">
        <v>1140</v>
      </c>
      <c r="E1036" t="s">
        <v>1513</v>
      </c>
      <c r="F1036" t="s">
        <v>490</v>
      </c>
      <c r="G1036" t="s">
        <v>470</v>
      </c>
      <c r="H1036" t="s">
        <v>801</v>
      </c>
      <c r="I1036">
        <v>68999.33</v>
      </c>
    </row>
    <row r="1037" spans="1:9">
      <c r="A1037" s="90" t="s">
        <v>51</v>
      </c>
      <c r="B1037" s="87">
        <v>45775</v>
      </c>
      <c r="C1037" t="s">
        <v>1514</v>
      </c>
      <c r="D1037" t="s">
        <v>1140</v>
      </c>
      <c r="E1037" t="s">
        <v>1515</v>
      </c>
      <c r="F1037" t="s">
        <v>490</v>
      </c>
      <c r="G1037" t="s">
        <v>470</v>
      </c>
      <c r="H1037" t="s">
        <v>801</v>
      </c>
      <c r="I1037">
        <v>79559.33</v>
      </c>
    </row>
    <row r="1038" spans="1:9">
      <c r="A1038" s="90" t="s">
        <v>51</v>
      </c>
      <c r="B1038" s="87">
        <v>45775</v>
      </c>
      <c r="C1038" t="s">
        <v>1516</v>
      </c>
      <c r="D1038" t="s">
        <v>1140</v>
      </c>
      <c r="E1038" t="s">
        <v>1517</v>
      </c>
      <c r="F1038" t="s">
        <v>490</v>
      </c>
      <c r="G1038" t="s">
        <v>470</v>
      </c>
      <c r="H1038" t="s">
        <v>801</v>
      </c>
      <c r="I1038">
        <v>76450</v>
      </c>
    </row>
    <row r="1039" spans="1:9">
      <c r="A1039" s="90" t="s">
        <v>51</v>
      </c>
      <c r="B1039" s="87">
        <v>45775</v>
      </c>
      <c r="C1039" t="s">
        <v>1518</v>
      </c>
      <c r="D1039" t="s">
        <v>1140</v>
      </c>
      <c r="E1039" t="s">
        <v>1519</v>
      </c>
      <c r="F1039" t="s">
        <v>490</v>
      </c>
      <c r="G1039" t="s">
        <v>470</v>
      </c>
      <c r="H1039" t="s">
        <v>801</v>
      </c>
      <c r="I1039">
        <v>100925</v>
      </c>
    </row>
    <row r="1040" spans="1:9">
      <c r="A1040" s="90" t="s">
        <v>51</v>
      </c>
      <c r="B1040" s="87">
        <v>45775</v>
      </c>
      <c r="C1040" t="s">
        <v>1520</v>
      </c>
      <c r="D1040" t="s">
        <v>1140</v>
      </c>
      <c r="E1040" t="s">
        <v>1521</v>
      </c>
      <c r="F1040" t="s">
        <v>490</v>
      </c>
      <c r="G1040" t="s">
        <v>470</v>
      </c>
      <c r="H1040" t="s">
        <v>801</v>
      </c>
      <c r="I1040">
        <v>81341.33</v>
      </c>
    </row>
    <row r="1041" spans="1:9">
      <c r="A1041" s="90" t="s">
        <v>51</v>
      </c>
      <c r="B1041" s="87">
        <v>45775</v>
      </c>
      <c r="C1041" t="s">
        <v>1522</v>
      </c>
      <c r="D1041" t="s">
        <v>1140</v>
      </c>
      <c r="E1041" t="s">
        <v>1523</v>
      </c>
      <c r="F1041" t="s">
        <v>490</v>
      </c>
      <c r="G1041" t="s">
        <v>470</v>
      </c>
      <c r="H1041" t="s">
        <v>801</v>
      </c>
      <c r="I1041">
        <v>44102.67</v>
      </c>
    </row>
    <row r="1042" spans="1:9">
      <c r="A1042" s="90" t="s">
        <v>51</v>
      </c>
      <c r="B1042" s="87">
        <v>45775</v>
      </c>
      <c r="C1042" t="s">
        <v>1524</v>
      </c>
      <c r="D1042" t="s">
        <v>1140</v>
      </c>
      <c r="E1042" t="s">
        <v>1525</v>
      </c>
      <c r="F1042" t="s">
        <v>490</v>
      </c>
      <c r="G1042" t="s">
        <v>470</v>
      </c>
      <c r="H1042" t="s">
        <v>801</v>
      </c>
      <c r="I1042">
        <v>53830.33</v>
      </c>
    </row>
    <row r="1043" spans="1:9">
      <c r="A1043" s="90" t="s">
        <v>51</v>
      </c>
      <c r="B1043" s="87">
        <v>45775</v>
      </c>
      <c r="C1043" t="s">
        <v>1526</v>
      </c>
      <c r="D1043" t="s">
        <v>1140</v>
      </c>
      <c r="E1043" t="s">
        <v>1527</v>
      </c>
      <c r="F1043" t="s">
        <v>490</v>
      </c>
      <c r="G1043" t="s">
        <v>470</v>
      </c>
      <c r="H1043" t="s">
        <v>801</v>
      </c>
      <c r="I1043">
        <v>41842.629999999997</v>
      </c>
    </row>
    <row r="1044" spans="1:9">
      <c r="A1044" s="90" t="s">
        <v>51</v>
      </c>
      <c r="B1044" s="87">
        <v>45775</v>
      </c>
      <c r="C1044" t="s">
        <v>511</v>
      </c>
      <c r="D1044" t="s">
        <v>512</v>
      </c>
      <c r="E1044" t="s">
        <v>569</v>
      </c>
      <c r="F1044" t="s">
        <v>474</v>
      </c>
      <c r="G1044" t="s">
        <v>470</v>
      </c>
      <c r="H1044" t="s">
        <v>475</v>
      </c>
      <c r="I1044">
        <v>1274126.29</v>
      </c>
    </row>
    <row r="1045" spans="1:9">
      <c r="A1045" s="90" t="s">
        <v>51</v>
      </c>
      <c r="B1045" s="87">
        <v>45776</v>
      </c>
      <c r="C1045" t="s">
        <v>1528</v>
      </c>
      <c r="D1045" t="s">
        <v>1529</v>
      </c>
      <c r="E1045" t="s">
        <v>1530</v>
      </c>
      <c r="F1045" t="s">
        <v>490</v>
      </c>
      <c r="G1045" t="s">
        <v>470</v>
      </c>
      <c r="H1045" t="s">
        <v>540</v>
      </c>
      <c r="I1045">
        <v>66473</v>
      </c>
    </row>
    <row r="1046" spans="1:9">
      <c r="A1046" s="90" t="s">
        <v>51</v>
      </c>
      <c r="B1046" s="87">
        <v>45776</v>
      </c>
      <c r="C1046" t="s">
        <v>1531</v>
      </c>
      <c r="D1046" t="s">
        <v>1529</v>
      </c>
      <c r="E1046" t="s">
        <v>1532</v>
      </c>
      <c r="F1046" t="s">
        <v>490</v>
      </c>
      <c r="G1046" t="s">
        <v>470</v>
      </c>
      <c r="H1046" t="s">
        <v>540</v>
      </c>
      <c r="I1046">
        <v>69639.17</v>
      </c>
    </row>
    <row r="1047" spans="1:9">
      <c r="A1047" s="90" t="s">
        <v>51</v>
      </c>
      <c r="B1047" s="87">
        <v>45776</v>
      </c>
      <c r="C1047" t="s">
        <v>1533</v>
      </c>
      <c r="D1047" t="s">
        <v>1529</v>
      </c>
      <c r="E1047" t="s">
        <v>1534</v>
      </c>
      <c r="F1047" t="s">
        <v>490</v>
      </c>
      <c r="G1047" t="s">
        <v>470</v>
      </c>
      <c r="H1047" t="s">
        <v>540</v>
      </c>
      <c r="I1047">
        <v>84645</v>
      </c>
    </row>
    <row r="1048" spans="1:9">
      <c r="A1048" s="90" t="s">
        <v>51</v>
      </c>
      <c r="B1048" s="87">
        <v>45776</v>
      </c>
      <c r="C1048" t="s">
        <v>1535</v>
      </c>
      <c r="D1048" t="s">
        <v>1529</v>
      </c>
      <c r="E1048" t="s">
        <v>1536</v>
      </c>
      <c r="F1048" t="s">
        <v>490</v>
      </c>
      <c r="G1048" t="s">
        <v>470</v>
      </c>
      <c r="H1048" t="s">
        <v>540</v>
      </c>
      <c r="I1048">
        <v>103783.17</v>
      </c>
    </row>
    <row r="1049" spans="1:9">
      <c r="A1049" s="90" t="s">
        <v>51</v>
      </c>
      <c r="B1049" s="87">
        <v>45776</v>
      </c>
      <c r="C1049" t="s">
        <v>1537</v>
      </c>
      <c r="D1049" t="s">
        <v>1529</v>
      </c>
      <c r="E1049" t="s">
        <v>1538</v>
      </c>
      <c r="F1049" t="s">
        <v>490</v>
      </c>
      <c r="G1049" t="s">
        <v>470</v>
      </c>
      <c r="H1049" t="s">
        <v>540</v>
      </c>
      <c r="I1049">
        <v>89846.17</v>
      </c>
    </row>
    <row r="1050" spans="1:9">
      <c r="A1050" s="90" t="s">
        <v>51</v>
      </c>
      <c r="B1050" s="87">
        <v>45776</v>
      </c>
      <c r="C1050" t="s">
        <v>1539</v>
      </c>
      <c r="D1050" t="s">
        <v>1529</v>
      </c>
      <c r="E1050" t="s">
        <v>1540</v>
      </c>
      <c r="F1050" t="s">
        <v>490</v>
      </c>
      <c r="G1050" t="s">
        <v>470</v>
      </c>
      <c r="H1050" t="s">
        <v>540</v>
      </c>
      <c r="I1050">
        <v>78549.17</v>
      </c>
    </row>
    <row r="1051" spans="1:9">
      <c r="A1051" s="90" t="s">
        <v>51</v>
      </c>
      <c r="B1051" s="87">
        <v>45776</v>
      </c>
      <c r="C1051" t="s">
        <v>1541</v>
      </c>
      <c r="D1051" t="s">
        <v>1529</v>
      </c>
      <c r="E1051" t="s">
        <v>1542</v>
      </c>
      <c r="F1051" t="s">
        <v>490</v>
      </c>
      <c r="G1051" t="s">
        <v>470</v>
      </c>
      <c r="H1051" t="s">
        <v>540</v>
      </c>
      <c r="I1051">
        <v>90632.67</v>
      </c>
    </row>
    <row r="1052" spans="1:9">
      <c r="A1052" s="90" t="s">
        <v>51</v>
      </c>
      <c r="B1052" s="87">
        <v>45776</v>
      </c>
      <c r="C1052" t="s">
        <v>1543</v>
      </c>
      <c r="D1052" t="s">
        <v>1529</v>
      </c>
      <c r="E1052" t="s">
        <v>1544</v>
      </c>
      <c r="F1052" t="s">
        <v>490</v>
      </c>
      <c r="G1052" t="s">
        <v>470</v>
      </c>
      <c r="H1052" t="s">
        <v>540</v>
      </c>
      <c r="I1052">
        <v>70121.33</v>
      </c>
    </row>
    <row r="1053" spans="1:9">
      <c r="A1053" s="90" t="s">
        <v>51</v>
      </c>
      <c r="B1053" s="87">
        <v>45776</v>
      </c>
      <c r="C1053" t="s">
        <v>1545</v>
      </c>
      <c r="D1053" t="s">
        <v>1529</v>
      </c>
      <c r="E1053" t="s">
        <v>1546</v>
      </c>
      <c r="F1053" t="s">
        <v>490</v>
      </c>
      <c r="G1053" t="s">
        <v>470</v>
      </c>
      <c r="H1053" t="s">
        <v>540</v>
      </c>
      <c r="I1053">
        <v>119485.67</v>
      </c>
    </row>
    <row r="1054" spans="1:9">
      <c r="A1054" s="90" t="s">
        <v>51</v>
      </c>
      <c r="B1054" s="87">
        <v>45776</v>
      </c>
      <c r="C1054" t="s">
        <v>1547</v>
      </c>
      <c r="D1054" t="s">
        <v>1529</v>
      </c>
      <c r="E1054" t="s">
        <v>1548</v>
      </c>
      <c r="F1054" t="s">
        <v>490</v>
      </c>
      <c r="G1054" t="s">
        <v>470</v>
      </c>
      <c r="H1054" t="s">
        <v>540</v>
      </c>
      <c r="I1054">
        <v>79231.17</v>
      </c>
    </row>
    <row r="1055" spans="1:9">
      <c r="A1055" s="90" t="s">
        <v>51</v>
      </c>
      <c r="B1055" s="87">
        <v>45776</v>
      </c>
      <c r="C1055" t="s">
        <v>1549</v>
      </c>
      <c r="D1055" t="s">
        <v>1529</v>
      </c>
      <c r="E1055" t="s">
        <v>1550</v>
      </c>
      <c r="F1055" t="s">
        <v>490</v>
      </c>
      <c r="G1055" t="s">
        <v>470</v>
      </c>
      <c r="H1055" t="s">
        <v>540</v>
      </c>
      <c r="I1055">
        <v>74041</v>
      </c>
    </row>
    <row r="1056" spans="1:9">
      <c r="A1056" s="90" t="s">
        <v>51</v>
      </c>
      <c r="B1056" s="87">
        <v>45776</v>
      </c>
      <c r="C1056" t="s">
        <v>1551</v>
      </c>
      <c r="D1056" t="s">
        <v>1529</v>
      </c>
      <c r="E1056" t="s">
        <v>1552</v>
      </c>
      <c r="F1056" t="s">
        <v>490</v>
      </c>
      <c r="G1056" t="s">
        <v>470</v>
      </c>
      <c r="H1056" t="s">
        <v>540</v>
      </c>
      <c r="I1056">
        <v>112706</v>
      </c>
    </row>
    <row r="1057" spans="1:9">
      <c r="A1057" s="90" t="s">
        <v>51</v>
      </c>
      <c r="B1057" s="87">
        <v>45776</v>
      </c>
      <c r="C1057" t="s">
        <v>1553</v>
      </c>
      <c r="D1057" t="s">
        <v>1529</v>
      </c>
      <c r="E1057" t="s">
        <v>1554</v>
      </c>
      <c r="F1057" t="s">
        <v>490</v>
      </c>
      <c r="G1057" t="s">
        <v>470</v>
      </c>
      <c r="H1057" t="s">
        <v>540</v>
      </c>
      <c r="I1057">
        <v>60846.5</v>
      </c>
    </row>
    <row r="1058" spans="1:9">
      <c r="A1058" s="90" t="s">
        <v>51</v>
      </c>
      <c r="B1058" s="87">
        <v>45776</v>
      </c>
      <c r="C1058" t="s">
        <v>1555</v>
      </c>
      <c r="D1058" t="s">
        <v>1529</v>
      </c>
      <c r="E1058" t="s">
        <v>1556</v>
      </c>
      <c r="F1058" t="s">
        <v>490</v>
      </c>
      <c r="G1058" t="s">
        <v>470</v>
      </c>
      <c r="H1058" t="s">
        <v>540</v>
      </c>
      <c r="I1058">
        <v>62955.95</v>
      </c>
    </row>
    <row r="1059" spans="1:9">
      <c r="A1059" s="90" t="s">
        <v>51</v>
      </c>
      <c r="B1059" s="87">
        <v>45776</v>
      </c>
      <c r="C1059" t="s">
        <v>1557</v>
      </c>
      <c r="D1059" t="s">
        <v>1529</v>
      </c>
      <c r="E1059" t="s">
        <v>1558</v>
      </c>
      <c r="F1059" t="s">
        <v>490</v>
      </c>
      <c r="G1059" t="s">
        <v>470</v>
      </c>
      <c r="H1059" t="s">
        <v>540</v>
      </c>
      <c r="I1059">
        <v>76205.81</v>
      </c>
    </row>
    <row r="1060" spans="1:9">
      <c r="A1060" s="90" t="s">
        <v>51</v>
      </c>
      <c r="B1060" s="87">
        <v>45776</v>
      </c>
      <c r="C1060" t="s">
        <v>1559</v>
      </c>
      <c r="D1060" t="s">
        <v>1529</v>
      </c>
      <c r="E1060" t="s">
        <v>1560</v>
      </c>
      <c r="F1060" t="s">
        <v>490</v>
      </c>
      <c r="G1060" t="s">
        <v>470</v>
      </c>
      <c r="H1060" t="s">
        <v>540</v>
      </c>
      <c r="I1060">
        <v>69968.23</v>
      </c>
    </row>
    <row r="1061" spans="1:9">
      <c r="A1061" s="90" t="s">
        <v>51</v>
      </c>
      <c r="B1061" s="87">
        <v>45776</v>
      </c>
      <c r="C1061" t="s">
        <v>1561</v>
      </c>
      <c r="D1061" t="s">
        <v>1529</v>
      </c>
      <c r="E1061" t="s">
        <v>1562</v>
      </c>
      <c r="F1061" t="s">
        <v>490</v>
      </c>
      <c r="G1061" t="s">
        <v>470</v>
      </c>
      <c r="H1061" t="s">
        <v>540</v>
      </c>
      <c r="I1061">
        <v>64498.720000000001</v>
      </c>
    </row>
    <row r="1062" spans="1:9">
      <c r="A1062" s="90" t="s">
        <v>51</v>
      </c>
      <c r="B1062" s="87">
        <v>45776</v>
      </c>
      <c r="C1062" t="s">
        <v>1563</v>
      </c>
      <c r="D1062" t="s">
        <v>1529</v>
      </c>
      <c r="E1062" t="s">
        <v>1564</v>
      </c>
      <c r="F1062" t="s">
        <v>490</v>
      </c>
      <c r="G1062" t="s">
        <v>470</v>
      </c>
      <c r="H1062" t="s">
        <v>540</v>
      </c>
      <c r="I1062">
        <v>88938.64</v>
      </c>
    </row>
    <row r="1063" spans="1:9">
      <c r="A1063" s="90" t="s">
        <v>51</v>
      </c>
      <c r="B1063" s="87">
        <v>45776</v>
      </c>
      <c r="C1063" t="s">
        <v>1565</v>
      </c>
      <c r="D1063" t="s">
        <v>1529</v>
      </c>
      <c r="E1063" t="s">
        <v>1566</v>
      </c>
      <c r="F1063" t="s">
        <v>490</v>
      </c>
      <c r="G1063" t="s">
        <v>470</v>
      </c>
      <c r="H1063" t="s">
        <v>540</v>
      </c>
      <c r="I1063">
        <v>81449.23</v>
      </c>
    </row>
    <row r="1064" spans="1:9">
      <c r="A1064" s="90" t="s">
        <v>51</v>
      </c>
      <c r="B1064" s="87">
        <v>45776</v>
      </c>
      <c r="C1064" t="s">
        <v>1567</v>
      </c>
      <c r="D1064" t="s">
        <v>1529</v>
      </c>
      <c r="E1064" t="s">
        <v>1568</v>
      </c>
      <c r="F1064" t="s">
        <v>490</v>
      </c>
      <c r="G1064" t="s">
        <v>470</v>
      </c>
      <c r="H1064" t="s">
        <v>540</v>
      </c>
      <c r="I1064">
        <v>54723.42</v>
      </c>
    </row>
    <row r="1065" spans="1:9">
      <c r="A1065" s="90" t="s">
        <v>51</v>
      </c>
      <c r="B1065" s="87">
        <v>45776</v>
      </c>
      <c r="C1065" t="s">
        <v>517</v>
      </c>
      <c r="D1065" t="s">
        <v>512</v>
      </c>
      <c r="E1065" t="s">
        <v>569</v>
      </c>
      <c r="F1065" t="s">
        <v>474</v>
      </c>
      <c r="G1065" t="s">
        <v>470</v>
      </c>
      <c r="H1065" t="s">
        <v>475</v>
      </c>
      <c r="I1065">
        <v>1598740</v>
      </c>
    </row>
    <row r="1066" spans="1:9">
      <c r="A1066" s="90" t="s">
        <v>51</v>
      </c>
      <c r="B1066" s="87">
        <v>45776</v>
      </c>
      <c r="C1066" t="s">
        <v>511</v>
      </c>
      <c r="D1066" t="s">
        <v>512</v>
      </c>
      <c r="E1066" t="s">
        <v>569</v>
      </c>
      <c r="F1066" t="s">
        <v>474</v>
      </c>
      <c r="G1066" t="s">
        <v>470</v>
      </c>
      <c r="H1066" t="s">
        <v>475</v>
      </c>
      <c r="I1066">
        <v>128018.91</v>
      </c>
    </row>
    <row r="1067" spans="1:9">
      <c r="A1067" s="90" t="s">
        <v>51</v>
      </c>
      <c r="B1067" s="87">
        <v>45777</v>
      </c>
      <c r="C1067" t="s">
        <v>1569</v>
      </c>
      <c r="D1067" t="s">
        <v>1570</v>
      </c>
      <c r="E1067" t="s">
        <v>1571</v>
      </c>
      <c r="F1067" t="s">
        <v>490</v>
      </c>
      <c r="G1067" t="s">
        <v>470</v>
      </c>
      <c r="H1067" t="s">
        <v>540</v>
      </c>
      <c r="I1067">
        <v>76391.47</v>
      </c>
    </row>
    <row r="1068" spans="1:9">
      <c r="A1068" s="90" t="s">
        <v>51</v>
      </c>
      <c r="B1068" s="87">
        <v>45777</v>
      </c>
      <c r="C1068" t="s">
        <v>1572</v>
      </c>
      <c r="D1068" t="s">
        <v>1570</v>
      </c>
      <c r="E1068" t="s">
        <v>1573</v>
      </c>
      <c r="F1068" t="s">
        <v>490</v>
      </c>
      <c r="G1068" t="s">
        <v>470</v>
      </c>
      <c r="H1068" t="s">
        <v>540</v>
      </c>
      <c r="I1068">
        <v>47422.879999999997</v>
      </c>
    </row>
    <row r="1069" spans="1:9">
      <c r="A1069" s="90" t="s">
        <v>51</v>
      </c>
      <c r="B1069" s="87">
        <v>45777</v>
      </c>
      <c r="C1069" t="s">
        <v>1574</v>
      </c>
      <c r="D1069" t="s">
        <v>1570</v>
      </c>
      <c r="E1069" t="s">
        <v>1575</v>
      </c>
      <c r="F1069" t="s">
        <v>490</v>
      </c>
      <c r="G1069" t="s">
        <v>470</v>
      </c>
      <c r="H1069" t="s">
        <v>540</v>
      </c>
      <c r="I1069">
        <v>52520</v>
      </c>
    </row>
    <row r="1070" spans="1:9">
      <c r="A1070" s="90" t="s">
        <v>51</v>
      </c>
      <c r="B1070" s="87">
        <v>45777</v>
      </c>
      <c r="C1070" t="s">
        <v>1576</v>
      </c>
      <c r="D1070" t="s">
        <v>1570</v>
      </c>
      <c r="E1070" t="s">
        <v>1577</v>
      </c>
      <c r="F1070" t="s">
        <v>490</v>
      </c>
      <c r="G1070" t="s">
        <v>470</v>
      </c>
      <c r="H1070" t="s">
        <v>540</v>
      </c>
      <c r="I1070">
        <v>72396.13</v>
      </c>
    </row>
    <row r="1071" spans="1:9">
      <c r="A1071" s="90" t="s">
        <v>51</v>
      </c>
      <c r="B1071" s="87">
        <v>45777</v>
      </c>
      <c r="C1071" t="s">
        <v>1578</v>
      </c>
      <c r="D1071" t="s">
        <v>1570</v>
      </c>
      <c r="E1071" t="s">
        <v>1579</v>
      </c>
      <c r="F1071" t="s">
        <v>490</v>
      </c>
      <c r="G1071" t="s">
        <v>470</v>
      </c>
      <c r="H1071" t="s">
        <v>540</v>
      </c>
      <c r="I1071">
        <v>71519.070000000007</v>
      </c>
    </row>
    <row r="1072" spans="1:9">
      <c r="A1072" s="90" t="s">
        <v>51</v>
      </c>
      <c r="B1072" s="87">
        <v>45777</v>
      </c>
      <c r="C1072" t="s">
        <v>1580</v>
      </c>
      <c r="D1072" t="s">
        <v>1570</v>
      </c>
      <c r="E1072" t="s">
        <v>1581</v>
      </c>
      <c r="F1072" t="s">
        <v>490</v>
      </c>
      <c r="G1072" t="s">
        <v>470</v>
      </c>
      <c r="H1072" t="s">
        <v>540</v>
      </c>
      <c r="I1072">
        <v>55681.599999999999</v>
      </c>
    </row>
    <row r="1073" spans="1:9">
      <c r="A1073" s="90" t="s">
        <v>51</v>
      </c>
      <c r="B1073" s="87">
        <v>45777</v>
      </c>
      <c r="C1073" t="s">
        <v>1582</v>
      </c>
      <c r="D1073" t="s">
        <v>1570</v>
      </c>
      <c r="E1073" t="s">
        <v>1583</v>
      </c>
      <c r="F1073" t="s">
        <v>490</v>
      </c>
      <c r="G1073" t="s">
        <v>470</v>
      </c>
      <c r="H1073" t="s">
        <v>540</v>
      </c>
      <c r="I1073">
        <v>62890.53</v>
      </c>
    </row>
    <row r="1074" spans="1:9">
      <c r="A1074" s="90" t="s">
        <v>51</v>
      </c>
      <c r="B1074" s="87">
        <v>45777</v>
      </c>
      <c r="C1074" t="s">
        <v>1584</v>
      </c>
      <c r="D1074" t="s">
        <v>1570</v>
      </c>
      <c r="E1074" t="s">
        <v>1585</v>
      </c>
      <c r="F1074" t="s">
        <v>490</v>
      </c>
      <c r="G1074" t="s">
        <v>470</v>
      </c>
      <c r="H1074" t="s">
        <v>540</v>
      </c>
      <c r="I1074">
        <v>66807.87</v>
      </c>
    </row>
    <row r="1075" spans="1:9">
      <c r="A1075" s="90" t="s">
        <v>51</v>
      </c>
      <c r="B1075" s="87">
        <v>45777</v>
      </c>
      <c r="C1075" t="s">
        <v>1586</v>
      </c>
      <c r="D1075" t="s">
        <v>1570</v>
      </c>
      <c r="E1075" t="s">
        <v>1587</v>
      </c>
      <c r="F1075" t="s">
        <v>490</v>
      </c>
      <c r="G1075" t="s">
        <v>470</v>
      </c>
      <c r="H1075" t="s">
        <v>540</v>
      </c>
      <c r="I1075">
        <v>52469.73</v>
      </c>
    </row>
    <row r="1076" spans="1:9">
      <c r="A1076" s="90" t="s">
        <v>51</v>
      </c>
      <c r="B1076" s="87">
        <v>45777</v>
      </c>
      <c r="C1076" t="s">
        <v>1588</v>
      </c>
      <c r="D1076" t="s">
        <v>1326</v>
      </c>
      <c r="E1076" t="s">
        <v>1589</v>
      </c>
      <c r="F1076" t="s">
        <v>490</v>
      </c>
      <c r="G1076" t="s">
        <v>470</v>
      </c>
      <c r="H1076" t="s">
        <v>540</v>
      </c>
      <c r="I1076">
        <v>76113.33</v>
      </c>
    </row>
    <row r="1077" spans="1:9">
      <c r="A1077" s="90" t="s">
        <v>51</v>
      </c>
      <c r="B1077" s="87">
        <v>45777</v>
      </c>
      <c r="C1077" t="s">
        <v>1590</v>
      </c>
      <c r="D1077" t="s">
        <v>1326</v>
      </c>
      <c r="E1077" t="s">
        <v>1591</v>
      </c>
      <c r="F1077" t="s">
        <v>490</v>
      </c>
      <c r="G1077" t="s">
        <v>470</v>
      </c>
      <c r="H1077" t="s">
        <v>540</v>
      </c>
      <c r="I1077">
        <v>81217.5</v>
      </c>
    </row>
    <row r="1078" spans="1:9">
      <c r="A1078" s="90" t="s">
        <v>51</v>
      </c>
      <c r="B1078" s="87">
        <v>45777</v>
      </c>
      <c r="C1078" t="s">
        <v>1592</v>
      </c>
      <c r="D1078" t="s">
        <v>1326</v>
      </c>
      <c r="E1078" t="s">
        <v>1593</v>
      </c>
      <c r="F1078" t="s">
        <v>490</v>
      </c>
      <c r="G1078" t="s">
        <v>470</v>
      </c>
      <c r="H1078" t="s">
        <v>540</v>
      </c>
      <c r="I1078">
        <v>100041.67</v>
      </c>
    </row>
    <row r="1079" spans="1:9">
      <c r="A1079" s="90" t="s">
        <v>51</v>
      </c>
      <c r="B1079" s="87">
        <v>45777</v>
      </c>
      <c r="C1079" t="s">
        <v>1594</v>
      </c>
      <c r="D1079" t="s">
        <v>1570</v>
      </c>
      <c r="E1079" t="s">
        <v>1595</v>
      </c>
      <c r="F1079" t="s">
        <v>490</v>
      </c>
      <c r="G1079" t="s">
        <v>470</v>
      </c>
      <c r="H1079" t="s">
        <v>540</v>
      </c>
      <c r="I1079">
        <v>403381.33</v>
      </c>
    </row>
    <row r="1080" spans="1:9">
      <c r="A1080" s="90" t="s">
        <v>51</v>
      </c>
      <c r="B1080" s="87">
        <v>45777</v>
      </c>
      <c r="C1080" t="s">
        <v>1596</v>
      </c>
      <c r="D1080" t="s">
        <v>1326</v>
      </c>
      <c r="E1080" t="s">
        <v>1597</v>
      </c>
      <c r="F1080" t="s">
        <v>490</v>
      </c>
      <c r="G1080" t="s">
        <v>470</v>
      </c>
      <c r="H1080" t="s">
        <v>540</v>
      </c>
      <c r="I1080">
        <v>98612.5</v>
      </c>
    </row>
    <row r="1081" spans="1:9">
      <c r="A1081" s="90" t="s">
        <v>51</v>
      </c>
      <c r="B1081" s="87">
        <v>45777</v>
      </c>
      <c r="C1081" t="s">
        <v>1598</v>
      </c>
      <c r="D1081" t="s">
        <v>1326</v>
      </c>
      <c r="E1081" t="s">
        <v>1599</v>
      </c>
      <c r="F1081" t="s">
        <v>490</v>
      </c>
      <c r="G1081" t="s">
        <v>470</v>
      </c>
      <c r="H1081" t="s">
        <v>540</v>
      </c>
      <c r="I1081">
        <v>53981.67</v>
      </c>
    </row>
    <row r="1082" spans="1:9">
      <c r="A1082" s="90" t="s">
        <v>51</v>
      </c>
      <c r="B1082" s="87">
        <v>45777</v>
      </c>
      <c r="C1082" t="s">
        <v>1600</v>
      </c>
      <c r="D1082" t="s">
        <v>1326</v>
      </c>
      <c r="E1082" t="s">
        <v>1601</v>
      </c>
      <c r="F1082" t="s">
        <v>490</v>
      </c>
      <c r="G1082" t="s">
        <v>470</v>
      </c>
      <c r="H1082" t="s">
        <v>540</v>
      </c>
      <c r="I1082">
        <v>100940</v>
      </c>
    </row>
    <row r="1083" spans="1:9">
      <c r="A1083" s="90" t="s">
        <v>51</v>
      </c>
      <c r="B1083" s="87">
        <v>45777</v>
      </c>
      <c r="C1083" t="s">
        <v>1602</v>
      </c>
      <c r="D1083" t="s">
        <v>1326</v>
      </c>
      <c r="E1083" t="s">
        <v>1603</v>
      </c>
      <c r="F1083" t="s">
        <v>490</v>
      </c>
      <c r="G1083" t="s">
        <v>470</v>
      </c>
      <c r="H1083" t="s">
        <v>540</v>
      </c>
      <c r="I1083">
        <v>96325.83</v>
      </c>
    </row>
    <row r="1084" spans="1:9">
      <c r="A1084" s="90" t="s">
        <v>51</v>
      </c>
      <c r="B1084" s="87">
        <v>45777</v>
      </c>
      <c r="C1084" t="s">
        <v>1604</v>
      </c>
      <c r="D1084" t="s">
        <v>1326</v>
      </c>
      <c r="E1084" t="s">
        <v>1605</v>
      </c>
      <c r="F1084" t="s">
        <v>490</v>
      </c>
      <c r="G1084" t="s">
        <v>470</v>
      </c>
      <c r="H1084" t="s">
        <v>540</v>
      </c>
      <c r="I1084">
        <v>95754.17</v>
      </c>
    </row>
    <row r="1085" spans="1:9">
      <c r="A1085" s="90" t="s">
        <v>51</v>
      </c>
      <c r="B1085" s="87">
        <v>45777</v>
      </c>
      <c r="C1085" t="s">
        <v>1606</v>
      </c>
      <c r="D1085" t="s">
        <v>1326</v>
      </c>
      <c r="E1085" t="s">
        <v>1607</v>
      </c>
      <c r="F1085" t="s">
        <v>490</v>
      </c>
      <c r="G1085" t="s">
        <v>470</v>
      </c>
      <c r="H1085" t="s">
        <v>540</v>
      </c>
      <c r="I1085">
        <v>75786.67</v>
      </c>
    </row>
    <row r="1086" spans="1:9">
      <c r="A1086" s="90" t="s">
        <v>51</v>
      </c>
      <c r="B1086" s="87">
        <v>45777</v>
      </c>
      <c r="C1086" t="s">
        <v>1608</v>
      </c>
      <c r="D1086" t="s">
        <v>1326</v>
      </c>
      <c r="E1086" t="s">
        <v>1609</v>
      </c>
      <c r="F1086" t="s">
        <v>490</v>
      </c>
      <c r="G1086" t="s">
        <v>470</v>
      </c>
      <c r="H1086" t="s">
        <v>540</v>
      </c>
      <c r="I1086">
        <v>95713.33</v>
      </c>
    </row>
    <row r="1087" spans="1:9">
      <c r="A1087" s="90" t="s">
        <v>51</v>
      </c>
      <c r="B1087" s="87">
        <v>45777</v>
      </c>
      <c r="C1087" t="s">
        <v>1610</v>
      </c>
      <c r="D1087" t="s">
        <v>1326</v>
      </c>
      <c r="E1087" t="s">
        <v>1611</v>
      </c>
      <c r="F1087" t="s">
        <v>490</v>
      </c>
      <c r="G1087" t="s">
        <v>470</v>
      </c>
      <c r="H1087" t="s">
        <v>540</v>
      </c>
      <c r="I1087">
        <v>79992.5</v>
      </c>
    </row>
    <row r="1088" spans="1:9">
      <c r="A1088" s="90" t="s">
        <v>51</v>
      </c>
      <c r="B1088" s="87">
        <v>45777</v>
      </c>
      <c r="C1088" t="s">
        <v>1612</v>
      </c>
      <c r="D1088" t="s">
        <v>1326</v>
      </c>
      <c r="E1088" t="s">
        <v>1613</v>
      </c>
      <c r="F1088" t="s">
        <v>490</v>
      </c>
      <c r="G1088" t="s">
        <v>470</v>
      </c>
      <c r="H1088" t="s">
        <v>540</v>
      </c>
      <c r="I1088">
        <v>103757.5</v>
      </c>
    </row>
    <row r="1089" spans="1:9">
      <c r="A1089" s="90" t="s">
        <v>51</v>
      </c>
      <c r="B1089" s="87">
        <v>45777</v>
      </c>
      <c r="C1089" t="s">
        <v>1614</v>
      </c>
      <c r="D1089" t="s">
        <v>1326</v>
      </c>
      <c r="E1089" t="s">
        <v>1615</v>
      </c>
      <c r="F1089" t="s">
        <v>490</v>
      </c>
      <c r="G1089" t="s">
        <v>470</v>
      </c>
      <c r="H1089" t="s">
        <v>540</v>
      </c>
      <c r="I1089">
        <v>101838.33</v>
      </c>
    </row>
    <row r="1090" spans="1:9">
      <c r="A1090" s="90" t="s">
        <v>51</v>
      </c>
      <c r="B1090" s="87">
        <v>45777</v>
      </c>
      <c r="C1090" t="s">
        <v>1616</v>
      </c>
      <c r="D1090" t="s">
        <v>1326</v>
      </c>
      <c r="E1090" t="s">
        <v>1617</v>
      </c>
      <c r="F1090" t="s">
        <v>490</v>
      </c>
      <c r="G1090" t="s">
        <v>470</v>
      </c>
      <c r="H1090" t="s">
        <v>540</v>
      </c>
      <c r="I1090">
        <v>81993.33</v>
      </c>
    </row>
    <row r="1091" spans="1:9">
      <c r="A1091" s="90" t="s">
        <v>51</v>
      </c>
      <c r="B1091" s="87">
        <v>45777</v>
      </c>
      <c r="C1091" t="s">
        <v>1618</v>
      </c>
      <c r="D1091" t="s">
        <v>1326</v>
      </c>
      <c r="E1091" t="s">
        <v>1619</v>
      </c>
      <c r="F1091" t="s">
        <v>490</v>
      </c>
      <c r="G1091" t="s">
        <v>470</v>
      </c>
      <c r="H1091" t="s">
        <v>540</v>
      </c>
      <c r="I1091">
        <v>80686.67</v>
      </c>
    </row>
    <row r="1092" spans="1:9">
      <c r="A1092" s="90" t="s">
        <v>51</v>
      </c>
      <c r="B1092" s="87">
        <v>45777</v>
      </c>
      <c r="C1092" t="s">
        <v>1620</v>
      </c>
      <c r="D1092" t="s">
        <v>1326</v>
      </c>
      <c r="E1092" t="s">
        <v>1621</v>
      </c>
      <c r="F1092" t="s">
        <v>490</v>
      </c>
      <c r="G1092" t="s">
        <v>470</v>
      </c>
      <c r="H1092" t="s">
        <v>540</v>
      </c>
      <c r="I1092">
        <v>73050.83</v>
      </c>
    </row>
    <row r="1093" spans="1:9">
      <c r="A1093" s="90" t="s">
        <v>51</v>
      </c>
      <c r="B1093" s="87">
        <v>45777</v>
      </c>
      <c r="C1093" t="s">
        <v>1622</v>
      </c>
      <c r="D1093" t="s">
        <v>1326</v>
      </c>
      <c r="E1093" t="s">
        <v>1623</v>
      </c>
      <c r="F1093" t="s">
        <v>490</v>
      </c>
      <c r="G1093" t="s">
        <v>470</v>
      </c>
      <c r="H1093" t="s">
        <v>540</v>
      </c>
      <c r="I1093">
        <v>96121.67</v>
      </c>
    </row>
    <row r="1094" spans="1:9">
      <c r="A1094" s="90" t="s">
        <v>51</v>
      </c>
      <c r="B1094" s="87">
        <v>45777</v>
      </c>
      <c r="C1094" t="s">
        <v>1624</v>
      </c>
      <c r="D1094" t="s">
        <v>1326</v>
      </c>
      <c r="E1094" t="s">
        <v>1625</v>
      </c>
      <c r="F1094" t="s">
        <v>490</v>
      </c>
      <c r="G1094" t="s">
        <v>470</v>
      </c>
      <c r="H1094" t="s">
        <v>540</v>
      </c>
      <c r="I1094">
        <v>81217.5</v>
      </c>
    </row>
    <row r="1095" spans="1:9">
      <c r="A1095" s="90" t="s">
        <v>51</v>
      </c>
      <c r="B1095" s="87">
        <v>45777</v>
      </c>
      <c r="C1095" t="s">
        <v>1626</v>
      </c>
      <c r="D1095" t="s">
        <v>1326</v>
      </c>
      <c r="E1095" t="s">
        <v>1627</v>
      </c>
      <c r="F1095" t="s">
        <v>490</v>
      </c>
      <c r="G1095" t="s">
        <v>470</v>
      </c>
      <c r="H1095" t="s">
        <v>540</v>
      </c>
      <c r="I1095">
        <v>96979.17</v>
      </c>
    </row>
    <row r="1096" spans="1:9">
      <c r="A1096" s="90" t="s">
        <v>51</v>
      </c>
      <c r="B1096" s="87">
        <v>45777</v>
      </c>
      <c r="C1096" t="s">
        <v>1628</v>
      </c>
      <c r="D1096" t="s">
        <v>1326</v>
      </c>
      <c r="E1096" t="s">
        <v>1629</v>
      </c>
      <c r="F1096" t="s">
        <v>490</v>
      </c>
      <c r="G1096" t="s">
        <v>470</v>
      </c>
      <c r="H1096" t="s">
        <v>540</v>
      </c>
      <c r="I1096">
        <v>87914.17</v>
      </c>
    </row>
    <row r="1097" spans="1:9">
      <c r="A1097" s="90" t="s">
        <v>51</v>
      </c>
      <c r="B1097" s="87">
        <v>45777</v>
      </c>
      <c r="C1097" t="s">
        <v>1630</v>
      </c>
      <c r="D1097" t="s">
        <v>1326</v>
      </c>
      <c r="E1097" t="s">
        <v>1631</v>
      </c>
      <c r="F1097" t="s">
        <v>490</v>
      </c>
      <c r="G1097" t="s">
        <v>470</v>
      </c>
      <c r="H1097" t="s">
        <v>540</v>
      </c>
      <c r="I1097">
        <v>101797.5</v>
      </c>
    </row>
    <row r="1098" spans="1:9">
      <c r="A1098" s="90" t="s">
        <v>51</v>
      </c>
      <c r="B1098" s="87">
        <v>45777</v>
      </c>
      <c r="C1098" t="s">
        <v>1632</v>
      </c>
      <c r="D1098" t="s">
        <v>1326</v>
      </c>
      <c r="E1098" t="s">
        <v>1633</v>
      </c>
      <c r="F1098" t="s">
        <v>490</v>
      </c>
      <c r="G1098" t="s">
        <v>470</v>
      </c>
      <c r="H1098" t="s">
        <v>540</v>
      </c>
      <c r="I1098">
        <v>98530.83</v>
      </c>
    </row>
    <row r="1099" spans="1:9">
      <c r="A1099" s="90" t="s">
        <v>51</v>
      </c>
      <c r="B1099" s="87">
        <v>45777</v>
      </c>
      <c r="C1099" t="s">
        <v>1634</v>
      </c>
      <c r="D1099" t="s">
        <v>1326</v>
      </c>
      <c r="E1099" t="s">
        <v>1635</v>
      </c>
      <c r="F1099" t="s">
        <v>490</v>
      </c>
      <c r="G1099" t="s">
        <v>470</v>
      </c>
      <c r="H1099" t="s">
        <v>540</v>
      </c>
      <c r="I1099">
        <v>80809.17</v>
      </c>
    </row>
    <row r="1100" spans="1:9">
      <c r="A1100" s="90" t="s">
        <v>51</v>
      </c>
      <c r="B1100" s="87">
        <v>45777</v>
      </c>
      <c r="C1100" t="s">
        <v>1636</v>
      </c>
      <c r="D1100" t="s">
        <v>1326</v>
      </c>
      <c r="E1100" t="s">
        <v>1637</v>
      </c>
      <c r="F1100" t="s">
        <v>490</v>
      </c>
      <c r="G1100" t="s">
        <v>470</v>
      </c>
      <c r="H1100" t="s">
        <v>540</v>
      </c>
      <c r="I1100">
        <v>75296.67</v>
      </c>
    </row>
    <row r="1101" spans="1:9">
      <c r="A1101" s="90" t="s">
        <v>51</v>
      </c>
      <c r="B1101" s="87">
        <v>45777</v>
      </c>
      <c r="C1101" t="s">
        <v>1638</v>
      </c>
      <c r="D1101" t="s">
        <v>1570</v>
      </c>
      <c r="E1101" t="s">
        <v>1639</v>
      </c>
      <c r="F1101" t="s">
        <v>490</v>
      </c>
      <c r="G1101" t="s">
        <v>470</v>
      </c>
      <c r="H1101" t="s">
        <v>540</v>
      </c>
      <c r="I1101">
        <v>22840.13</v>
      </c>
    </row>
    <row r="1102" spans="1:9">
      <c r="A1102" s="90" t="s">
        <v>51</v>
      </c>
      <c r="B1102" s="87">
        <v>45777</v>
      </c>
      <c r="C1102" t="s">
        <v>1640</v>
      </c>
      <c r="D1102" t="s">
        <v>1570</v>
      </c>
      <c r="E1102" t="s">
        <v>1641</v>
      </c>
      <c r="F1102" t="s">
        <v>490</v>
      </c>
      <c r="G1102" t="s">
        <v>470</v>
      </c>
      <c r="H1102" t="s">
        <v>540</v>
      </c>
      <c r="I1102">
        <v>37992.93</v>
      </c>
    </row>
    <row r="1103" spans="1:9">
      <c r="A1103" s="90" t="s">
        <v>51</v>
      </c>
      <c r="B1103" s="87">
        <v>45777</v>
      </c>
      <c r="C1103" t="s">
        <v>1642</v>
      </c>
      <c r="D1103" t="s">
        <v>1326</v>
      </c>
      <c r="E1103" t="s">
        <v>1643</v>
      </c>
      <c r="F1103" t="s">
        <v>490</v>
      </c>
      <c r="G1103" t="s">
        <v>470</v>
      </c>
      <c r="H1103" t="s">
        <v>540</v>
      </c>
      <c r="I1103">
        <v>2470.42</v>
      </c>
    </row>
    <row r="1104" spans="1:9">
      <c r="A1104" s="90" t="s">
        <v>51</v>
      </c>
      <c r="B1104" s="87">
        <v>45777</v>
      </c>
      <c r="C1104" t="s">
        <v>1644</v>
      </c>
      <c r="D1104" t="s">
        <v>1326</v>
      </c>
      <c r="E1104" t="s">
        <v>1645</v>
      </c>
      <c r="F1104" t="s">
        <v>490</v>
      </c>
      <c r="G1104" t="s">
        <v>470</v>
      </c>
      <c r="H1104" t="s">
        <v>540</v>
      </c>
      <c r="I1104">
        <v>97142.5</v>
      </c>
    </row>
    <row r="1105" spans="1:9">
      <c r="A1105" s="90" t="s">
        <v>51</v>
      </c>
      <c r="B1105" s="87">
        <v>45777</v>
      </c>
      <c r="C1105" t="s">
        <v>1646</v>
      </c>
      <c r="D1105" t="s">
        <v>1326</v>
      </c>
      <c r="E1105" t="s">
        <v>1647</v>
      </c>
      <c r="F1105" t="s">
        <v>490</v>
      </c>
      <c r="G1105" t="s">
        <v>470</v>
      </c>
      <c r="H1105" t="s">
        <v>540</v>
      </c>
      <c r="I1105">
        <v>100082.5</v>
      </c>
    </row>
    <row r="1106" spans="1:9">
      <c r="A1106" s="90" t="s">
        <v>51</v>
      </c>
      <c r="B1106" s="87">
        <v>45777</v>
      </c>
      <c r="C1106" t="s">
        <v>1648</v>
      </c>
      <c r="D1106" t="s">
        <v>1326</v>
      </c>
      <c r="E1106" t="s">
        <v>1649</v>
      </c>
      <c r="F1106" t="s">
        <v>490</v>
      </c>
      <c r="G1106" t="s">
        <v>470</v>
      </c>
      <c r="H1106" t="s">
        <v>540</v>
      </c>
      <c r="I1106">
        <v>96285</v>
      </c>
    </row>
    <row r="1107" spans="1:9">
      <c r="A1107" s="90" t="s">
        <v>51</v>
      </c>
      <c r="B1107" s="87">
        <v>45777</v>
      </c>
      <c r="C1107" t="s">
        <v>1650</v>
      </c>
      <c r="D1107" t="s">
        <v>1326</v>
      </c>
      <c r="E1107" t="s">
        <v>1651</v>
      </c>
      <c r="F1107" t="s">
        <v>490</v>
      </c>
      <c r="G1107" t="s">
        <v>470</v>
      </c>
      <c r="H1107" t="s">
        <v>540</v>
      </c>
      <c r="I1107">
        <v>99878.33</v>
      </c>
    </row>
    <row r="1108" spans="1:9">
      <c r="A1108" s="90" t="s">
        <v>51</v>
      </c>
      <c r="B1108" s="87">
        <v>45777</v>
      </c>
      <c r="C1108" t="s">
        <v>1652</v>
      </c>
      <c r="D1108" t="s">
        <v>1326</v>
      </c>
      <c r="E1108" t="s">
        <v>1653</v>
      </c>
      <c r="F1108" t="s">
        <v>490</v>
      </c>
      <c r="G1108" t="s">
        <v>470</v>
      </c>
      <c r="H1108" t="s">
        <v>540</v>
      </c>
      <c r="I1108">
        <v>102655</v>
      </c>
    </row>
    <row r="1109" spans="1:9">
      <c r="A1109" s="90" t="s">
        <v>51</v>
      </c>
      <c r="B1109" s="87">
        <v>45777</v>
      </c>
      <c r="C1109" t="s">
        <v>1654</v>
      </c>
      <c r="D1109" t="s">
        <v>1326</v>
      </c>
      <c r="E1109" t="s">
        <v>1655</v>
      </c>
      <c r="F1109" t="s">
        <v>490</v>
      </c>
      <c r="G1109" t="s">
        <v>470</v>
      </c>
      <c r="H1109" t="s">
        <v>540</v>
      </c>
      <c r="I1109">
        <v>96121.67</v>
      </c>
    </row>
    <row r="1110" spans="1:9">
      <c r="A1110" s="90" t="s">
        <v>51</v>
      </c>
      <c r="B1110" s="87">
        <v>45777</v>
      </c>
      <c r="C1110" t="s">
        <v>1656</v>
      </c>
      <c r="D1110" t="s">
        <v>1326</v>
      </c>
      <c r="E1110" t="s">
        <v>1657</v>
      </c>
      <c r="F1110" t="s">
        <v>490</v>
      </c>
      <c r="G1110" t="s">
        <v>470</v>
      </c>
      <c r="H1110" t="s">
        <v>540</v>
      </c>
      <c r="I1110">
        <v>73581.67</v>
      </c>
    </row>
    <row r="1111" spans="1:9">
      <c r="A1111" s="90" t="s">
        <v>51</v>
      </c>
      <c r="B1111" s="87">
        <v>45777</v>
      </c>
      <c r="C1111" t="s">
        <v>1658</v>
      </c>
      <c r="D1111" t="s">
        <v>1326</v>
      </c>
      <c r="E1111" t="s">
        <v>1659</v>
      </c>
      <c r="F1111" t="s">
        <v>490</v>
      </c>
      <c r="G1111" t="s">
        <v>470</v>
      </c>
      <c r="H1111" t="s">
        <v>540</v>
      </c>
      <c r="I1111">
        <v>96979.17</v>
      </c>
    </row>
    <row r="1112" spans="1:9">
      <c r="A1112" s="90" t="s">
        <v>51</v>
      </c>
      <c r="B1112" s="87">
        <v>45777</v>
      </c>
      <c r="C1112" t="s">
        <v>1660</v>
      </c>
      <c r="D1112" t="s">
        <v>1326</v>
      </c>
      <c r="E1112" t="s">
        <v>1661</v>
      </c>
      <c r="F1112" t="s">
        <v>490</v>
      </c>
      <c r="G1112" t="s">
        <v>470</v>
      </c>
      <c r="H1112" t="s">
        <v>540</v>
      </c>
      <c r="I1112">
        <v>95754.17</v>
      </c>
    </row>
    <row r="1113" spans="1:9">
      <c r="A1113" s="90" t="s">
        <v>51</v>
      </c>
      <c r="B1113" s="87">
        <v>45777</v>
      </c>
      <c r="C1113" t="s">
        <v>1662</v>
      </c>
      <c r="D1113" t="s">
        <v>1326</v>
      </c>
      <c r="E1113" t="s">
        <v>1663</v>
      </c>
      <c r="F1113" t="s">
        <v>490</v>
      </c>
      <c r="G1113" t="s">
        <v>470</v>
      </c>
      <c r="H1113" t="s">
        <v>540</v>
      </c>
      <c r="I1113">
        <v>101634.17</v>
      </c>
    </row>
    <row r="1114" spans="1:9">
      <c r="A1114" s="90" t="s">
        <v>51</v>
      </c>
      <c r="B1114" s="87">
        <v>45777</v>
      </c>
      <c r="C1114" t="s">
        <v>1664</v>
      </c>
      <c r="D1114" t="s">
        <v>1326</v>
      </c>
      <c r="E1114" t="s">
        <v>1665</v>
      </c>
      <c r="F1114" t="s">
        <v>490</v>
      </c>
      <c r="G1114" t="s">
        <v>470</v>
      </c>
      <c r="H1114" t="s">
        <v>540</v>
      </c>
      <c r="I1114">
        <v>102246.67</v>
      </c>
    </row>
    <row r="1115" spans="1:9">
      <c r="A1115" s="90" t="s">
        <v>51</v>
      </c>
      <c r="B1115" s="87">
        <v>45777</v>
      </c>
      <c r="C1115" t="s">
        <v>1666</v>
      </c>
      <c r="D1115" t="s">
        <v>1667</v>
      </c>
      <c r="E1115" t="s">
        <v>569</v>
      </c>
      <c r="F1115" t="s">
        <v>474</v>
      </c>
      <c r="G1115" t="s">
        <v>470</v>
      </c>
      <c r="H1115" t="s">
        <v>475</v>
      </c>
      <c r="I1115">
        <v>400000</v>
      </c>
    </row>
    <row r="1116" spans="1:9">
      <c r="A1116" s="90" t="s">
        <v>51</v>
      </c>
      <c r="B1116" s="87">
        <v>45777</v>
      </c>
      <c r="C1116" t="s">
        <v>1668</v>
      </c>
      <c r="D1116" t="s">
        <v>1667</v>
      </c>
      <c r="E1116" t="s">
        <v>569</v>
      </c>
      <c r="F1116" t="s">
        <v>474</v>
      </c>
      <c r="G1116" t="s">
        <v>470</v>
      </c>
      <c r="H1116" t="s">
        <v>475</v>
      </c>
      <c r="I1116">
        <v>300000</v>
      </c>
    </row>
    <row r="1117" spans="1:9">
      <c r="A1117" s="90" t="s">
        <v>51</v>
      </c>
      <c r="B1117" s="87">
        <v>45777</v>
      </c>
      <c r="C1117" t="s">
        <v>1669</v>
      </c>
      <c r="D1117" t="s">
        <v>546</v>
      </c>
      <c r="E1117" t="s">
        <v>1670</v>
      </c>
      <c r="F1117" t="s">
        <v>490</v>
      </c>
      <c r="G1117" t="s">
        <v>470</v>
      </c>
      <c r="H1117" t="s">
        <v>540</v>
      </c>
      <c r="I1117">
        <v>74021.16</v>
      </c>
    </row>
    <row r="1118" spans="1:9">
      <c r="A1118" s="90" t="s">
        <v>51</v>
      </c>
      <c r="B1118" s="87">
        <v>45777</v>
      </c>
      <c r="C1118" t="s">
        <v>1671</v>
      </c>
      <c r="D1118" t="s">
        <v>546</v>
      </c>
      <c r="E1118" t="s">
        <v>1672</v>
      </c>
      <c r="F1118" t="s">
        <v>490</v>
      </c>
      <c r="G1118" t="s">
        <v>470</v>
      </c>
      <c r="H1118" t="s">
        <v>540</v>
      </c>
      <c r="I1118">
        <v>77145.2</v>
      </c>
    </row>
    <row r="1119" spans="1:9">
      <c r="A1119" s="90" t="s">
        <v>51</v>
      </c>
      <c r="B1119" s="87">
        <v>45777</v>
      </c>
      <c r="C1119" t="s">
        <v>1673</v>
      </c>
      <c r="D1119" t="s">
        <v>546</v>
      </c>
      <c r="E1119" t="s">
        <v>1674</v>
      </c>
      <c r="F1119" t="s">
        <v>490</v>
      </c>
      <c r="G1119" t="s">
        <v>470</v>
      </c>
      <c r="H1119" t="s">
        <v>540</v>
      </c>
      <c r="I1119">
        <v>91502.41</v>
      </c>
    </row>
    <row r="1120" spans="1:9">
      <c r="A1120" s="90" t="s">
        <v>51</v>
      </c>
      <c r="B1120" s="87">
        <v>45777</v>
      </c>
      <c r="C1120" t="s">
        <v>1675</v>
      </c>
      <c r="D1120" t="s">
        <v>546</v>
      </c>
      <c r="E1120" t="s">
        <v>1676</v>
      </c>
      <c r="F1120" t="s">
        <v>490</v>
      </c>
      <c r="G1120" t="s">
        <v>470</v>
      </c>
      <c r="H1120" t="s">
        <v>540</v>
      </c>
      <c r="I1120">
        <v>42675.8</v>
      </c>
    </row>
    <row r="1121" spans="1:9">
      <c r="A1121" s="90" t="s">
        <v>51</v>
      </c>
      <c r="B1121" s="87">
        <v>45777</v>
      </c>
      <c r="C1121" t="s">
        <v>1677</v>
      </c>
      <c r="D1121" t="s">
        <v>546</v>
      </c>
      <c r="E1121" t="s">
        <v>1678</v>
      </c>
      <c r="F1121" t="s">
        <v>490</v>
      </c>
      <c r="G1121" t="s">
        <v>470</v>
      </c>
      <c r="H1121" t="s">
        <v>540</v>
      </c>
      <c r="I1121">
        <v>79331.48</v>
      </c>
    </row>
    <row r="1122" spans="1:9">
      <c r="A1122" s="90" t="s">
        <v>51</v>
      </c>
      <c r="B1122" s="87">
        <v>45777</v>
      </c>
      <c r="C1122" t="s">
        <v>1679</v>
      </c>
      <c r="D1122" t="s">
        <v>546</v>
      </c>
      <c r="E1122" t="s">
        <v>1680</v>
      </c>
      <c r="F1122" t="s">
        <v>490</v>
      </c>
      <c r="G1122" t="s">
        <v>470</v>
      </c>
      <c r="H1122" t="s">
        <v>540</v>
      </c>
      <c r="I1122">
        <v>90488.77</v>
      </c>
    </row>
    <row r="1123" spans="1:9">
      <c r="A1123" s="90" t="s">
        <v>51</v>
      </c>
      <c r="B1123" s="87">
        <v>45777</v>
      </c>
      <c r="C1123" t="s">
        <v>1681</v>
      </c>
      <c r="D1123" t="s">
        <v>546</v>
      </c>
      <c r="E1123" t="s">
        <v>1682</v>
      </c>
      <c r="F1123" t="s">
        <v>490</v>
      </c>
      <c r="G1123" t="s">
        <v>470</v>
      </c>
      <c r="H1123" t="s">
        <v>540</v>
      </c>
      <c r="I1123">
        <v>71919.789999999994</v>
      </c>
    </row>
    <row r="1124" spans="1:9">
      <c r="A1124" s="90" t="s">
        <v>51</v>
      </c>
      <c r="B1124" s="87">
        <v>45777</v>
      </c>
      <c r="C1124" t="s">
        <v>1683</v>
      </c>
      <c r="D1124" t="s">
        <v>512</v>
      </c>
      <c r="E1124" t="s">
        <v>569</v>
      </c>
      <c r="F1124" t="s">
        <v>474</v>
      </c>
      <c r="G1124" t="s">
        <v>470</v>
      </c>
      <c r="H1124" t="s">
        <v>475</v>
      </c>
      <c r="I1124">
        <v>1260357.92</v>
      </c>
    </row>
    <row r="1125" spans="1:9">
      <c r="A1125" s="90" t="s">
        <v>51</v>
      </c>
      <c r="B1125" s="87">
        <v>45777</v>
      </c>
      <c r="C1125" t="s">
        <v>1684</v>
      </c>
      <c r="D1125" t="s">
        <v>477</v>
      </c>
      <c r="E1125" t="s">
        <v>1685</v>
      </c>
      <c r="F1125" t="s">
        <v>525</v>
      </c>
      <c r="G1125" t="s">
        <v>470</v>
      </c>
      <c r="H1125" t="s">
        <v>516</v>
      </c>
      <c r="I1125">
        <v>21793.919999999998</v>
      </c>
    </row>
    <row r="1126" spans="1:9">
      <c r="A1126" s="90" t="s">
        <v>51</v>
      </c>
      <c r="B1126" s="87">
        <v>45777</v>
      </c>
      <c r="C1126" t="s">
        <v>1686</v>
      </c>
      <c r="D1126" t="s">
        <v>477</v>
      </c>
      <c r="E1126" t="s">
        <v>1687</v>
      </c>
      <c r="F1126" t="s">
        <v>525</v>
      </c>
      <c r="G1126" t="s">
        <v>470</v>
      </c>
      <c r="H1126" t="s">
        <v>516</v>
      </c>
      <c r="I1126">
        <v>34108.300000000003</v>
      </c>
    </row>
    <row r="1127" spans="1:9">
      <c r="A1127" s="90" t="s">
        <v>51</v>
      </c>
      <c r="B1127" s="87">
        <v>45777</v>
      </c>
      <c r="C1127" t="s">
        <v>1688</v>
      </c>
      <c r="D1127" t="s">
        <v>512</v>
      </c>
      <c r="E1127" t="s">
        <v>569</v>
      </c>
      <c r="F1127" t="s">
        <v>474</v>
      </c>
      <c r="G1127" t="s">
        <v>470</v>
      </c>
      <c r="H1127" t="s">
        <v>475</v>
      </c>
      <c r="I1127">
        <v>1500000</v>
      </c>
    </row>
    <row r="1128" spans="1:9">
      <c r="A1128" s="90" t="s">
        <v>51</v>
      </c>
      <c r="B1128" s="87">
        <v>45777</v>
      </c>
      <c r="C1128" t="s">
        <v>517</v>
      </c>
      <c r="D1128" t="s">
        <v>512</v>
      </c>
      <c r="E1128" t="s">
        <v>569</v>
      </c>
      <c r="F1128" t="s">
        <v>474</v>
      </c>
      <c r="G1128" t="s">
        <v>470</v>
      </c>
      <c r="H1128" t="s">
        <v>475</v>
      </c>
      <c r="I1128">
        <v>1024260.51</v>
      </c>
    </row>
    <row r="1129" spans="1:9">
      <c r="A1129" s="90" t="s">
        <v>51</v>
      </c>
      <c r="B1129" s="87">
        <v>45777</v>
      </c>
      <c r="C1129" t="s">
        <v>1689</v>
      </c>
      <c r="D1129" t="s">
        <v>1326</v>
      </c>
      <c r="E1129" t="s">
        <v>1690</v>
      </c>
      <c r="F1129" t="s">
        <v>490</v>
      </c>
      <c r="G1129" t="s">
        <v>470</v>
      </c>
      <c r="H1129" t="s">
        <v>540</v>
      </c>
      <c r="I1129">
        <v>81054.17</v>
      </c>
    </row>
    <row r="1130" spans="1:9">
      <c r="A1130" s="90" t="s">
        <v>51</v>
      </c>
      <c r="B1130" s="87">
        <v>45777</v>
      </c>
      <c r="C1130" t="s">
        <v>524</v>
      </c>
      <c r="D1130" t="s">
        <v>477</v>
      </c>
      <c r="E1130" t="s">
        <v>569</v>
      </c>
      <c r="F1130" t="s">
        <v>525</v>
      </c>
      <c r="G1130" t="s">
        <v>470</v>
      </c>
      <c r="H1130" t="s">
        <v>516</v>
      </c>
      <c r="I1130">
        <v>679.37</v>
      </c>
    </row>
    <row r="1131" spans="1:9">
      <c r="A1131" s="90" t="s">
        <v>51</v>
      </c>
      <c r="B1131" s="87">
        <v>45777</v>
      </c>
      <c r="C1131" t="s">
        <v>524</v>
      </c>
      <c r="D1131" t="s">
        <v>477</v>
      </c>
      <c r="E1131" t="s">
        <v>569</v>
      </c>
      <c r="F1131" t="s">
        <v>525</v>
      </c>
      <c r="G1131" t="s">
        <v>470</v>
      </c>
      <c r="H1131" t="s">
        <v>516</v>
      </c>
      <c r="I1131">
        <v>2207.36</v>
      </c>
    </row>
    <row r="1132" spans="1:9">
      <c r="A1132" s="90" t="s">
        <v>51</v>
      </c>
      <c r="B1132" s="87">
        <v>45777</v>
      </c>
      <c r="C1132" t="s">
        <v>526</v>
      </c>
      <c r="D1132" t="s">
        <v>512</v>
      </c>
      <c r="E1132" t="s">
        <v>1691</v>
      </c>
      <c r="F1132" t="s">
        <v>474</v>
      </c>
      <c r="G1132" t="s">
        <v>470</v>
      </c>
      <c r="H1132" t="s">
        <v>475</v>
      </c>
      <c r="I1132">
        <v>0.01</v>
      </c>
    </row>
    <row r="1133" spans="1:9">
      <c r="A1133" s="90" t="s">
        <v>51</v>
      </c>
      <c r="B1133" s="87">
        <v>45777</v>
      </c>
      <c r="C1133" t="s">
        <v>1692</v>
      </c>
      <c r="D1133" t="s">
        <v>1693</v>
      </c>
      <c r="E1133" t="s">
        <v>569</v>
      </c>
      <c r="F1133" t="s">
        <v>469</v>
      </c>
      <c r="G1133" t="s">
        <v>470</v>
      </c>
      <c r="H1133" t="s">
        <v>475</v>
      </c>
      <c r="I1133">
        <v>99288.59</v>
      </c>
    </row>
    <row r="1134" spans="1:9">
      <c r="A1134" s="90" t="s">
        <v>51</v>
      </c>
      <c r="B1134" s="87">
        <v>45779</v>
      </c>
      <c r="C1134" t="s">
        <v>511</v>
      </c>
      <c r="D1134" t="s">
        <v>512</v>
      </c>
      <c r="E1134" t="s">
        <v>706</v>
      </c>
      <c r="F1134" t="s">
        <v>474</v>
      </c>
      <c r="G1134" t="s">
        <v>470</v>
      </c>
      <c r="H1134" t="s">
        <v>475</v>
      </c>
      <c r="I1134">
        <v>2146397.69</v>
      </c>
    </row>
    <row r="1135" spans="1:9">
      <c r="A1135" s="90" t="s">
        <v>51</v>
      </c>
      <c r="B1135" s="87">
        <v>45779</v>
      </c>
      <c r="C1135" t="s">
        <v>511</v>
      </c>
      <c r="D1135" t="s">
        <v>512</v>
      </c>
      <c r="E1135" t="s">
        <v>706</v>
      </c>
      <c r="F1135" t="s">
        <v>474</v>
      </c>
      <c r="G1135" t="s">
        <v>470</v>
      </c>
      <c r="H1135" t="s">
        <v>475</v>
      </c>
      <c r="I1135">
        <v>57297.58</v>
      </c>
    </row>
    <row r="1136" spans="1:9">
      <c r="A1136" s="90" t="s">
        <v>51</v>
      </c>
      <c r="B1136" s="87">
        <v>45782</v>
      </c>
      <c r="C1136" t="s">
        <v>1694</v>
      </c>
      <c r="D1136" t="s">
        <v>1140</v>
      </c>
      <c r="E1136" t="s">
        <v>1527</v>
      </c>
      <c r="F1136" t="s">
        <v>490</v>
      </c>
      <c r="G1136" t="s">
        <v>470</v>
      </c>
      <c r="H1136" t="s">
        <v>801</v>
      </c>
      <c r="I1136">
        <v>2949.37</v>
      </c>
    </row>
    <row r="1137" spans="1:9">
      <c r="A1137" s="90" t="s">
        <v>51</v>
      </c>
      <c r="B1137" s="87">
        <v>45782</v>
      </c>
      <c r="C1137" t="s">
        <v>511</v>
      </c>
      <c r="D1137" t="s">
        <v>512</v>
      </c>
      <c r="E1137" t="s">
        <v>706</v>
      </c>
      <c r="F1137" t="s">
        <v>474</v>
      </c>
      <c r="G1137" t="s">
        <v>470</v>
      </c>
      <c r="H1137" t="s">
        <v>475</v>
      </c>
      <c r="I1137">
        <v>39430.76</v>
      </c>
    </row>
    <row r="1138" spans="1:9">
      <c r="A1138" s="90" t="s">
        <v>51</v>
      </c>
      <c r="B1138" s="87">
        <v>45783</v>
      </c>
      <c r="C1138" t="s">
        <v>1572</v>
      </c>
      <c r="D1138" t="s">
        <v>1570</v>
      </c>
      <c r="E1138" t="s">
        <v>1573</v>
      </c>
      <c r="F1138" t="s">
        <v>490</v>
      </c>
      <c r="G1138" t="s">
        <v>470</v>
      </c>
      <c r="H1138" t="s">
        <v>540</v>
      </c>
      <c r="I1138">
        <v>12791.39</v>
      </c>
    </row>
    <row r="1139" spans="1:9">
      <c r="A1139" s="90" t="s">
        <v>51</v>
      </c>
      <c r="B1139" s="87">
        <v>45783</v>
      </c>
      <c r="C1139" t="s">
        <v>1572</v>
      </c>
      <c r="D1139" t="s">
        <v>1570</v>
      </c>
      <c r="E1139" t="s">
        <v>1573</v>
      </c>
      <c r="F1139" t="s">
        <v>490</v>
      </c>
      <c r="G1139" t="s">
        <v>470</v>
      </c>
      <c r="H1139" t="s">
        <v>540</v>
      </c>
      <c r="I1139">
        <v>0.02</v>
      </c>
    </row>
    <row r="1140" spans="1:9">
      <c r="A1140" s="90" t="s">
        <v>51</v>
      </c>
      <c r="B1140" s="87">
        <v>45783</v>
      </c>
      <c r="C1140" t="s">
        <v>511</v>
      </c>
      <c r="D1140" t="s">
        <v>512</v>
      </c>
      <c r="E1140" t="s">
        <v>706</v>
      </c>
      <c r="F1140" t="s">
        <v>474</v>
      </c>
      <c r="G1140" t="s">
        <v>470</v>
      </c>
      <c r="H1140" t="s">
        <v>475</v>
      </c>
      <c r="I1140">
        <v>256330.1</v>
      </c>
    </row>
    <row r="1141" spans="1:9">
      <c r="A1141" s="90" t="s">
        <v>51</v>
      </c>
      <c r="B1141" s="87">
        <v>45784</v>
      </c>
      <c r="C1141" t="s">
        <v>1695</v>
      </c>
      <c r="D1141" t="s">
        <v>1693</v>
      </c>
      <c r="E1141" t="s">
        <v>1696</v>
      </c>
      <c r="F1141" t="s">
        <v>490</v>
      </c>
      <c r="G1141" t="s">
        <v>470</v>
      </c>
      <c r="H1141" t="s">
        <v>540</v>
      </c>
      <c r="I1141">
        <v>1686424.41</v>
      </c>
    </row>
    <row r="1142" spans="1:9">
      <c r="A1142" s="90" t="s">
        <v>51</v>
      </c>
      <c r="B1142" s="87">
        <v>45784</v>
      </c>
      <c r="C1142" t="s">
        <v>1697</v>
      </c>
      <c r="D1142" t="s">
        <v>1693</v>
      </c>
      <c r="E1142" t="s">
        <v>1698</v>
      </c>
      <c r="F1142" t="s">
        <v>490</v>
      </c>
      <c r="G1142" t="s">
        <v>470</v>
      </c>
      <c r="H1142" t="s">
        <v>540</v>
      </c>
      <c r="I1142">
        <v>119591.21</v>
      </c>
    </row>
    <row r="1143" spans="1:9">
      <c r="A1143" s="90" t="s">
        <v>51</v>
      </c>
      <c r="B1143" s="87">
        <v>45784</v>
      </c>
      <c r="C1143" t="s">
        <v>1699</v>
      </c>
      <c r="D1143" t="s">
        <v>1693</v>
      </c>
      <c r="E1143" t="s">
        <v>1700</v>
      </c>
      <c r="F1143" t="s">
        <v>490</v>
      </c>
      <c r="G1143" t="s">
        <v>470</v>
      </c>
      <c r="H1143" t="s">
        <v>540</v>
      </c>
      <c r="I1143">
        <v>347164.39</v>
      </c>
    </row>
    <row r="1144" spans="1:9">
      <c r="A1144" s="90" t="s">
        <v>51</v>
      </c>
      <c r="B1144" s="87">
        <v>45784</v>
      </c>
      <c r="C1144" t="s">
        <v>1699</v>
      </c>
      <c r="D1144" t="s">
        <v>1693</v>
      </c>
      <c r="E1144" t="s">
        <v>1700</v>
      </c>
      <c r="F1144" t="s">
        <v>525</v>
      </c>
      <c r="G1144" t="s">
        <v>470</v>
      </c>
      <c r="H1144" t="s">
        <v>540</v>
      </c>
      <c r="I1144">
        <v>0.38</v>
      </c>
    </row>
    <row r="1145" spans="1:9">
      <c r="A1145" s="90" t="s">
        <v>51</v>
      </c>
      <c r="B1145" s="87">
        <v>45784</v>
      </c>
      <c r="C1145" t="s">
        <v>517</v>
      </c>
      <c r="D1145" t="s">
        <v>512</v>
      </c>
      <c r="E1145" t="s">
        <v>706</v>
      </c>
      <c r="F1145" t="s">
        <v>474</v>
      </c>
      <c r="G1145" t="s">
        <v>470</v>
      </c>
      <c r="H1145" t="s">
        <v>475</v>
      </c>
      <c r="I1145">
        <v>1000000</v>
      </c>
    </row>
    <row r="1146" spans="1:9">
      <c r="A1146" s="90" t="s">
        <v>51</v>
      </c>
      <c r="B1146" s="87">
        <v>45784</v>
      </c>
      <c r="C1146" t="s">
        <v>517</v>
      </c>
      <c r="D1146" t="s">
        <v>512</v>
      </c>
      <c r="E1146" t="s">
        <v>706</v>
      </c>
      <c r="F1146" t="s">
        <v>474</v>
      </c>
      <c r="G1146" t="s">
        <v>470</v>
      </c>
      <c r="H1146" t="s">
        <v>475</v>
      </c>
      <c r="I1146">
        <v>1000000</v>
      </c>
    </row>
    <row r="1147" spans="1:9">
      <c r="A1147" s="90" t="s">
        <v>51</v>
      </c>
      <c r="B1147" s="87">
        <v>45784</v>
      </c>
      <c r="C1147" t="s">
        <v>517</v>
      </c>
      <c r="D1147" t="s">
        <v>512</v>
      </c>
      <c r="E1147" t="s">
        <v>706</v>
      </c>
      <c r="F1147" t="s">
        <v>474</v>
      </c>
      <c r="G1147" t="s">
        <v>470</v>
      </c>
      <c r="H1147" t="s">
        <v>475</v>
      </c>
      <c r="I1147">
        <v>35869.22</v>
      </c>
    </row>
    <row r="1148" spans="1:9">
      <c r="A1148" s="90" t="s">
        <v>51</v>
      </c>
      <c r="B1148" s="87">
        <v>45785</v>
      </c>
      <c r="C1148" t="s">
        <v>511</v>
      </c>
      <c r="D1148" t="s">
        <v>512</v>
      </c>
      <c r="E1148" t="s">
        <v>706</v>
      </c>
      <c r="F1148" t="s">
        <v>474</v>
      </c>
      <c r="G1148" t="s">
        <v>470</v>
      </c>
      <c r="H1148" t="s">
        <v>475</v>
      </c>
      <c r="I1148">
        <v>35869.29</v>
      </c>
    </row>
    <row r="1149" spans="1:9">
      <c r="A1149" s="90" t="s">
        <v>51</v>
      </c>
      <c r="B1149" s="87">
        <v>45785</v>
      </c>
      <c r="C1149" t="s">
        <v>511</v>
      </c>
      <c r="D1149" t="s">
        <v>512</v>
      </c>
      <c r="E1149" t="s">
        <v>706</v>
      </c>
      <c r="F1149" t="s">
        <v>474</v>
      </c>
      <c r="G1149" t="s">
        <v>470</v>
      </c>
      <c r="H1149" t="s">
        <v>475</v>
      </c>
      <c r="I1149">
        <v>136986.16</v>
      </c>
    </row>
    <row r="1150" spans="1:9">
      <c r="A1150" s="90" t="s">
        <v>51</v>
      </c>
      <c r="B1150" s="87">
        <v>45786</v>
      </c>
      <c r="C1150" t="s">
        <v>1701</v>
      </c>
      <c r="D1150" t="s">
        <v>546</v>
      </c>
      <c r="E1150" t="s">
        <v>1676</v>
      </c>
      <c r="F1150" t="s">
        <v>490</v>
      </c>
      <c r="G1150" t="s">
        <v>470</v>
      </c>
      <c r="H1150" t="s">
        <v>540</v>
      </c>
      <c r="I1150">
        <v>14969.79</v>
      </c>
    </row>
    <row r="1151" spans="1:9">
      <c r="A1151" s="90" t="s">
        <v>51</v>
      </c>
      <c r="B1151" s="87">
        <v>45786</v>
      </c>
      <c r="C1151" t="s">
        <v>511</v>
      </c>
      <c r="D1151" t="s">
        <v>512</v>
      </c>
      <c r="E1151" t="s">
        <v>706</v>
      </c>
      <c r="F1151" t="s">
        <v>474</v>
      </c>
      <c r="G1151" t="s">
        <v>470</v>
      </c>
      <c r="H1151" t="s">
        <v>475</v>
      </c>
      <c r="I1151">
        <v>64826.04</v>
      </c>
    </row>
    <row r="1152" spans="1:9">
      <c r="A1152" s="90" t="s">
        <v>51</v>
      </c>
      <c r="B1152" s="87">
        <v>45789</v>
      </c>
      <c r="C1152" t="s">
        <v>511</v>
      </c>
      <c r="D1152" t="s">
        <v>512</v>
      </c>
      <c r="E1152" t="s">
        <v>706</v>
      </c>
      <c r="F1152" t="s">
        <v>474</v>
      </c>
      <c r="G1152" t="s">
        <v>470</v>
      </c>
      <c r="H1152" t="s">
        <v>475</v>
      </c>
      <c r="I1152">
        <v>214782.44</v>
      </c>
    </row>
    <row r="1153" spans="1:9">
      <c r="A1153" s="90" t="s">
        <v>51</v>
      </c>
      <c r="B1153" s="87">
        <v>45790</v>
      </c>
      <c r="C1153" t="s">
        <v>511</v>
      </c>
      <c r="D1153" t="s">
        <v>512</v>
      </c>
      <c r="E1153" t="s">
        <v>706</v>
      </c>
      <c r="F1153" t="s">
        <v>474</v>
      </c>
      <c r="G1153" t="s">
        <v>470</v>
      </c>
      <c r="H1153" t="s">
        <v>475</v>
      </c>
      <c r="I1153">
        <v>168351.58</v>
      </c>
    </row>
    <row r="1154" spans="1:9">
      <c r="A1154" s="90" t="s">
        <v>51</v>
      </c>
      <c r="B1154" s="87">
        <v>45791</v>
      </c>
      <c r="C1154" t="s">
        <v>511</v>
      </c>
      <c r="D1154" t="s">
        <v>512</v>
      </c>
      <c r="E1154" t="s">
        <v>706</v>
      </c>
      <c r="F1154" t="s">
        <v>474</v>
      </c>
      <c r="G1154" t="s">
        <v>470</v>
      </c>
      <c r="H1154" t="s">
        <v>475</v>
      </c>
      <c r="I1154">
        <v>80816.34</v>
      </c>
    </row>
    <row r="1155" spans="1:9">
      <c r="A1155" s="90" t="s">
        <v>51</v>
      </c>
      <c r="B1155" s="87">
        <v>45792</v>
      </c>
      <c r="C1155" t="s">
        <v>511</v>
      </c>
      <c r="D1155" t="s">
        <v>512</v>
      </c>
      <c r="E1155" t="s">
        <v>706</v>
      </c>
      <c r="F1155" t="s">
        <v>474</v>
      </c>
      <c r="G1155" t="s">
        <v>470</v>
      </c>
      <c r="H1155" t="s">
        <v>475</v>
      </c>
      <c r="I1155">
        <v>72664.63</v>
      </c>
    </row>
    <row r="1156" spans="1:9">
      <c r="A1156" s="90" t="s">
        <v>51</v>
      </c>
      <c r="B1156" s="87">
        <v>45793</v>
      </c>
      <c r="C1156" t="s">
        <v>511</v>
      </c>
      <c r="D1156" t="s">
        <v>512</v>
      </c>
      <c r="E1156" t="s">
        <v>706</v>
      </c>
      <c r="F1156" t="s">
        <v>474</v>
      </c>
      <c r="G1156" t="s">
        <v>470</v>
      </c>
      <c r="H1156" t="s">
        <v>475</v>
      </c>
      <c r="I1156">
        <v>61370.84</v>
      </c>
    </row>
    <row r="1157" spans="1:9">
      <c r="A1157" s="90" t="s">
        <v>51</v>
      </c>
      <c r="B1157" s="87">
        <v>45796</v>
      </c>
      <c r="C1157" t="s">
        <v>511</v>
      </c>
      <c r="D1157" t="s">
        <v>512</v>
      </c>
      <c r="E1157" t="s">
        <v>706</v>
      </c>
      <c r="F1157" t="s">
        <v>474</v>
      </c>
      <c r="G1157" t="s">
        <v>470</v>
      </c>
      <c r="H1157" t="s">
        <v>475</v>
      </c>
      <c r="I1157">
        <v>3000</v>
      </c>
    </row>
    <row r="1158" spans="1:9">
      <c r="A1158" s="90" t="s">
        <v>51</v>
      </c>
      <c r="B1158" s="87">
        <v>45797</v>
      </c>
      <c r="C1158" t="s">
        <v>511</v>
      </c>
      <c r="D1158" t="s">
        <v>512</v>
      </c>
      <c r="E1158" t="s">
        <v>706</v>
      </c>
      <c r="F1158" t="s">
        <v>474</v>
      </c>
      <c r="G1158" t="s">
        <v>470</v>
      </c>
      <c r="H1158" t="s">
        <v>475</v>
      </c>
      <c r="I1158">
        <v>10480.24</v>
      </c>
    </row>
    <row r="1159" spans="1:9">
      <c r="A1159" s="90" t="s">
        <v>51</v>
      </c>
      <c r="B1159" s="87">
        <v>45798</v>
      </c>
      <c r="C1159" t="s">
        <v>1702</v>
      </c>
      <c r="D1159" t="s">
        <v>1326</v>
      </c>
      <c r="E1159" t="s">
        <v>1703</v>
      </c>
      <c r="F1159" t="s">
        <v>490</v>
      </c>
      <c r="G1159" t="s">
        <v>470</v>
      </c>
      <c r="H1159" t="s">
        <v>475</v>
      </c>
      <c r="I1159">
        <v>77297.5</v>
      </c>
    </row>
    <row r="1160" spans="1:9">
      <c r="A1160" s="90" t="s">
        <v>51</v>
      </c>
      <c r="B1160" s="87">
        <v>45798</v>
      </c>
      <c r="C1160" t="s">
        <v>1704</v>
      </c>
      <c r="D1160" t="s">
        <v>1326</v>
      </c>
      <c r="E1160" t="s">
        <v>1705</v>
      </c>
      <c r="F1160" t="s">
        <v>490</v>
      </c>
      <c r="G1160" t="s">
        <v>470</v>
      </c>
      <c r="H1160" t="s">
        <v>475</v>
      </c>
      <c r="I1160">
        <v>75705</v>
      </c>
    </row>
    <row r="1161" spans="1:9">
      <c r="A1161" s="90" t="s">
        <v>51</v>
      </c>
      <c r="B1161" s="87">
        <v>45798</v>
      </c>
      <c r="C1161" t="s">
        <v>1706</v>
      </c>
      <c r="D1161" t="s">
        <v>1326</v>
      </c>
      <c r="E1161" t="s">
        <v>1707</v>
      </c>
      <c r="F1161" t="s">
        <v>490</v>
      </c>
      <c r="G1161" t="s">
        <v>470</v>
      </c>
      <c r="H1161" t="s">
        <v>475</v>
      </c>
      <c r="I1161">
        <v>102655</v>
      </c>
    </row>
    <row r="1162" spans="1:9">
      <c r="A1162" s="90" t="s">
        <v>51</v>
      </c>
      <c r="B1162" s="87">
        <v>45798</v>
      </c>
      <c r="C1162" t="s">
        <v>1708</v>
      </c>
      <c r="D1162" t="s">
        <v>1326</v>
      </c>
      <c r="E1162" t="s">
        <v>1709</v>
      </c>
      <c r="F1162" t="s">
        <v>490</v>
      </c>
      <c r="G1162" t="s">
        <v>470</v>
      </c>
      <c r="H1162" t="s">
        <v>475</v>
      </c>
      <c r="I1162">
        <v>96897.5</v>
      </c>
    </row>
    <row r="1163" spans="1:9">
      <c r="A1163" s="90" t="s">
        <v>51</v>
      </c>
      <c r="B1163" s="87">
        <v>45798</v>
      </c>
      <c r="C1163" t="s">
        <v>1710</v>
      </c>
      <c r="D1163" t="s">
        <v>1326</v>
      </c>
      <c r="E1163" t="s">
        <v>1711</v>
      </c>
      <c r="F1163" t="s">
        <v>490</v>
      </c>
      <c r="G1163" t="s">
        <v>470</v>
      </c>
      <c r="H1163" t="s">
        <v>475</v>
      </c>
      <c r="I1163">
        <v>98326.67</v>
      </c>
    </row>
    <row r="1164" spans="1:9">
      <c r="A1164" s="90" t="s">
        <v>51</v>
      </c>
      <c r="B1164" s="87">
        <v>45798</v>
      </c>
      <c r="C1164" t="s">
        <v>1642</v>
      </c>
      <c r="D1164" t="s">
        <v>1326</v>
      </c>
      <c r="E1164" t="s">
        <v>1643</v>
      </c>
      <c r="F1164" t="s">
        <v>490</v>
      </c>
      <c r="G1164" t="s">
        <v>470</v>
      </c>
      <c r="H1164" t="s">
        <v>475</v>
      </c>
      <c r="I1164">
        <v>45141.25</v>
      </c>
    </row>
    <row r="1165" spans="1:9">
      <c r="A1165" s="90" t="s">
        <v>51</v>
      </c>
      <c r="B1165" s="87">
        <v>45798</v>
      </c>
      <c r="C1165" t="s">
        <v>1712</v>
      </c>
      <c r="D1165" t="s">
        <v>1713</v>
      </c>
      <c r="E1165" t="s">
        <v>1714</v>
      </c>
      <c r="F1165" t="s">
        <v>490</v>
      </c>
      <c r="G1165" t="s">
        <v>470</v>
      </c>
      <c r="H1165" t="s">
        <v>475</v>
      </c>
      <c r="I1165">
        <v>100286.67</v>
      </c>
    </row>
    <row r="1166" spans="1:9">
      <c r="A1166" s="90" t="s">
        <v>51</v>
      </c>
      <c r="B1166" s="87">
        <v>45798</v>
      </c>
      <c r="C1166" t="s">
        <v>1715</v>
      </c>
      <c r="D1166" t="s">
        <v>1713</v>
      </c>
      <c r="E1166" t="s">
        <v>1716</v>
      </c>
      <c r="F1166" t="s">
        <v>490</v>
      </c>
      <c r="G1166" t="s">
        <v>470</v>
      </c>
      <c r="H1166" t="s">
        <v>475</v>
      </c>
      <c r="I1166">
        <v>63700</v>
      </c>
    </row>
    <row r="1167" spans="1:9">
      <c r="A1167" s="90" t="s">
        <v>51</v>
      </c>
      <c r="B1167" s="87">
        <v>45798</v>
      </c>
      <c r="C1167" t="s">
        <v>1717</v>
      </c>
      <c r="D1167" t="s">
        <v>1713</v>
      </c>
      <c r="E1167" t="s">
        <v>1718</v>
      </c>
      <c r="F1167" t="s">
        <v>490</v>
      </c>
      <c r="G1167" t="s">
        <v>470</v>
      </c>
      <c r="H1167" t="s">
        <v>475</v>
      </c>
      <c r="I1167">
        <v>77297.5</v>
      </c>
    </row>
    <row r="1168" spans="1:9">
      <c r="A1168" s="90" t="s">
        <v>51</v>
      </c>
      <c r="B1168" s="87">
        <v>45798</v>
      </c>
      <c r="C1168" t="s">
        <v>1719</v>
      </c>
      <c r="D1168" t="s">
        <v>1713</v>
      </c>
      <c r="E1168" t="s">
        <v>1720</v>
      </c>
      <c r="F1168" t="s">
        <v>490</v>
      </c>
      <c r="G1168" t="s">
        <v>470</v>
      </c>
      <c r="H1168" t="s">
        <v>475</v>
      </c>
      <c r="I1168">
        <v>100245.83</v>
      </c>
    </row>
    <row r="1169" spans="1:9">
      <c r="A1169" s="90" t="s">
        <v>51</v>
      </c>
      <c r="B1169" s="87">
        <v>45798</v>
      </c>
      <c r="C1169" t="s">
        <v>1721</v>
      </c>
      <c r="D1169" t="s">
        <v>1713</v>
      </c>
      <c r="E1169" t="s">
        <v>1722</v>
      </c>
      <c r="F1169" t="s">
        <v>490</v>
      </c>
      <c r="G1169" t="s">
        <v>470</v>
      </c>
      <c r="H1169" t="s">
        <v>475</v>
      </c>
      <c r="I1169">
        <v>80033.33</v>
      </c>
    </row>
    <row r="1170" spans="1:9">
      <c r="A1170" s="90" t="s">
        <v>51</v>
      </c>
      <c r="B1170" s="87">
        <v>45798</v>
      </c>
      <c r="C1170" t="s">
        <v>1723</v>
      </c>
      <c r="D1170" t="s">
        <v>1713</v>
      </c>
      <c r="E1170" t="s">
        <v>1724</v>
      </c>
      <c r="F1170" t="s">
        <v>490</v>
      </c>
      <c r="G1170" t="s">
        <v>470</v>
      </c>
      <c r="H1170" t="s">
        <v>475</v>
      </c>
      <c r="I1170">
        <v>76276.67</v>
      </c>
    </row>
    <row r="1171" spans="1:9">
      <c r="A1171" s="90" t="s">
        <v>51</v>
      </c>
      <c r="B1171" s="87">
        <v>45798</v>
      </c>
      <c r="C1171" t="s">
        <v>1725</v>
      </c>
      <c r="D1171" t="s">
        <v>1713</v>
      </c>
      <c r="E1171" t="s">
        <v>1726</v>
      </c>
      <c r="F1171" t="s">
        <v>490</v>
      </c>
      <c r="G1171" t="s">
        <v>470</v>
      </c>
      <c r="H1171" t="s">
        <v>475</v>
      </c>
      <c r="I1171">
        <v>52715.83</v>
      </c>
    </row>
    <row r="1172" spans="1:9">
      <c r="A1172" s="90" t="s">
        <v>51</v>
      </c>
      <c r="B1172" s="87">
        <v>45798</v>
      </c>
      <c r="C1172" t="s">
        <v>1727</v>
      </c>
      <c r="D1172" t="s">
        <v>1713</v>
      </c>
      <c r="E1172" t="s">
        <v>1728</v>
      </c>
      <c r="F1172" t="s">
        <v>490</v>
      </c>
      <c r="G1172" t="s">
        <v>470</v>
      </c>
      <c r="H1172" t="s">
        <v>475</v>
      </c>
      <c r="I1172">
        <v>97142.5</v>
      </c>
    </row>
    <row r="1173" spans="1:9">
      <c r="A1173" s="90" t="s">
        <v>51</v>
      </c>
      <c r="B1173" s="87">
        <v>45798</v>
      </c>
      <c r="C1173" t="s">
        <v>1729</v>
      </c>
      <c r="D1173" t="s">
        <v>1713</v>
      </c>
      <c r="E1173" t="s">
        <v>1730</v>
      </c>
      <c r="F1173" t="s">
        <v>490</v>
      </c>
      <c r="G1173" t="s">
        <v>470</v>
      </c>
      <c r="H1173" t="s">
        <v>475</v>
      </c>
      <c r="I1173">
        <v>80115</v>
      </c>
    </row>
    <row r="1174" spans="1:9">
      <c r="A1174" s="90" t="s">
        <v>51</v>
      </c>
      <c r="B1174" s="87">
        <v>45798</v>
      </c>
      <c r="C1174" t="s">
        <v>1731</v>
      </c>
      <c r="D1174" t="s">
        <v>1713</v>
      </c>
      <c r="E1174" t="s">
        <v>1732</v>
      </c>
      <c r="F1174" t="s">
        <v>490</v>
      </c>
      <c r="G1174" t="s">
        <v>470</v>
      </c>
      <c r="H1174" t="s">
        <v>475</v>
      </c>
      <c r="I1174">
        <v>96244.17</v>
      </c>
    </row>
    <row r="1175" spans="1:9">
      <c r="A1175" s="90" t="s">
        <v>51</v>
      </c>
      <c r="B1175" s="87">
        <v>45798</v>
      </c>
      <c r="C1175" t="s">
        <v>1733</v>
      </c>
      <c r="D1175" t="s">
        <v>1713</v>
      </c>
      <c r="E1175" t="s">
        <v>1734</v>
      </c>
      <c r="F1175" t="s">
        <v>490</v>
      </c>
      <c r="G1175" t="s">
        <v>470</v>
      </c>
      <c r="H1175" t="s">
        <v>475</v>
      </c>
      <c r="I1175">
        <v>102328.33</v>
      </c>
    </row>
    <row r="1176" spans="1:9">
      <c r="A1176" s="90" t="s">
        <v>51</v>
      </c>
      <c r="B1176" s="87">
        <v>45798</v>
      </c>
      <c r="C1176" t="s">
        <v>1735</v>
      </c>
      <c r="D1176" t="s">
        <v>1713</v>
      </c>
      <c r="E1176" t="s">
        <v>1736</v>
      </c>
      <c r="F1176" t="s">
        <v>490</v>
      </c>
      <c r="G1176" t="s">
        <v>470</v>
      </c>
      <c r="H1176" t="s">
        <v>475</v>
      </c>
      <c r="I1176">
        <v>102695.83</v>
      </c>
    </row>
    <row r="1177" spans="1:9">
      <c r="A1177" s="90" t="s">
        <v>51</v>
      </c>
      <c r="B1177" s="87">
        <v>45798</v>
      </c>
      <c r="C1177" t="s">
        <v>1737</v>
      </c>
      <c r="D1177" t="s">
        <v>1713</v>
      </c>
      <c r="E1177" t="s">
        <v>1738</v>
      </c>
      <c r="F1177" t="s">
        <v>490</v>
      </c>
      <c r="G1177" t="s">
        <v>470</v>
      </c>
      <c r="H1177" t="s">
        <v>475</v>
      </c>
      <c r="I1177">
        <v>53389.58</v>
      </c>
    </row>
    <row r="1178" spans="1:9">
      <c r="A1178" s="90" t="s">
        <v>51</v>
      </c>
      <c r="B1178" s="87">
        <v>45798</v>
      </c>
      <c r="C1178" t="s">
        <v>1739</v>
      </c>
      <c r="D1178" t="s">
        <v>1713</v>
      </c>
      <c r="E1178" t="s">
        <v>1740</v>
      </c>
      <c r="F1178" t="s">
        <v>490</v>
      </c>
      <c r="G1178" t="s">
        <v>470</v>
      </c>
      <c r="H1178" t="s">
        <v>475</v>
      </c>
      <c r="I1178">
        <v>43426.25</v>
      </c>
    </row>
    <row r="1179" spans="1:9">
      <c r="A1179" s="90" t="s">
        <v>51</v>
      </c>
      <c r="B1179" s="87">
        <v>45798</v>
      </c>
      <c r="C1179" t="s">
        <v>1741</v>
      </c>
      <c r="D1179" t="s">
        <v>512</v>
      </c>
      <c r="E1179" t="s">
        <v>706</v>
      </c>
      <c r="F1179" t="s">
        <v>474</v>
      </c>
      <c r="G1179" t="s">
        <v>470</v>
      </c>
      <c r="H1179" t="s">
        <v>475</v>
      </c>
      <c r="I1179">
        <v>621920.42000000004</v>
      </c>
    </row>
    <row r="1180" spans="1:9">
      <c r="A1180" s="90" t="s">
        <v>51</v>
      </c>
      <c r="B1180" s="87">
        <v>45798</v>
      </c>
      <c r="C1180" t="s">
        <v>517</v>
      </c>
      <c r="D1180" t="s">
        <v>512</v>
      </c>
      <c r="E1180" t="s">
        <v>706</v>
      </c>
      <c r="F1180" t="s">
        <v>474</v>
      </c>
      <c r="G1180" t="s">
        <v>470</v>
      </c>
      <c r="H1180" t="s">
        <v>475</v>
      </c>
      <c r="I1180">
        <v>621920.42000000004</v>
      </c>
    </row>
    <row r="1181" spans="1:9">
      <c r="A1181" s="90" t="s">
        <v>51</v>
      </c>
      <c r="B1181" s="87">
        <v>45799</v>
      </c>
      <c r="C1181" t="s">
        <v>511</v>
      </c>
      <c r="D1181" t="s">
        <v>512</v>
      </c>
      <c r="E1181" t="s">
        <v>706</v>
      </c>
      <c r="F1181" t="s">
        <v>474</v>
      </c>
      <c r="G1181" t="s">
        <v>470</v>
      </c>
      <c r="H1181" t="s">
        <v>475</v>
      </c>
      <c r="I1181">
        <v>9730</v>
      </c>
    </row>
    <row r="1182" spans="1:9">
      <c r="A1182" s="90" t="s">
        <v>51</v>
      </c>
      <c r="B1182" s="87">
        <v>45803</v>
      </c>
      <c r="C1182" t="s">
        <v>511</v>
      </c>
      <c r="D1182" t="s">
        <v>512</v>
      </c>
      <c r="E1182" t="s">
        <v>706</v>
      </c>
      <c r="F1182" t="s">
        <v>474</v>
      </c>
      <c r="G1182" t="s">
        <v>470</v>
      </c>
      <c r="H1182" t="s">
        <v>475</v>
      </c>
      <c r="I1182">
        <v>14061.1</v>
      </c>
    </row>
    <row r="1183" spans="1:9">
      <c r="A1183" s="90" t="s">
        <v>51</v>
      </c>
      <c r="B1183" s="87">
        <v>45804</v>
      </c>
      <c r="C1183" t="s">
        <v>511</v>
      </c>
      <c r="D1183" t="s">
        <v>512</v>
      </c>
      <c r="E1183" t="s">
        <v>706</v>
      </c>
      <c r="F1183" t="s">
        <v>474</v>
      </c>
      <c r="G1183" t="s">
        <v>470</v>
      </c>
      <c r="H1183" t="s">
        <v>475</v>
      </c>
      <c r="I1183">
        <v>60799.72</v>
      </c>
    </row>
    <row r="1184" spans="1:9">
      <c r="A1184" s="90" t="s">
        <v>51</v>
      </c>
      <c r="B1184" s="87">
        <v>45805</v>
      </c>
      <c r="C1184" t="s">
        <v>1742</v>
      </c>
      <c r="D1184" t="s">
        <v>1743</v>
      </c>
      <c r="E1184" t="s">
        <v>706</v>
      </c>
      <c r="F1184" t="s">
        <v>469</v>
      </c>
      <c r="G1184" t="s">
        <v>470</v>
      </c>
      <c r="H1184" t="s">
        <v>475</v>
      </c>
      <c r="I1184">
        <v>55635.42</v>
      </c>
    </row>
    <row r="1185" spans="1:9">
      <c r="A1185" s="90" t="s">
        <v>51</v>
      </c>
      <c r="B1185" s="87">
        <v>45805</v>
      </c>
      <c r="C1185" t="s">
        <v>511</v>
      </c>
      <c r="D1185" t="s">
        <v>512</v>
      </c>
      <c r="E1185" t="s">
        <v>706</v>
      </c>
      <c r="F1185" t="s">
        <v>474</v>
      </c>
      <c r="G1185" t="s">
        <v>470</v>
      </c>
      <c r="H1185" t="s">
        <v>475</v>
      </c>
      <c r="I1185">
        <v>39530.019999999997</v>
      </c>
    </row>
    <row r="1186" spans="1:9">
      <c r="A1186" s="90" t="s">
        <v>51</v>
      </c>
      <c r="B1186" s="87">
        <v>45807</v>
      </c>
      <c r="C1186" t="s">
        <v>511</v>
      </c>
      <c r="D1186" t="s">
        <v>512</v>
      </c>
      <c r="E1186" t="s">
        <v>706</v>
      </c>
      <c r="F1186" t="s">
        <v>474</v>
      </c>
      <c r="G1186" t="s">
        <v>470</v>
      </c>
      <c r="H1186" t="s">
        <v>475</v>
      </c>
      <c r="I1186">
        <v>15946</v>
      </c>
    </row>
    <row r="1187" spans="1:9">
      <c r="A1187" s="90" t="s">
        <v>51</v>
      </c>
      <c r="B1187" s="87">
        <v>45807</v>
      </c>
      <c r="C1187" t="s">
        <v>524</v>
      </c>
      <c r="D1187" t="s">
        <v>477</v>
      </c>
      <c r="E1187" t="s">
        <v>706</v>
      </c>
      <c r="F1187" t="s">
        <v>525</v>
      </c>
      <c r="G1187" t="s">
        <v>470</v>
      </c>
      <c r="H1187" t="s">
        <v>516</v>
      </c>
      <c r="I1187">
        <v>19328.98</v>
      </c>
    </row>
    <row r="1188" spans="1:9">
      <c r="A1188" s="90" t="s">
        <v>51</v>
      </c>
      <c r="B1188" s="87">
        <v>45807</v>
      </c>
      <c r="C1188" t="s">
        <v>1744</v>
      </c>
      <c r="D1188" t="s">
        <v>477</v>
      </c>
      <c r="E1188" t="s">
        <v>706</v>
      </c>
      <c r="F1188" t="s">
        <v>525</v>
      </c>
      <c r="G1188" t="s">
        <v>470</v>
      </c>
      <c r="H1188" t="s">
        <v>516</v>
      </c>
      <c r="I1188">
        <v>25968.6</v>
      </c>
    </row>
    <row r="1189" spans="1:9">
      <c r="A1189" s="90" t="s">
        <v>51</v>
      </c>
      <c r="B1189" s="87">
        <v>45807</v>
      </c>
      <c r="C1189" t="s">
        <v>1744</v>
      </c>
      <c r="D1189" t="s">
        <v>477</v>
      </c>
      <c r="E1189" t="s">
        <v>706</v>
      </c>
      <c r="F1189" t="s">
        <v>525</v>
      </c>
      <c r="G1189" t="s">
        <v>470</v>
      </c>
      <c r="H1189" t="s">
        <v>516</v>
      </c>
      <c r="I1189">
        <v>114.64</v>
      </c>
    </row>
    <row r="1190" spans="1:9">
      <c r="A1190" s="90" t="s">
        <v>51</v>
      </c>
      <c r="B1190" s="87">
        <v>45807</v>
      </c>
      <c r="C1190" t="s">
        <v>524</v>
      </c>
      <c r="D1190" t="s">
        <v>1324</v>
      </c>
      <c r="E1190" t="s">
        <v>706</v>
      </c>
      <c r="F1190" t="s">
        <v>525</v>
      </c>
      <c r="G1190" t="s">
        <v>470</v>
      </c>
      <c r="H1190" t="s">
        <v>516</v>
      </c>
      <c r="I1190">
        <v>24494.34</v>
      </c>
    </row>
    <row r="1191" spans="1:9">
      <c r="A1191" s="90" t="s">
        <v>51</v>
      </c>
      <c r="B1191" s="87">
        <v>45810</v>
      </c>
      <c r="C1191" t="s">
        <v>511</v>
      </c>
      <c r="D1191" t="s">
        <v>512</v>
      </c>
      <c r="E1191" t="s">
        <v>741</v>
      </c>
      <c r="F1191" t="s">
        <v>474</v>
      </c>
      <c r="G1191" t="s">
        <v>470</v>
      </c>
      <c r="H1191" t="s">
        <v>475</v>
      </c>
      <c r="I1191">
        <v>308705.08</v>
      </c>
    </row>
    <row r="1192" spans="1:9">
      <c r="A1192" s="90" t="s">
        <v>51</v>
      </c>
      <c r="B1192" s="87">
        <v>45811</v>
      </c>
      <c r="C1192" t="s">
        <v>511</v>
      </c>
      <c r="D1192" t="s">
        <v>512</v>
      </c>
      <c r="E1192" t="s">
        <v>741</v>
      </c>
      <c r="F1192" t="s">
        <v>474</v>
      </c>
      <c r="G1192" t="s">
        <v>470</v>
      </c>
      <c r="H1192" t="s">
        <v>475</v>
      </c>
      <c r="I1192">
        <v>608</v>
      </c>
    </row>
    <row r="1193" spans="1:9">
      <c r="A1193" s="90" t="s">
        <v>51</v>
      </c>
      <c r="B1193" s="87">
        <v>45812</v>
      </c>
      <c r="C1193" t="s">
        <v>779</v>
      </c>
      <c r="D1193" t="s">
        <v>512</v>
      </c>
      <c r="E1193" t="s">
        <v>741</v>
      </c>
      <c r="F1193" t="s">
        <v>474</v>
      </c>
      <c r="G1193" t="s">
        <v>470</v>
      </c>
      <c r="H1193" t="s">
        <v>475</v>
      </c>
      <c r="I1193">
        <v>7567</v>
      </c>
    </row>
    <row r="1194" spans="1:9">
      <c r="A1194" s="90" t="s">
        <v>51</v>
      </c>
      <c r="B1194" s="87">
        <v>45813</v>
      </c>
      <c r="C1194" t="s">
        <v>511</v>
      </c>
      <c r="D1194" t="s">
        <v>512</v>
      </c>
      <c r="E1194" t="s">
        <v>741</v>
      </c>
      <c r="F1194" t="s">
        <v>474</v>
      </c>
      <c r="G1194" t="s">
        <v>470</v>
      </c>
      <c r="H1194" t="s">
        <v>475</v>
      </c>
      <c r="I1194">
        <v>162888.62</v>
      </c>
    </row>
    <row r="1195" spans="1:9">
      <c r="A1195" s="90" t="s">
        <v>51</v>
      </c>
      <c r="B1195" s="87">
        <v>45814</v>
      </c>
      <c r="C1195" t="s">
        <v>511</v>
      </c>
      <c r="D1195" t="s">
        <v>512</v>
      </c>
      <c r="E1195" t="s">
        <v>741</v>
      </c>
      <c r="F1195" t="s">
        <v>474</v>
      </c>
      <c r="G1195" t="s">
        <v>470</v>
      </c>
      <c r="H1195" t="s">
        <v>475</v>
      </c>
      <c r="I1195">
        <v>97503.26</v>
      </c>
    </row>
    <row r="1196" spans="1:9">
      <c r="A1196" s="90" t="s">
        <v>51</v>
      </c>
      <c r="B1196" s="87">
        <v>45817</v>
      </c>
      <c r="C1196" t="s">
        <v>511</v>
      </c>
      <c r="D1196" t="s">
        <v>512</v>
      </c>
      <c r="E1196" t="s">
        <v>741</v>
      </c>
      <c r="F1196" t="s">
        <v>474</v>
      </c>
      <c r="G1196" t="s">
        <v>470</v>
      </c>
      <c r="H1196" t="s">
        <v>475</v>
      </c>
      <c r="I1196">
        <v>27444.99</v>
      </c>
    </row>
    <row r="1197" spans="1:9">
      <c r="A1197" s="90" t="s">
        <v>51</v>
      </c>
      <c r="B1197" s="87">
        <v>45817</v>
      </c>
      <c r="C1197" t="s">
        <v>1745</v>
      </c>
      <c r="D1197" t="s">
        <v>800</v>
      </c>
      <c r="E1197" t="s">
        <v>741</v>
      </c>
      <c r="F1197" t="s">
        <v>469</v>
      </c>
      <c r="G1197" t="s">
        <v>470</v>
      </c>
      <c r="H1197" t="s">
        <v>801</v>
      </c>
      <c r="I1197">
        <v>0.01</v>
      </c>
    </row>
    <row r="1198" spans="1:9">
      <c r="A1198" s="90" t="s">
        <v>51</v>
      </c>
      <c r="B1198" s="87">
        <v>45818</v>
      </c>
      <c r="C1198" t="s">
        <v>511</v>
      </c>
      <c r="D1198" t="s">
        <v>512</v>
      </c>
      <c r="E1198" t="s">
        <v>741</v>
      </c>
      <c r="F1198" t="s">
        <v>474</v>
      </c>
      <c r="G1198" t="s">
        <v>470</v>
      </c>
      <c r="H1198" t="s">
        <v>475</v>
      </c>
      <c r="I1198">
        <v>939.43</v>
      </c>
    </row>
    <row r="1199" spans="1:9">
      <c r="A1199" s="90" t="s">
        <v>51</v>
      </c>
      <c r="B1199" s="87">
        <v>45819</v>
      </c>
      <c r="C1199" t="s">
        <v>511</v>
      </c>
      <c r="D1199" t="s">
        <v>512</v>
      </c>
      <c r="E1199" t="s">
        <v>741</v>
      </c>
      <c r="F1199" t="s">
        <v>474</v>
      </c>
      <c r="G1199" t="s">
        <v>470</v>
      </c>
      <c r="H1199" t="s">
        <v>475</v>
      </c>
      <c r="I1199">
        <v>1364.5</v>
      </c>
    </row>
    <row r="1200" spans="1:9">
      <c r="A1200" s="90" t="s">
        <v>51</v>
      </c>
      <c r="B1200" s="87">
        <v>45821</v>
      </c>
      <c r="C1200" t="s">
        <v>511</v>
      </c>
      <c r="D1200" t="s">
        <v>512</v>
      </c>
      <c r="E1200" t="s">
        <v>741</v>
      </c>
      <c r="F1200" t="s">
        <v>474</v>
      </c>
      <c r="G1200" t="s">
        <v>470</v>
      </c>
      <c r="H1200" t="s">
        <v>475</v>
      </c>
      <c r="I1200">
        <v>1056.18</v>
      </c>
    </row>
    <row r="1201" spans="1:9">
      <c r="A1201" s="90" t="s">
        <v>51</v>
      </c>
      <c r="B1201" s="87">
        <v>45824</v>
      </c>
      <c r="C1201" t="s">
        <v>511</v>
      </c>
      <c r="D1201" t="s">
        <v>512</v>
      </c>
      <c r="E1201" t="s">
        <v>741</v>
      </c>
      <c r="F1201" t="s">
        <v>474</v>
      </c>
      <c r="G1201" t="s">
        <v>470</v>
      </c>
      <c r="H1201" t="s">
        <v>475</v>
      </c>
      <c r="I1201">
        <v>60866.54</v>
      </c>
    </row>
    <row r="1202" spans="1:9">
      <c r="A1202" s="90" t="s">
        <v>51</v>
      </c>
      <c r="B1202" s="87">
        <v>45825</v>
      </c>
      <c r="C1202" t="s">
        <v>511</v>
      </c>
      <c r="D1202" t="s">
        <v>512</v>
      </c>
      <c r="E1202" t="s">
        <v>741</v>
      </c>
      <c r="F1202" t="s">
        <v>474</v>
      </c>
      <c r="G1202" t="s">
        <v>470</v>
      </c>
      <c r="H1202" t="s">
        <v>475</v>
      </c>
      <c r="I1202">
        <v>15641.6</v>
      </c>
    </row>
    <row r="1203" spans="1:9">
      <c r="A1203" s="90" t="s">
        <v>51</v>
      </c>
      <c r="B1203" s="87">
        <v>45828</v>
      </c>
      <c r="C1203" t="s">
        <v>511</v>
      </c>
      <c r="D1203" t="s">
        <v>512</v>
      </c>
      <c r="E1203" t="s">
        <v>741</v>
      </c>
      <c r="F1203" t="s">
        <v>474</v>
      </c>
      <c r="G1203" t="s">
        <v>470</v>
      </c>
      <c r="H1203" t="s">
        <v>475</v>
      </c>
      <c r="I1203">
        <v>209.53</v>
      </c>
    </row>
    <row r="1204" spans="1:9">
      <c r="A1204" s="90" t="s">
        <v>51</v>
      </c>
      <c r="B1204" s="87">
        <v>45828</v>
      </c>
      <c r="C1204" t="s">
        <v>772</v>
      </c>
      <c r="D1204" t="s">
        <v>535</v>
      </c>
      <c r="E1204" t="s">
        <v>706</v>
      </c>
      <c r="F1204" t="s">
        <v>469</v>
      </c>
      <c r="G1204" t="s">
        <v>470</v>
      </c>
      <c r="H1204" t="s">
        <v>475</v>
      </c>
      <c r="I1204">
        <v>956.16</v>
      </c>
    </row>
    <row r="1205" spans="1:9">
      <c r="A1205" s="90" t="s">
        <v>51</v>
      </c>
      <c r="B1205" s="87">
        <v>45831</v>
      </c>
      <c r="C1205" t="s">
        <v>511</v>
      </c>
      <c r="D1205" t="s">
        <v>512</v>
      </c>
      <c r="E1205" t="s">
        <v>741</v>
      </c>
      <c r="F1205" t="s">
        <v>474</v>
      </c>
      <c r="G1205" t="s">
        <v>470</v>
      </c>
      <c r="H1205" t="s">
        <v>475</v>
      </c>
      <c r="I1205">
        <v>5302</v>
      </c>
    </row>
    <row r="1206" spans="1:9">
      <c r="A1206" s="90" t="s">
        <v>51</v>
      </c>
      <c r="B1206" s="87">
        <v>45833</v>
      </c>
      <c r="C1206" t="s">
        <v>511</v>
      </c>
      <c r="D1206" t="s">
        <v>512</v>
      </c>
      <c r="E1206" t="s">
        <v>741</v>
      </c>
      <c r="F1206" t="s">
        <v>474</v>
      </c>
      <c r="G1206" t="s">
        <v>470</v>
      </c>
      <c r="H1206" t="s">
        <v>475</v>
      </c>
      <c r="I1206">
        <v>11714</v>
      </c>
    </row>
    <row r="1207" spans="1:9">
      <c r="A1207" s="90" t="s">
        <v>51</v>
      </c>
      <c r="B1207" s="87">
        <v>45834</v>
      </c>
      <c r="C1207" t="s">
        <v>511</v>
      </c>
      <c r="D1207" t="s">
        <v>512</v>
      </c>
      <c r="E1207" t="s">
        <v>741</v>
      </c>
      <c r="F1207" t="s">
        <v>474</v>
      </c>
      <c r="G1207" t="s">
        <v>470</v>
      </c>
      <c r="H1207" t="s">
        <v>475</v>
      </c>
      <c r="I1207">
        <v>4803.55</v>
      </c>
    </row>
    <row r="1208" spans="1:9">
      <c r="A1208" s="90" t="s">
        <v>51</v>
      </c>
      <c r="B1208" s="87">
        <v>45835</v>
      </c>
      <c r="C1208" t="s">
        <v>1746</v>
      </c>
      <c r="D1208" t="s">
        <v>1529</v>
      </c>
      <c r="E1208" t="s">
        <v>1747</v>
      </c>
      <c r="F1208" t="s">
        <v>490</v>
      </c>
      <c r="G1208" t="s">
        <v>470</v>
      </c>
      <c r="H1208" t="s">
        <v>540</v>
      </c>
      <c r="I1208">
        <v>45175.8</v>
      </c>
    </row>
    <row r="1209" spans="1:9">
      <c r="A1209" s="90" t="s">
        <v>51</v>
      </c>
      <c r="B1209" s="87">
        <v>45835</v>
      </c>
      <c r="C1209" t="s">
        <v>511</v>
      </c>
      <c r="D1209" t="s">
        <v>512</v>
      </c>
      <c r="E1209" t="s">
        <v>741</v>
      </c>
      <c r="F1209" t="s">
        <v>474</v>
      </c>
      <c r="G1209" t="s">
        <v>470</v>
      </c>
      <c r="H1209" t="s">
        <v>475</v>
      </c>
      <c r="I1209">
        <v>194187.18</v>
      </c>
    </row>
    <row r="1210" spans="1:9">
      <c r="A1210" s="90" t="s">
        <v>51</v>
      </c>
      <c r="B1210" s="87">
        <v>45838</v>
      </c>
      <c r="C1210" t="s">
        <v>511</v>
      </c>
      <c r="D1210" t="s">
        <v>512</v>
      </c>
      <c r="E1210" t="s">
        <v>741</v>
      </c>
      <c r="F1210" t="s">
        <v>474</v>
      </c>
      <c r="G1210" t="s">
        <v>470</v>
      </c>
      <c r="H1210" t="s">
        <v>475</v>
      </c>
      <c r="I1210">
        <v>135120.94</v>
      </c>
    </row>
    <row r="1211" spans="1:9">
      <c r="A1211" s="90" t="s">
        <v>51</v>
      </c>
      <c r="B1211" s="87">
        <v>45838</v>
      </c>
      <c r="C1211" t="s">
        <v>524</v>
      </c>
      <c r="D1211" t="s">
        <v>477</v>
      </c>
      <c r="E1211" t="s">
        <v>741</v>
      </c>
      <c r="F1211" t="s">
        <v>525</v>
      </c>
      <c r="G1211" t="s">
        <v>470</v>
      </c>
      <c r="H1211" t="s">
        <v>516</v>
      </c>
      <c r="I1211">
        <v>14356.85</v>
      </c>
    </row>
    <row r="1212" spans="1:9">
      <c r="A1212" s="90" t="s">
        <v>51</v>
      </c>
      <c r="B1212" s="87">
        <v>45838</v>
      </c>
      <c r="C1212" t="s">
        <v>524</v>
      </c>
      <c r="D1212" t="s">
        <v>477</v>
      </c>
      <c r="E1212" t="s">
        <v>741</v>
      </c>
      <c r="F1212" t="s">
        <v>525</v>
      </c>
      <c r="G1212" t="s">
        <v>470</v>
      </c>
      <c r="H1212" t="s">
        <v>516</v>
      </c>
      <c r="I1212">
        <v>27929.1</v>
      </c>
    </row>
    <row r="1213" spans="1:9">
      <c r="A1213" s="90" t="s">
        <v>51</v>
      </c>
      <c r="B1213" s="87">
        <v>45838</v>
      </c>
      <c r="C1213" t="s">
        <v>524</v>
      </c>
      <c r="D1213" t="s">
        <v>1324</v>
      </c>
      <c r="E1213" t="s">
        <v>741</v>
      </c>
      <c r="F1213" t="s">
        <v>525</v>
      </c>
      <c r="G1213" t="s">
        <v>470</v>
      </c>
      <c r="H1213" t="s">
        <v>516</v>
      </c>
      <c r="I1213">
        <v>34090.46</v>
      </c>
    </row>
    <row r="1214" spans="1:9">
      <c r="A1214" s="90" t="s">
        <v>51</v>
      </c>
      <c r="B1214" s="87">
        <v>45839</v>
      </c>
      <c r="C1214" t="s">
        <v>511</v>
      </c>
      <c r="D1214" t="s">
        <v>512</v>
      </c>
      <c r="E1214" t="s">
        <v>778</v>
      </c>
      <c r="F1214" t="s">
        <v>474</v>
      </c>
      <c r="G1214" t="s">
        <v>470</v>
      </c>
      <c r="H1214" t="s">
        <v>475</v>
      </c>
      <c r="I1214">
        <v>647.09</v>
      </c>
    </row>
    <row r="1215" spans="1:9">
      <c r="A1215" s="90" t="s">
        <v>51</v>
      </c>
      <c r="B1215" s="87">
        <v>45841</v>
      </c>
      <c r="C1215" t="s">
        <v>511</v>
      </c>
      <c r="D1215" t="s">
        <v>512</v>
      </c>
      <c r="E1215" t="s">
        <v>778</v>
      </c>
      <c r="F1215" t="s">
        <v>474</v>
      </c>
      <c r="G1215" t="s">
        <v>470</v>
      </c>
      <c r="H1215" t="s">
        <v>475</v>
      </c>
      <c r="I1215">
        <v>4508.2</v>
      </c>
    </row>
    <row r="1216" spans="1:9">
      <c r="A1216" s="90" t="s">
        <v>51</v>
      </c>
      <c r="B1216" s="87">
        <v>45842</v>
      </c>
      <c r="C1216" t="s">
        <v>511</v>
      </c>
      <c r="D1216" t="s">
        <v>512</v>
      </c>
      <c r="E1216" t="s">
        <v>778</v>
      </c>
      <c r="F1216" t="s">
        <v>474</v>
      </c>
      <c r="G1216" t="s">
        <v>470</v>
      </c>
      <c r="H1216" t="s">
        <v>475</v>
      </c>
      <c r="I1216">
        <v>3000</v>
      </c>
    </row>
    <row r="1217" spans="1:9">
      <c r="A1217" s="90" t="s">
        <v>51</v>
      </c>
      <c r="B1217" s="87">
        <v>45845</v>
      </c>
      <c r="C1217" t="s">
        <v>511</v>
      </c>
      <c r="D1217" t="s">
        <v>512</v>
      </c>
      <c r="E1217" t="s">
        <v>778</v>
      </c>
      <c r="F1217" t="s">
        <v>474</v>
      </c>
      <c r="G1217" t="s">
        <v>470</v>
      </c>
      <c r="H1217" t="s">
        <v>475</v>
      </c>
      <c r="I1217">
        <v>36512.53</v>
      </c>
    </row>
    <row r="1218" spans="1:9">
      <c r="A1218" s="90" t="s">
        <v>51</v>
      </c>
      <c r="B1218" s="87">
        <v>45846</v>
      </c>
      <c r="C1218" t="s">
        <v>511</v>
      </c>
      <c r="D1218" t="s">
        <v>512</v>
      </c>
      <c r="E1218" t="s">
        <v>778</v>
      </c>
      <c r="F1218" t="s">
        <v>474</v>
      </c>
      <c r="G1218" t="s">
        <v>470</v>
      </c>
      <c r="H1218" t="s">
        <v>475</v>
      </c>
      <c r="I1218">
        <v>93</v>
      </c>
    </row>
    <row r="1219" spans="1:9">
      <c r="A1219" s="90" t="s">
        <v>51</v>
      </c>
      <c r="B1219" s="87">
        <v>45848</v>
      </c>
      <c r="C1219" t="s">
        <v>511</v>
      </c>
      <c r="D1219" t="s">
        <v>512</v>
      </c>
      <c r="E1219" t="s">
        <v>778</v>
      </c>
      <c r="F1219" t="s">
        <v>474</v>
      </c>
      <c r="G1219" t="s">
        <v>470</v>
      </c>
      <c r="H1219" t="s">
        <v>475</v>
      </c>
      <c r="I1219">
        <v>2582.42</v>
      </c>
    </row>
    <row r="1220" spans="1:9">
      <c r="A1220" s="90" t="s">
        <v>51</v>
      </c>
      <c r="B1220" s="87">
        <v>45853</v>
      </c>
      <c r="C1220" t="s">
        <v>511</v>
      </c>
      <c r="D1220" t="s">
        <v>512</v>
      </c>
      <c r="E1220" t="s">
        <v>778</v>
      </c>
      <c r="F1220" t="s">
        <v>474</v>
      </c>
      <c r="G1220" t="s">
        <v>470</v>
      </c>
      <c r="H1220" t="s">
        <v>475</v>
      </c>
      <c r="I1220">
        <v>1733.62</v>
      </c>
    </row>
    <row r="1221" spans="1:9">
      <c r="A1221" s="90" t="s">
        <v>51</v>
      </c>
      <c r="B1221" s="87">
        <v>45854</v>
      </c>
      <c r="C1221" t="s">
        <v>511</v>
      </c>
      <c r="D1221" t="s">
        <v>512</v>
      </c>
      <c r="E1221" t="s">
        <v>778</v>
      </c>
      <c r="F1221" t="s">
        <v>474</v>
      </c>
      <c r="G1221" t="s">
        <v>470</v>
      </c>
      <c r="H1221" t="s">
        <v>475</v>
      </c>
      <c r="I1221">
        <v>62930</v>
      </c>
    </row>
    <row r="1222" spans="1:9">
      <c r="A1222" s="90" t="s">
        <v>51</v>
      </c>
      <c r="B1222" s="87">
        <v>45856</v>
      </c>
      <c r="C1222" t="s">
        <v>511</v>
      </c>
      <c r="D1222" t="s">
        <v>512</v>
      </c>
      <c r="E1222" t="s">
        <v>778</v>
      </c>
      <c r="F1222" t="s">
        <v>474</v>
      </c>
      <c r="G1222" t="s">
        <v>470</v>
      </c>
      <c r="H1222" t="s">
        <v>475</v>
      </c>
      <c r="I1222">
        <v>4489.17</v>
      </c>
    </row>
    <row r="1223" spans="1:9">
      <c r="A1223" s="90" t="s">
        <v>51</v>
      </c>
      <c r="B1223" s="87">
        <v>45861</v>
      </c>
      <c r="C1223" t="s">
        <v>511</v>
      </c>
      <c r="D1223" t="s">
        <v>512</v>
      </c>
      <c r="E1223" t="s">
        <v>778</v>
      </c>
      <c r="F1223" t="s">
        <v>474</v>
      </c>
      <c r="G1223" t="s">
        <v>470</v>
      </c>
      <c r="H1223" t="s">
        <v>475</v>
      </c>
      <c r="I1223">
        <v>1800000</v>
      </c>
    </row>
    <row r="1224" spans="1:9">
      <c r="A1224" s="90" t="s">
        <v>51</v>
      </c>
      <c r="B1224" s="87">
        <v>45861</v>
      </c>
      <c r="C1224" t="s">
        <v>511</v>
      </c>
      <c r="D1224" t="s">
        <v>512</v>
      </c>
      <c r="E1224" t="s">
        <v>778</v>
      </c>
      <c r="F1224" t="s">
        <v>474</v>
      </c>
      <c r="G1224" t="s">
        <v>470</v>
      </c>
      <c r="H1224" t="s">
        <v>475</v>
      </c>
      <c r="I1224">
        <v>452271.46</v>
      </c>
    </row>
    <row r="1225" spans="1:9">
      <c r="A1225" s="90" t="s">
        <v>51</v>
      </c>
      <c r="B1225" s="87">
        <v>45863</v>
      </c>
      <c r="C1225" t="s">
        <v>511</v>
      </c>
      <c r="D1225" t="s">
        <v>512</v>
      </c>
      <c r="E1225" t="s">
        <v>778</v>
      </c>
      <c r="F1225" t="s">
        <v>474</v>
      </c>
      <c r="G1225" t="s">
        <v>470</v>
      </c>
      <c r="H1225" t="s">
        <v>475</v>
      </c>
      <c r="I1225">
        <v>50000</v>
      </c>
    </row>
    <row r="1226" spans="1:9">
      <c r="A1226" s="90" t="s">
        <v>51</v>
      </c>
      <c r="B1226" s="87">
        <v>45866</v>
      </c>
      <c r="C1226" t="s">
        <v>511</v>
      </c>
      <c r="D1226" t="s">
        <v>512</v>
      </c>
      <c r="E1226" t="s">
        <v>778</v>
      </c>
      <c r="F1226" t="s">
        <v>474</v>
      </c>
      <c r="G1226" t="s">
        <v>470</v>
      </c>
      <c r="H1226" t="s">
        <v>475</v>
      </c>
      <c r="I1226">
        <v>187.56</v>
      </c>
    </row>
    <row r="1227" spans="1:9">
      <c r="A1227" s="90" t="s">
        <v>51</v>
      </c>
      <c r="B1227" s="87">
        <v>45868</v>
      </c>
      <c r="C1227" t="s">
        <v>511</v>
      </c>
      <c r="D1227" t="s">
        <v>512</v>
      </c>
      <c r="E1227" t="s">
        <v>778</v>
      </c>
      <c r="F1227" t="s">
        <v>474</v>
      </c>
      <c r="G1227" t="s">
        <v>470</v>
      </c>
      <c r="H1227" t="s">
        <v>475</v>
      </c>
      <c r="I1227">
        <v>122922.56</v>
      </c>
    </row>
    <row r="1228" spans="1:9">
      <c r="A1228" s="90" t="s">
        <v>51</v>
      </c>
      <c r="B1228" s="87">
        <v>45869</v>
      </c>
      <c r="C1228" t="s">
        <v>1748</v>
      </c>
      <c r="D1228" t="s">
        <v>785</v>
      </c>
      <c r="E1228" t="s">
        <v>778</v>
      </c>
      <c r="F1228" t="s">
        <v>529</v>
      </c>
      <c r="G1228" t="s">
        <v>470</v>
      </c>
      <c r="H1228" t="s">
        <v>475</v>
      </c>
      <c r="I1228">
        <v>22061.26</v>
      </c>
    </row>
    <row r="1229" spans="1:9">
      <c r="A1229" s="90" t="s">
        <v>51</v>
      </c>
      <c r="B1229" s="87">
        <v>45869</v>
      </c>
      <c r="C1229" t="s">
        <v>1749</v>
      </c>
      <c r="D1229" t="s">
        <v>785</v>
      </c>
      <c r="E1229" t="s">
        <v>778</v>
      </c>
      <c r="F1229" t="s">
        <v>529</v>
      </c>
      <c r="G1229" t="s">
        <v>470</v>
      </c>
      <c r="H1229" t="s">
        <v>475</v>
      </c>
      <c r="I1229">
        <v>50000</v>
      </c>
    </row>
    <row r="1230" spans="1:9">
      <c r="A1230" s="90" t="s">
        <v>51</v>
      </c>
      <c r="B1230" s="87">
        <v>45869</v>
      </c>
      <c r="C1230" t="s">
        <v>1750</v>
      </c>
      <c r="D1230" t="s">
        <v>785</v>
      </c>
      <c r="E1230" t="s">
        <v>778</v>
      </c>
      <c r="F1230" t="s">
        <v>529</v>
      </c>
      <c r="G1230" t="s">
        <v>470</v>
      </c>
      <c r="H1230" t="s">
        <v>475</v>
      </c>
      <c r="I1230">
        <v>116592.12</v>
      </c>
    </row>
    <row r="1231" spans="1:9">
      <c r="A1231" s="90" t="s">
        <v>51</v>
      </c>
      <c r="B1231" s="87">
        <v>45869</v>
      </c>
      <c r="C1231" t="s">
        <v>1751</v>
      </c>
      <c r="D1231" t="s">
        <v>785</v>
      </c>
      <c r="E1231" t="s">
        <v>778</v>
      </c>
      <c r="F1231" t="s">
        <v>529</v>
      </c>
      <c r="G1231" t="s">
        <v>470</v>
      </c>
      <c r="H1231" t="s">
        <v>475</v>
      </c>
      <c r="I1231">
        <v>6813.67</v>
      </c>
    </row>
    <row r="1232" spans="1:9">
      <c r="A1232" s="90" t="s">
        <v>51</v>
      </c>
      <c r="B1232" s="87">
        <v>45869</v>
      </c>
      <c r="C1232" t="s">
        <v>1752</v>
      </c>
      <c r="D1232" t="s">
        <v>785</v>
      </c>
      <c r="E1232" t="s">
        <v>160</v>
      </c>
      <c r="F1232" t="s">
        <v>529</v>
      </c>
      <c r="G1232" t="s">
        <v>470</v>
      </c>
      <c r="H1232" t="s">
        <v>475</v>
      </c>
      <c r="I1232">
        <v>50.07</v>
      </c>
    </row>
    <row r="1233" spans="1:9">
      <c r="A1233" s="90" t="s">
        <v>51</v>
      </c>
      <c r="B1233" s="87">
        <v>45869</v>
      </c>
      <c r="C1233" t="s">
        <v>1753</v>
      </c>
      <c r="D1233" t="s">
        <v>785</v>
      </c>
      <c r="E1233" t="s">
        <v>140</v>
      </c>
      <c r="F1233" t="s">
        <v>469</v>
      </c>
      <c r="G1233" t="s">
        <v>470</v>
      </c>
      <c r="H1233" t="s">
        <v>475</v>
      </c>
      <c r="I1233">
        <v>19831.509999999998</v>
      </c>
    </row>
    <row r="1234" spans="1:9">
      <c r="A1234" s="90" t="s">
        <v>51</v>
      </c>
      <c r="B1234" s="87">
        <v>45869</v>
      </c>
      <c r="C1234" t="s">
        <v>524</v>
      </c>
      <c r="D1234" t="s">
        <v>1324</v>
      </c>
      <c r="E1234" t="s">
        <v>778</v>
      </c>
      <c r="F1234" t="s">
        <v>525</v>
      </c>
      <c r="G1234" t="s">
        <v>470</v>
      </c>
      <c r="H1234" t="s">
        <v>516</v>
      </c>
      <c r="I1234">
        <v>40692.589999999997</v>
      </c>
    </row>
    <row r="1235" spans="1:9">
      <c r="A1235" s="90" t="s">
        <v>51</v>
      </c>
      <c r="B1235" s="87">
        <v>45869</v>
      </c>
      <c r="C1235" t="s">
        <v>1754</v>
      </c>
      <c r="D1235" t="s">
        <v>477</v>
      </c>
      <c r="E1235" t="s">
        <v>778</v>
      </c>
      <c r="F1235" t="s">
        <v>525</v>
      </c>
      <c r="G1235" t="s">
        <v>470</v>
      </c>
      <c r="H1235" t="s">
        <v>516</v>
      </c>
      <c r="I1235">
        <v>8772.8700000000008</v>
      </c>
    </row>
    <row r="1236" spans="1:9">
      <c r="A1236" s="90" t="s">
        <v>51</v>
      </c>
      <c r="B1236" s="87">
        <v>45869</v>
      </c>
      <c r="C1236" t="s">
        <v>524</v>
      </c>
      <c r="D1236" t="s">
        <v>477</v>
      </c>
      <c r="E1236" t="s">
        <v>778</v>
      </c>
      <c r="F1236" t="s">
        <v>525</v>
      </c>
      <c r="G1236" t="s">
        <v>470</v>
      </c>
      <c r="H1236" t="s">
        <v>516</v>
      </c>
      <c r="I1236">
        <v>26930.97</v>
      </c>
    </row>
    <row r="1237" spans="1:9">
      <c r="A1237" s="90" t="s">
        <v>51</v>
      </c>
      <c r="B1237" s="87">
        <v>45869</v>
      </c>
      <c r="C1237" t="s">
        <v>511</v>
      </c>
      <c r="D1237" t="s">
        <v>512</v>
      </c>
      <c r="E1237" t="s">
        <v>778</v>
      </c>
      <c r="F1237" t="s">
        <v>474</v>
      </c>
      <c r="G1237" t="s">
        <v>470</v>
      </c>
      <c r="H1237" t="s">
        <v>475</v>
      </c>
      <c r="I1237">
        <v>170676.42</v>
      </c>
    </row>
    <row r="1238" spans="1:9">
      <c r="A1238" s="90" t="s">
        <v>51</v>
      </c>
      <c r="B1238" s="87">
        <v>45870</v>
      </c>
      <c r="C1238" t="s">
        <v>511</v>
      </c>
      <c r="D1238" t="s">
        <v>512</v>
      </c>
      <c r="E1238" t="s">
        <v>788</v>
      </c>
      <c r="F1238" t="s">
        <v>474</v>
      </c>
      <c r="G1238" t="s">
        <v>470</v>
      </c>
      <c r="H1238" t="s">
        <v>475</v>
      </c>
      <c r="I1238">
        <v>1492.71</v>
      </c>
    </row>
    <row r="1239" spans="1:9">
      <c r="A1239" s="90" t="s">
        <v>51</v>
      </c>
      <c r="B1239" s="87">
        <v>45874</v>
      </c>
      <c r="C1239" t="s">
        <v>511</v>
      </c>
      <c r="D1239" t="s">
        <v>512</v>
      </c>
      <c r="E1239" t="s">
        <v>788</v>
      </c>
      <c r="F1239" t="s">
        <v>474</v>
      </c>
      <c r="G1239" t="s">
        <v>470</v>
      </c>
      <c r="H1239" t="s">
        <v>475</v>
      </c>
      <c r="I1239">
        <v>975.46</v>
      </c>
    </row>
    <row r="1240" spans="1:9">
      <c r="A1240" s="90" t="s">
        <v>51</v>
      </c>
      <c r="B1240" s="87">
        <v>45877</v>
      </c>
      <c r="C1240" t="s">
        <v>511</v>
      </c>
      <c r="D1240" t="s">
        <v>512</v>
      </c>
      <c r="E1240" t="s">
        <v>788</v>
      </c>
      <c r="F1240" t="s">
        <v>474</v>
      </c>
      <c r="G1240" t="s">
        <v>470</v>
      </c>
      <c r="H1240" t="s">
        <v>475</v>
      </c>
      <c r="I1240">
        <v>69821.279999999999</v>
      </c>
    </row>
    <row r="1241" spans="1:9">
      <c r="A1241" s="90" t="s">
        <v>51</v>
      </c>
      <c r="B1241" s="87">
        <v>45877</v>
      </c>
      <c r="C1241" t="s">
        <v>511</v>
      </c>
      <c r="D1241" t="s">
        <v>512</v>
      </c>
      <c r="E1241" t="s">
        <v>788</v>
      </c>
      <c r="F1241" t="s">
        <v>474</v>
      </c>
      <c r="G1241" t="s">
        <v>470</v>
      </c>
      <c r="H1241" t="s">
        <v>475</v>
      </c>
      <c r="I1241">
        <v>615</v>
      </c>
    </row>
    <row r="1242" spans="1:9">
      <c r="A1242" s="90" t="s">
        <v>51</v>
      </c>
      <c r="B1242" s="87">
        <v>45880</v>
      </c>
      <c r="C1242" t="s">
        <v>511</v>
      </c>
      <c r="D1242" t="s">
        <v>512</v>
      </c>
      <c r="E1242" t="s">
        <v>788</v>
      </c>
      <c r="F1242" t="s">
        <v>474</v>
      </c>
      <c r="G1242" t="s">
        <v>470</v>
      </c>
      <c r="H1242" t="s">
        <v>475</v>
      </c>
      <c r="I1242">
        <v>3969.45</v>
      </c>
    </row>
    <row r="1243" spans="1:9">
      <c r="A1243" s="90" t="s">
        <v>51</v>
      </c>
      <c r="B1243" s="87">
        <v>45882</v>
      </c>
      <c r="C1243" t="s">
        <v>511</v>
      </c>
      <c r="D1243" t="s">
        <v>512</v>
      </c>
      <c r="E1243" t="s">
        <v>788</v>
      </c>
      <c r="F1243" t="s">
        <v>474</v>
      </c>
      <c r="G1243" t="s">
        <v>470</v>
      </c>
      <c r="H1243" t="s">
        <v>475</v>
      </c>
      <c r="I1243">
        <v>6000</v>
      </c>
    </row>
    <row r="1244" spans="1:9">
      <c r="A1244" s="90" t="s">
        <v>51</v>
      </c>
      <c r="B1244" s="87">
        <v>45884</v>
      </c>
      <c r="C1244" t="s">
        <v>511</v>
      </c>
      <c r="D1244" t="s">
        <v>512</v>
      </c>
      <c r="E1244" t="s">
        <v>788</v>
      </c>
      <c r="F1244" t="s">
        <v>474</v>
      </c>
      <c r="G1244" t="s">
        <v>470</v>
      </c>
      <c r="H1244" t="s">
        <v>475</v>
      </c>
      <c r="I1244">
        <v>86.19</v>
      </c>
    </row>
    <row r="1245" spans="1:9">
      <c r="A1245" s="90" t="s">
        <v>51</v>
      </c>
      <c r="B1245" s="87">
        <v>45887</v>
      </c>
      <c r="C1245" t="s">
        <v>511</v>
      </c>
      <c r="D1245" t="s">
        <v>512</v>
      </c>
      <c r="E1245" t="s">
        <v>788</v>
      </c>
      <c r="F1245" t="s">
        <v>474</v>
      </c>
      <c r="G1245" t="s">
        <v>470</v>
      </c>
      <c r="H1245" t="s">
        <v>475</v>
      </c>
      <c r="I1245">
        <v>60000</v>
      </c>
    </row>
    <row r="1246" spans="1:9">
      <c r="A1246" s="90" t="s">
        <v>51</v>
      </c>
      <c r="B1246" s="87">
        <v>45887</v>
      </c>
      <c r="C1246" t="s">
        <v>517</v>
      </c>
      <c r="D1246" t="s">
        <v>512</v>
      </c>
      <c r="E1246" t="s">
        <v>788</v>
      </c>
      <c r="F1246" t="s">
        <v>474</v>
      </c>
      <c r="G1246" t="s">
        <v>470</v>
      </c>
      <c r="H1246" t="s">
        <v>475</v>
      </c>
      <c r="I1246">
        <v>622.32000000000005</v>
      </c>
    </row>
    <row r="1247" spans="1:9">
      <c r="A1247" s="90" t="s">
        <v>51</v>
      </c>
      <c r="B1247" s="87">
        <v>45889</v>
      </c>
      <c r="C1247" t="s">
        <v>1755</v>
      </c>
      <c r="D1247" t="s">
        <v>1756</v>
      </c>
      <c r="E1247" t="s">
        <v>788</v>
      </c>
      <c r="F1247" t="s">
        <v>469</v>
      </c>
      <c r="G1247" t="s">
        <v>470</v>
      </c>
      <c r="H1247" t="s">
        <v>801</v>
      </c>
      <c r="I1247">
        <v>7050.11</v>
      </c>
    </row>
    <row r="1248" spans="1:9">
      <c r="A1248" s="90" t="s">
        <v>51</v>
      </c>
      <c r="B1248" s="87">
        <v>45889</v>
      </c>
      <c r="C1248" t="s">
        <v>517</v>
      </c>
      <c r="D1248" t="s">
        <v>512</v>
      </c>
      <c r="E1248" t="s">
        <v>788</v>
      </c>
      <c r="F1248" t="s">
        <v>474</v>
      </c>
      <c r="G1248" t="s">
        <v>470</v>
      </c>
      <c r="H1248" t="s">
        <v>475</v>
      </c>
      <c r="I1248">
        <v>6244.11</v>
      </c>
    </row>
    <row r="1249" spans="1:9">
      <c r="A1249" s="90" t="s">
        <v>51</v>
      </c>
      <c r="B1249" s="87">
        <v>45895</v>
      </c>
      <c r="C1249" t="s">
        <v>511</v>
      </c>
      <c r="D1249" t="s">
        <v>512</v>
      </c>
      <c r="E1249" t="s">
        <v>788</v>
      </c>
      <c r="F1249" t="s">
        <v>474</v>
      </c>
      <c r="G1249" t="s">
        <v>470</v>
      </c>
      <c r="H1249" t="s">
        <v>475</v>
      </c>
      <c r="I1249">
        <v>94.37</v>
      </c>
    </row>
    <row r="1250" spans="1:9">
      <c r="A1250" s="90" t="s">
        <v>51</v>
      </c>
      <c r="B1250" s="87">
        <v>45896</v>
      </c>
      <c r="C1250" t="s">
        <v>511</v>
      </c>
      <c r="D1250" t="s">
        <v>512</v>
      </c>
      <c r="E1250" t="s">
        <v>788</v>
      </c>
      <c r="F1250" t="s">
        <v>474</v>
      </c>
      <c r="G1250" t="s">
        <v>470</v>
      </c>
      <c r="H1250" t="s">
        <v>475</v>
      </c>
      <c r="I1250">
        <v>6772.45</v>
      </c>
    </row>
    <row r="1251" spans="1:9">
      <c r="A1251" s="90" t="s">
        <v>51</v>
      </c>
      <c r="B1251" s="87">
        <v>45896</v>
      </c>
      <c r="C1251" t="s">
        <v>511</v>
      </c>
      <c r="D1251" t="s">
        <v>512</v>
      </c>
      <c r="E1251" t="s">
        <v>788</v>
      </c>
      <c r="F1251" t="s">
        <v>474</v>
      </c>
      <c r="G1251" t="s">
        <v>470</v>
      </c>
      <c r="H1251" t="s">
        <v>475</v>
      </c>
      <c r="I1251">
        <v>727.55</v>
      </c>
    </row>
    <row r="1252" spans="1:9">
      <c r="A1252" s="90" t="s">
        <v>51</v>
      </c>
      <c r="B1252" s="87">
        <v>45897</v>
      </c>
      <c r="C1252" t="s">
        <v>511</v>
      </c>
      <c r="D1252" t="s">
        <v>512</v>
      </c>
      <c r="E1252" t="s">
        <v>788</v>
      </c>
      <c r="F1252" t="s">
        <v>474</v>
      </c>
      <c r="G1252" t="s">
        <v>470</v>
      </c>
      <c r="H1252" t="s">
        <v>475</v>
      </c>
      <c r="I1252">
        <v>20485</v>
      </c>
    </row>
    <row r="1253" spans="1:9">
      <c r="A1253" s="90" t="s">
        <v>51</v>
      </c>
      <c r="B1253" s="87">
        <v>45898</v>
      </c>
      <c r="C1253" t="s">
        <v>511</v>
      </c>
      <c r="D1253" t="s">
        <v>512</v>
      </c>
      <c r="E1253" t="s">
        <v>788</v>
      </c>
      <c r="F1253" t="s">
        <v>474</v>
      </c>
      <c r="G1253" t="s">
        <v>470</v>
      </c>
      <c r="H1253" t="s">
        <v>475</v>
      </c>
      <c r="I1253">
        <v>28000</v>
      </c>
    </row>
    <row r="1254" spans="1:9">
      <c r="A1254" s="90" t="s">
        <v>51</v>
      </c>
      <c r="B1254" s="87">
        <v>45898</v>
      </c>
      <c r="C1254" t="s">
        <v>511</v>
      </c>
      <c r="D1254" t="s">
        <v>512</v>
      </c>
      <c r="E1254" t="s">
        <v>788</v>
      </c>
      <c r="F1254" t="s">
        <v>474</v>
      </c>
      <c r="G1254" t="s">
        <v>470</v>
      </c>
      <c r="H1254" t="s">
        <v>475</v>
      </c>
      <c r="I1254">
        <v>175000</v>
      </c>
    </row>
    <row r="1255" spans="1:9">
      <c r="A1255" s="90" t="s">
        <v>51</v>
      </c>
      <c r="B1255" s="87">
        <v>45898</v>
      </c>
      <c r="C1255" t="s">
        <v>517</v>
      </c>
      <c r="D1255" t="s">
        <v>512</v>
      </c>
      <c r="E1255" t="s">
        <v>788</v>
      </c>
      <c r="F1255" t="s">
        <v>474</v>
      </c>
      <c r="G1255" t="s">
        <v>470</v>
      </c>
      <c r="H1255" t="s">
        <v>475</v>
      </c>
      <c r="I1255">
        <v>2487.1</v>
      </c>
    </row>
    <row r="1256" spans="1:9">
      <c r="A1256" s="90" t="s">
        <v>51</v>
      </c>
      <c r="B1256" s="87">
        <v>45898</v>
      </c>
      <c r="C1256" t="s">
        <v>1092</v>
      </c>
      <c r="D1256" t="s">
        <v>1324</v>
      </c>
      <c r="E1256" t="s">
        <v>788</v>
      </c>
      <c r="F1256" t="s">
        <v>525</v>
      </c>
      <c r="G1256" t="s">
        <v>470</v>
      </c>
      <c r="H1256" t="s">
        <v>516</v>
      </c>
      <c r="I1256">
        <v>36945.47</v>
      </c>
    </row>
    <row r="1257" spans="1:9">
      <c r="A1257" s="90" t="s">
        <v>51</v>
      </c>
      <c r="B1257" s="87">
        <v>45898</v>
      </c>
      <c r="C1257" t="s">
        <v>524</v>
      </c>
      <c r="D1257" t="s">
        <v>477</v>
      </c>
      <c r="E1257" t="s">
        <v>788</v>
      </c>
      <c r="F1257" t="s">
        <v>525</v>
      </c>
      <c r="G1257" t="s">
        <v>470</v>
      </c>
      <c r="H1257" t="s">
        <v>516</v>
      </c>
      <c r="I1257">
        <v>92.42</v>
      </c>
    </row>
    <row r="1258" spans="1:9">
      <c r="A1258" s="90" t="s">
        <v>51</v>
      </c>
      <c r="B1258" s="87">
        <v>45898</v>
      </c>
      <c r="C1258" t="s">
        <v>524</v>
      </c>
      <c r="D1258" t="s">
        <v>477</v>
      </c>
      <c r="E1258" t="s">
        <v>788</v>
      </c>
      <c r="F1258" t="s">
        <v>525</v>
      </c>
      <c r="G1258" t="s">
        <v>470</v>
      </c>
      <c r="H1258" t="s">
        <v>516</v>
      </c>
      <c r="I1258">
        <v>8101.8</v>
      </c>
    </row>
    <row r="1259" spans="1:9">
      <c r="A1259" s="90" t="s">
        <v>51</v>
      </c>
      <c r="B1259" s="87">
        <v>45898</v>
      </c>
      <c r="C1259" t="s">
        <v>524</v>
      </c>
      <c r="D1259" t="s">
        <v>477</v>
      </c>
      <c r="E1259" t="s">
        <v>788</v>
      </c>
      <c r="F1259" t="s">
        <v>525</v>
      </c>
      <c r="G1259" t="s">
        <v>470</v>
      </c>
      <c r="H1259" t="s">
        <v>516</v>
      </c>
      <c r="I1259">
        <v>0.13</v>
      </c>
    </row>
    <row r="1260" spans="1:9">
      <c r="A1260" s="90" t="s">
        <v>51</v>
      </c>
      <c r="B1260" s="87">
        <v>45901</v>
      </c>
      <c r="C1260" t="s">
        <v>511</v>
      </c>
      <c r="D1260" t="s">
        <v>512</v>
      </c>
      <c r="E1260" t="s">
        <v>802</v>
      </c>
      <c r="F1260" t="s">
        <v>474</v>
      </c>
      <c r="G1260" t="s">
        <v>470</v>
      </c>
      <c r="H1260" t="s">
        <v>475</v>
      </c>
      <c r="I1260">
        <v>648.59</v>
      </c>
    </row>
    <row r="1261" spans="1:9">
      <c r="A1261" s="90" t="s">
        <v>51</v>
      </c>
      <c r="B1261" s="87">
        <v>45902</v>
      </c>
      <c r="C1261" t="s">
        <v>1757</v>
      </c>
      <c r="D1261" t="s">
        <v>1758</v>
      </c>
      <c r="E1261" t="s">
        <v>1759</v>
      </c>
      <c r="F1261" t="s">
        <v>490</v>
      </c>
      <c r="G1261" t="s">
        <v>470</v>
      </c>
      <c r="H1261" t="s">
        <v>796</v>
      </c>
      <c r="I1261">
        <v>25305</v>
      </c>
    </row>
    <row r="1262" spans="1:9">
      <c r="A1262" s="90" t="s">
        <v>51</v>
      </c>
      <c r="B1262" s="87">
        <v>45902</v>
      </c>
      <c r="C1262" t="s">
        <v>517</v>
      </c>
      <c r="D1262" t="s">
        <v>512</v>
      </c>
      <c r="E1262" t="s">
        <v>802</v>
      </c>
      <c r="F1262" t="s">
        <v>474</v>
      </c>
      <c r="G1262" t="s">
        <v>470</v>
      </c>
      <c r="H1262" t="s">
        <v>475</v>
      </c>
      <c r="I1262">
        <v>25305</v>
      </c>
    </row>
    <row r="1263" spans="1:9">
      <c r="A1263" s="90" t="s">
        <v>51</v>
      </c>
      <c r="B1263" s="87">
        <v>45903</v>
      </c>
      <c r="C1263" t="s">
        <v>511</v>
      </c>
      <c r="D1263" t="s">
        <v>512</v>
      </c>
      <c r="E1263" t="s">
        <v>802</v>
      </c>
      <c r="F1263" t="s">
        <v>474</v>
      </c>
      <c r="G1263" t="s">
        <v>470</v>
      </c>
      <c r="H1263" t="s">
        <v>475</v>
      </c>
      <c r="I1263">
        <v>20000</v>
      </c>
    </row>
    <row r="1264" spans="1:9">
      <c r="A1264" s="90" t="s">
        <v>51</v>
      </c>
      <c r="B1264" s="87">
        <v>45903</v>
      </c>
      <c r="C1264" t="s">
        <v>511</v>
      </c>
      <c r="D1264" t="s">
        <v>512</v>
      </c>
      <c r="E1264" t="s">
        <v>802</v>
      </c>
      <c r="F1264" t="s">
        <v>474</v>
      </c>
      <c r="G1264" t="s">
        <v>470</v>
      </c>
      <c r="H1264" t="s">
        <v>475</v>
      </c>
      <c r="I1264">
        <v>16552.14</v>
      </c>
    </row>
    <row r="1265" spans="1:9">
      <c r="A1265" s="90" t="s">
        <v>51</v>
      </c>
      <c r="B1265" s="87">
        <v>45905</v>
      </c>
      <c r="C1265" t="s">
        <v>511</v>
      </c>
      <c r="D1265" t="s">
        <v>512</v>
      </c>
      <c r="E1265" t="s">
        <v>802</v>
      </c>
      <c r="F1265" t="s">
        <v>474</v>
      </c>
      <c r="G1265" t="s">
        <v>470</v>
      </c>
      <c r="H1265" t="s">
        <v>475</v>
      </c>
      <c r="I1265">
        <v>606.91</v>
      </c>
    </row>
    <row r="1266" spans="1:9">
      <c r="A1266" s="90" t="s">
        <v>51</v>
      </c>
      <c r="B1266" s="87">
        <v>45909</v>
      </c>
      <c r="C1266" t="s">
        <v>1760</v>
      </c>
      <c r="D1266" t="s">
        <v>1758</v>
      </c>
      <c r="E1266" t="s">
        <v>1761</v>
      </c>
      <c r="F1266" t="s">
        <v>490</v>
      </c>
      <c r="G1266" t="s">
        <v>470</v>
      </c>
      <c r="H1266" t="s">
        <v>796</v>
      </c>
      <c r="I1266">
        <v>23331</v>
      </c>
    </row>
    <row r="1267" spans="1:9">
      <c r="A1267" s="90" t="s">
        <v>51</v>
      </c>
      <c r="B1267" s="87">
        <v>45909</v>
      </c>
      <c r="C1267" t="s">
        <v>517</v>
      </c>
      <c r="D1267" t="s">
        <v>512</v>
      </c>
      <c r="E1267" t="s">
        <v>802</v>
      </c>
      <c r="F1267" t="s">
        <v>474</v>
      </c>
      <c r="G1267" t="s">
        <v>470</v>
      </c>
      <c r="H1267" t="s">
        <v>475</v>
      </c>
      <c r="I1267">
        <v>23131</v>
      </c>
    </row>
    <row r="1268" spans="1:9">
      <c r="A1268" s="90" t="s">
        <v>51</v>
      </c>
      <c r="B1268" s="87">
        <v>45910</v>
      </c>
      <c r="C1268" t="s">
        <v>1762</v>
      </c>
      <c r="D1268" t="s">
        <v>773</v>
      </c>
      <c r="E1268" t="s">
        <v>1763</v>
      </c>
      <c r="F1268" t="s">
        <v>490</v>
      </c>
      <c r="G1268" t="s">
        <v>470</v>
      </c>
      <c r="H1268" t="s">
        <v>475</v>
      </c>
      <c r="I1268">
        <v>64766.67</v>
      </c>
    </row>
    <row r="1269" spans="1:9">
      <c r="A1269" s="90" t="s">
        <v>51</v>
      </c>
      <c r="B1269" s="87">
        <v>45910</v>
      </c>
      <c r="C1269" t="s">
        <v>1764</v>
      </c>
      <c r="D1269" t="s">
        <v>773</v>
      </c>
      <c r="E1269" t="s">
        <v>1765</v>
      </c>
      <c r="F1269" t="s">
        <v>490</v>
      </c>
      <c r="G1269" t="s">
        <v>470</v>
      </c>
      <c r="H1269" t="s">
        <v>475</v>
      </c>
      <c r="I1269">
        <v>85300</v>
      </c>
    </row>
    <row r="1270" spans="1:9">
      <c r="A1270" s="90" t="s">
        <v>51</v>
      </c>
      <c r="B1270" s="87">
        <v>45910</v>
      </c>
      <c r="C1270" t="s">
        <v>511</v>
      </c>
      <c r="D1270" t="s">
        <v>512</v>
      </c>
      <c r="E1270" t="s">
        <v>802</v>
      </c>
      <c r="F1270" t="s">
        <v>474</v>
      </c>
      <c r="G1270" t="s">
        <v>470</v>
      </c>
      <c r="H1270" t="s">
        <v>475</v>
      </c>
      <c r="I1270">
        <v>330000</v>
      </c>
    </row>
    <row r="1271" spans="1:9">
      <c r="A1271" s="90" t="s">
        <v>51</v>
      </c>
      <c r="B1271" s="87">
        <v>45910</v>
      </c>
      <c r="C1271" t="s">
        <v>517</v>
      </c>
      <c r="D1271" t="s">
        <v>512</v>
      </c>
      <c r="E1271" t="s">
        <v>802</v>
      </c>
      <c r="F1271" t="s">
        <v>474</v>
      </c>
      <c r="G1271" t="s">
        <v>470</v>
      </c>
      <c r="H1271" t="s">
        <v>475</v>
      </c>
      <c r="I1271">
        <v>2901.55</v>
      </c>
    </row>
    <row r="1272" spans="1:9">
      <c r="A1272" s="90" t="s">
        <v>51</v>
      </c>
      <c r="B1272" s="87">
        <v>45911</v>
      </c>
      <c r="C1272" t="s">
        <v>511</v>
      </c>
      <c r="D1272" t="s">
        <v>512</v>
      </c>
      <c r="E1272" t="s">
        <v>802</v>
      </c>
      <c r="F1272" t="s">
        <v>474</v>
      </c>
      <c r="G1272" t="s">
        <v>470</v>
      </c>
      <c r="H1272" t="s">
        <v>475</v>
      </c>
      <c r="I1272">
        <v>1000</v>
      </c>
    </row>
    <row r="1273" spans="1:9">
      <c r="A1273" s="90" t="s">
        <v>51</v>
      </c>
      <c r="B1273" s="87">
        <v>45912</v>
      </c>
      <c r="C1273" t="s">
        <v>1322</v>
      </c>
      <c r="D1273" t="s">
        <v>512</v>
      </c>
      <c r="E1273" t="s">
        <v>802</v>
      </c>
      <c r="F1273" t="s">
        <v>474</v>
      </c>
      <c r="G1273" t="s">
        <v>470</v>
      </c>
      <c r="H1273" t="s">
        <v>475</v>
      </c>
      <c r="I1273">
        <v>1774.69</v>
      </c>
    </row>
    <row r="1274" spans="1:9">
      <c r="A1274" s="90" t="s">
        <v>51</v>
      </c>
      <c r="B1274" s="87">
        <v>45912</v>
      </c>
      <c r="C1274" t="s">
        <v>511</v>
      </c>
      <c r="D1274" t="s">
        <v>512</v>
      </c>
      <c r="E1274" t="s">
        <v>802</v>
      </c>
      <c r="F1274" t="s">
        <v>474</v>
      </c>
      <c r="G1274" t="s">
        <v>470</v>
      </c>
      <c r="H1274" t="s">
        <v>475</v>
      </c>
      <c r="I1274">
        <v>691000</v>
      </c>
    </row>
    <row r="1275" spans="1:9">
      <c r="A1275" s="90" t="s">
        <v>51</v>
      </c>
      <c r="B1275" s="87">
        <v>45912</v>
      </c>
      <c r="C1275" t="s">
        <v>517</v>
      </c>
      <c r="D1275" t="s">
        <v>512</v>
      </c>
      <c r="E1275" t="s">
        <v>802</v>
      </c>
      <c r="F1275" t="s">
        <v>474</v>
      </c>
      <c r="G1275" t="s">
        <v>470</v>
      </c>
      <c r="H1275" t="s">
        <v>475</v>
      </c>
      <c r="I1275">
        <v>192774.69</v>
      </c>
    </row>
    <row r="1276" spans="1:9">
      <c r="A1276" s="90" t="s">
        <v>51</v>
      </c>
      <c r="B1276" s="87">
        <v>45915</v>
      </c>
      <c r="C1276" t="s">
        <v>511</v>
      </c>
      <c r="D1276" t="s">
        <v>512</v>
      </c>
      <c r="E1276" t="s">
        <v>802</v>
      </c>
      <c r="F1276" t="s">
        <v>474</v>
      </c>
      <c r="G1276" t="s">
        <v>470</v>
      </c>
      <c r="H1276" t="s">
        <v>475</v>
      </c>
      <c r="I1276">
        <v>212.57</v>
      </c>
    </row>
    <row r="1277" spans="1:9">
      <c r="A1277" s="90" t="s">
        <v>51</v>
      </c>
      <c r="B1277" s="87">
        <v>45916</v>
      </c>
      <c r="C1277" t="s">
        <v>1766</v>
      </c>
      <c r="D1277" t="s">
        <v>1758</v>
      </c>
      <c r="E1277" t="s">
        <v>1767</v>
      </c>
      <c r="F1277" t="s">
        <v>490</v>
      </c>
      <c r="G1277" t="s">
        <v>470</v>
      </c>
      <c r="H1277" t="s">
        <v>796</v>
      </c>
      <c r="I1277">
        <v>22365</v>
      </c>
    </row>
    <row r="1278" spans="1:9">
      <c r="A1278" s="90" t="s">
        <v>51</v>
      </c>
      <c r="B1278" s="87">
        <v>45916</v>
      </c>
      <c r="C1278" t="s">
        <v>511</v>
      </c>
      <c r="D1278" t="s">
        <v>512</v>
      </c>
      <c r="E1278" t="s">
        <v>802</v>
      </c>
      <c r="F1278" t="s">
        <v>474</v>
      </c>
      <c r="G1278" t="s">
        <v>470</v>
      </c>
      <c r="H1278" t="s">
        <v>475</v>
      </c>
      <c r="I1278">
        <v>36268.25</v>
      </c>
    </row>
    <row r="1279" spans="1:9">
      <c r="A1279" s="90" t="s">
        <v>51</v>
      </c>
      <c r="B1279" s="87">
        <v>45919</v>
      </c>
      <c r="C1279" t="s">
        <v>511</v>
      </c>
      <c r="D1279" t="s">
        <v>512</v>
      </c>
      <c r="E1279" t="s">
        <v>802</v>
      </c>
      <c r="F1279" t="s">
        <v>474</v>
      </c>
      <c r="G1279" t="s">
        <v>470</v>
      </c>
      <c r="H1279" t="s">
        <v>475</v>
      </c>
      <c r="I1279">
        <v>806</v>
      </c>
    </row>
    <row r="1280" spans="1:9">
      <c r="A1280" s="90" t="s">
        <v>51</v>
      </c>
      <c r="B1280" s="87">
        <v>45922</v>
      </c>
      <c r="C1280" t="s">
        <v>511</v>
      </c>
      <c r="D1280" t="s">
        <v>512</v>
      </c>
      <c r="E1280" t="s">
        <v>802</v>
      </c>
      <c r="F1280" t="s">
        <v>474</v>
      </c>
      <c r="G1280" t="s">
        <v>470</v>
      </c>
      <c r="H1280" t="s">
        <v>475</v>
      </c>
      <c r="I1280">
        <v>4326.46</v>
      </c>
    </row>
    <row r="1281" spans="1:9">
      <c r="A1281" s="90" t="s">
        <v>51</v>
      </c>
      <c r="B1281" s="87">
        <v>45923</v>
      </c>
      <c r="C1281" t="s">
        <v>1768</v>
      </c>
      <c r="D1281" t="s">
        <v>773</v>
      </c>
      <c r="E1281" t="s">
        <v>1769</v>
      </c>
      <c r="F1281" t="s">
        <v>490</v>
      </c>
      <c r="G1281" t="s">
        <v>470</v>
      </c>
      <c r="H1281" t="s">
        <v>475</v>
      </c>
      <c r="I1281">
        <v>14733.33</v>
      </c>
    </row>
    <row r="1282" spans="1:9">
      <c r="A1282" s="90" t="s">
        <v>51</v>
      </c>
      <c r="B1282" s="87">
        <v>45923</v>
      </c>
      <c r="C1282" t="s">
        <v>1770</v>
      </c>
      <c r="D1282" t="s">
        <v>773</v>
      </c>
      <c r="E1282" t="s">
        <v>1771</v>
      </c>
      <c r="F1282" t="s">
        <v>490</v>
      </c>
      <c r="G1282" t="s">
        <v>470</v>
      </c>
      <c r="H1282" t="s">
        <v>475</v>
      </c>
      <c r="I1282">
        <v>87066.67</v>
      </c>
    </row>
    <row r="1283" spans="1:9">
      <c r="A1283" s="90" t="s">
        <v>51</v>
      </c>
      <c r="B1283" s="87">
        <v>45923</v>
      </c>
      <c r="C1283" t="s">
        <v>1772</v>
      </c>
      <c r="D1283" t="s">
        <v>773</v>
      </c>
      <c r="E1283" t="s">
        <v>1773</v>
      </c>
      <c r="F1283" t="s">
        <v>490</v>
      </c>
      <c r="G1283" t="s">
        <v>470</v>
      </c>
      <c r="H1283" t="s">
        <v>475</v>
      </c>
      <c r="I1283">
        <v>83500</v>
      </c>
    </row>
    <row r="1284" spans="1:9">
      <c r="A1284" s="90" t="s">
        <v>51</v>
      </c>
      <c r="B1284" s="87">
        <v>45923</v>
      </c>
      <c r="C1284" t="s">
        <v>1774</v>
      </c>
      <c r="D1284" t="s">
        <v>773</v>
      </c>
      <c r="E1284" t="s">
        <v>1775</v>
      </c>
      <c r="F1284" t="s">
        <v>490</v>
      </c>
      <c r="G1284" t="s">
        <v>470</v>
      </c>
      <c r="H1284" t="s">
        <v>475</v>
      </c>
      <c r="I1284">
        <v>82433.33</v>
      </c>
    </row>
    <row r="1285" spans="1:9">
      <c r="A1285" s="90" t="s">
        <v>51</v>
      </c>
      <c r="B1285" s="87">
        <v>45923</v>
      </c>
      <c r="C1285" t="s">
        <v>1776</v>
      </c>
      <c r="D1285" t="s">
        <v>773</v>
      </c>
      <c r="E1285" t="s">
        <v>1777</v>
      </c>
      <c r="F1285" t="s">
        <v>490</v>
      </c>
      <c r="G1285" t="s">
        <v>470</v>
      </c>
      <c r="H1285" t="s">
        <v>475</v>
      </c>
      <c r="I1285">
        <v>89200</v>
      </c>
    </row>
    <row r="1286" spans="1:9">
      <c r="A1286" s="90" t="s">
        <v>51</v>
      </c>
      <c r="B1286" s="87">
        <v>45923</v>
      </c>
      <c r="C1286" t="s">
        <v>1778</v>
      </c>
      <c r="D1286" t="s">
        <v>773</v>
      </c>
      <c r="E1286" t="s">
        <v>1779</v>
      </c>
      <c r="F1286" t="s">
        <v>490</v>
      </c>
      <c r="G1286" t="s">
        <v>470</v>
      </c>
      <c r="H1286" t="s">
        <v>475</v>
      </c>
      <c r="I1286">
        <v>82750</v>
      </c>
    </row>
    <row r="1287" spans="1:9">
      <c r="A1287" s="90" t="s">
        <v>51</v>
      </c>
      <c r="B1287" s="87">
        <v>45923</v>
      </c>
      <c r="C1287" t="s">
        <v>1780</v>
      </c>
      <c r="D1287" t="s">
        <v>773</v>
      </c>
      <c r="E1287" t="s">
        <v>1781</v>
      </c>
      <c r="F1287" t="s">
        <v>490</v>
      </c>
      <c r="G1287" t="s">
        <v>470</v>
      </c>
      <c r="H1287" t="s">
        <v>475</v>
      </c>
      <c r="I1287">
        <v>51066.67</v>
      </c>
    </row>
    <row r="1288" spans="1:9">
      <c r="A1288" s="90" t="s">
        <v>51</v>
      </c>
      <c r="B1288" s="87">
        <v>45923</v>
      </c>
      <c r="C1288" t="s">
        <v>1782</v>
      </c>
      <c r="D1288" t="s">
        <v>773</v>
      </c>
      <c r="E1288" t="s">
        <v>1783</v>
      </c>
      <c r="F1288" t="s">
        <v>490</v>
      </c>
      <c r="G1288" t="s">
        <v>470</v>
      </c>
      <c r="H1288" t="s">
        <v>475</v>
      </c>
      <c r="I1288">
        <v>60210</v>
      </c>
    </row>
    <row r="1289" spans="1:9">
      <c r="A1289" s="90" t="s">
        <v>51</v>
      </c>
      <c r="B1289" s="87">
        <v>45923</v>
      </c>
      <c r="C1289" t="s">
        <v>1784</v>
      </c>
      <c r="D1289" t="s">
        <v>773</v>
      </c>
      <c r="E1289" t="s">
        <v>1785</v>
      </c>
      <c r="F1289" t="s">
        <v>490</v>
      </c>
      <c r="G1289" t="s">
        <v>470</v>
      </c>
      <c r="H1289" t="s">
        <v>475</v>
      </c>
      <c r="I1289">
        <v>76500</v>
      </c>
    </row>
    <row r="1290" spans="1:9">
      <c r="A1290" s="90" t="s">
        <v>51</v>
      </c>
      <c r="B1290" s="87">
        <v>45923</v>
      </c>
      <c r="C1290" t="s">
        <v>1786</v>
      </c>
      <c r="D1290" t="s">
        <v>773</v>
      </c>
      <c r="E1290" t="s">
        <v>1787</v>
      </c>
      <c r="F1290" t="s">
        <v>490</v>
      </c>
      <c r="G1290" t="s">
        <v>470</v>
      </c>
      <c r="H1290" t="s">
        <v>475</v>
      </c>
      <c r="I1290">
        <v>75510</v>
      </c>
    </row>
    <row r="1291" spans="1:9">
      <c r="A1291" s="90" t="s">
        <v>51</v>
      </c>
      <c r="B1291" s="87">
        <v>45923</v>
      </c>
      <c r="C1291" t="s">
        <v>1788</v>
      </c>
      <c r="D1291" t="s">
        <v>773</v>
      </c>
      <c r="E1291" t="s">
        <v>1789</v>
      </c>
      <c r="F1291" t="s">
        <v>490</v>
      </c>
      <c r="G1291" t="s">
        <v>470</v>
      </c>
      <c r="H1291" t="s">
        <v>475</v>
      </c>
      <c r="I1291">
        <v>34320</v>
      </c>
    </row>
    <row r="1292" spans="1:9">
      <c r="A1292" s="90" t="s">
        <v>51</v>
      </c>
      <c r="B1292" s="87">
        <v>45923</v>
      </c>
      <c r="C1292" t="s">
        <v>1762</v>
      </c>
      <c r="D1292" t="s">
        <v>773</v>
      </c>
      <c r="E1292" t="s">
        <v>1763</v>
      </c>
      <c r="F1292" t="s">
        <v>490</v>
      </c>
      <c r="G1292" t="s">
        <v>470</v>
      </c>
      <c r="H1292" t="s">
        <v>475</v>
      </c>
      <c r="I1292">
        <v>32383.33</v>
      </c>
    </row>
    <row r="1293" spans="1:9">
      <c r="A1293" s="90" t="s">
        <v>51</v>
      </c>
      <c r="B1293" s="87">
        <v>45923</v>
      </c>
      <c r="C1293" t="s">
        <v>1764</v>
      </c>
      <c r="D1293" t="s">
        <v>773</v>
      </c>
      <c r="E1293" t="s">
        <v>1765</v>
      </c>
      <c r="F1293" t="s">
        <v>490</v>
      </c>
      <c r="G1293" t="s">
        <v>470</v>
      </c>
      <c r="H1293" t="s">
        <v>475</v>
      </c>
      <c r="I1293">
        <v>42650</v>
      </c>
    </row>
    <row r="1294" spans="1:9">
      <c r="A1294" s="90" t="s">
        <v>51</v>
      </c>
      <c r="B1294" s="87">
        <v>45923</v>
      </c>
      <c r="C1294" t="s">
        <v>1768</v>
      </c>
      <c r="D1294" t="s">
        <v>773</v>
      </c>
      <c r="E1294" t="s">
        <v>1769</v>
      </c>
      <c r="F1294" t="s">
        <v>490</v>
      </c>
      <c r="G1294" t="s">
        <v>470</v>
      </c>
      <c r="H1294" t="s">
        <v>475</v>
      </c>
      <c r="I1294">
        <v>7366.67</v>
      </c>
    </row>
    <row r="1295" spans="1:9">
      <c r="A1295" s="90" t="s">
        <v>51</v>
      </c>
      <c r="B1295" s="87">
        <v>45923</v>
      </c>
      <c r="C1295" t="s">
        <v>1770</v>
      </c>
      <c r="D1295" t="s">
        <v>773</v>
      </c>
      <c r="E1295" t="s">
        <v>1771</v>
      </c>
      <c r="F1295" t="s">
        <v>490</v>
      </c>
      <c r="G1295" t="s">
        <v>470</v>
      </c>
      <c r="H1295" t="s">
        <v>475</v>
      </c>
      <c r="I1295">
        <v>43533.33</v>
      </c>
    </row>
    <row r="1296" spans="1:9">
      <c r="A1296" s="90" t="s">
        <v>51</v>
      </c>
      <c r="B1296" s="87">
        <v>45923</v>
      </c>
      <c r="C1296" t="s">
        <v>1772</v>
      </c>
      <c r="D1296" t="s">
        <v>773</v>
      </c>
      <c r="E1296" t="s">
        <v>1773</v>
      </c>
      <c r="F1296" t="s">
        <v>490</v>
      </c>
      <c r="G1296" t="s">
        <v>470</v>
      </c>
      <c r="H1296" t="s">
        <v>475</v>
      </c>
      <c r="I1296">
        <v>41750</v>
      </c>
    </row>
    <row r="1297" spans="1:9">
      <c r="A1297" s="90" t="s">
        <v>51</v>
      </c>
      <c r="B1297" s="87">
        <v>45923</v>
      </c>
      <c r="C1297" t="s">
        <v>1774</v>
      </c>
      <c r="D1297" t="s">
        <v>773</v>
      </c>
      <c r="E1297" t="s">
        <v>1775</v>
      </c>
      <c r="F1297" t="s">
        <v>490</v>
      </c>
      <c r="G1297" t="s">
        <v>470</v>
      </c>
      <c r="H1297" t="s">
        <v>475</v>
      </c>
      <c r="I1297">
        <v>41216.67</v>
      </c>
    </row>
    <row r="1298" spans="1:9">
      <c r="A1298" s="90" t="s">
        <v>51</v>
      </c>
      <c r="B1298" s="87">
        <v>45923</v>
      </c>
      <c r="C1298" t="s">
        <v>1776</v>
      </c>
      <c r="D1298" t="s">
        <v>773</v>
      </c>
      <c r="E1298" t="s">
        <v>1777</v>
      </c>
      <c r="F1298" t="s">
        <v>490</v>
      </c>
      <c r="G1298" t="s">
        <v>470</v>
      </c>
      <c r="H1298" t="s">
        <v>475</v>
      </c>
      <c r="I1298">
        <v>44600</v>
      </c>
    </row>
    <row r="1299" spans="1:9">
      <c r="A1299" s="90" t="s">
        <v>51</v>
      </c>
      <c r="B1299" s="87">
        <v>45923</v>
      </c>
      <c r="C1299" t="s">
        <v>1778</v>
      </c>
      <c r="D1299" t="s">
        <v>773</v>
      </c>
      <c r="E1299" t="s">
        <v>1779</v>
      </c>
      <c r="F1299" t="s">
        <v>490</v>
      </c>
      <c r="G1299" t="s">
        <v>470</v>
      </c>
      <c r="H1299" t="s">
        <v>475</v>
      </c>
      <c r="I1299">
        <v>41375</v>
      </c>
    </row>
    <row r="1300" spans="1:9">
      <c r="A1300" s="90" t="s">
        <v>51</v>
      </c>
      <c r="B1300" s="87">
        <v>45923</v>
      </c>
      <c r="C1300" t="s">
        <v>1780</v>
      </c>
      <c r="D1300" t="s">
        <v>773</v>
      </c>
      <c r="E1300" t="s">
        <v>1781</v>
      </c>
      <c r="F1300" t="s">
        <v>490</v>
      </c>
      <c r="G1300" t="s">
        <v>470</v>
      </c>
      <c r="H1300" t="s">
        <v>475</v>
      </c>
      <c r="I1300">
        <v>25533.33</v>
      </c>
    </row>
    <row r="1301" spans="1:9">
      <c r="A1301" s="90" t="s">
        <v>51</v>
      </c>
      <c r="B1301" s="87">
        <v>45923</v>
      </c>
      <c r="C1301" t="s">
        <v>1782</v>
      </c>
      <c r="D1301" t="s">
        <v>773</v>
      </c>
      <c r="E1301" t="s">
        <v>1783</v>
      </c>
      <c r="F1301" t="s">
        <v>490</v>
      </c>
      <c r="G1301" t="s">
        <v>470</v>
      </c>
      <c r="H1301" t="s">
        <v>475</v>
      </c>
      <c r="I1301">
        <v>40140</v>
      </c>
    </row>
    <row r="1302" spans="1:9">
      <c r="A1302" s="90" t="s">
        <v>51</v>
      </c>
      <c r="B1302" s="87">
        <v>45923</v>
      </c>
      <c r="C1302" t="s">
        <v>1784</v>
      </c>
      <c r="D1302" t="s">
        <v>773</v>
      </c>
      <c r="E1302" t="s">
        <v>1785</v>
      </c>
      <c r="F1302" t="s">
        <v>490</v>
      </c>
      <c r="G1302" t="s">
        <v>470</v>
      </c>
      <c r="H1302" t="s">
        <v>475</v>
      </c>
      <c r="I1302">
        <v>51000</v>
      </c>
    </row>
    <row r="1303" spans="1:9">
      <c r="A1303" s="90" t="s">
        <v>51</v>
      </c>
      <c r="B1303" s="87">
        <v>45923</v>
      </c>
      <c r="C1303" t="s">
        <v>1786</v>
      </c>
      <c r="D1303" t="s">
        <v>773</v>
      </c>
      <c r="E1303" t="s">
        <v>1787</v>
      </c>
      <c r="F1303" t="s">
        <v>490</v>
      </c>
      <c r="G1303" t="s">
        <v>470</v>
      </c>
      <c r="H1303" t="s">
        <v>475</v>
      </c>
      <c r="I1303">
        <v>50340</v>
      </c>
    </row>
    <row r="1304" spans="1:9">
      <c r="A1304" s="90" t="s">
        <v>51</v>
      </c>
      <c r="B1304" s="87">
        <v>45923</v>
      </c>
      <c r="C1304" t="s">
        <v>1788</v>
      </c>
      <c r="D1304" t="s">
        <v>773</v>
      </c>
      <c r="E1304" t="s">
        <v>1789</v>
      </c>
      <c r="F1304" t="s">
        <v>490</v>
      </c>
      <c r="G1304" t="s">
        <v>470</v>
      </c>
      <c r="H1304" t="s">
        <v>475</v>
      </c>
      <c r="I1304">
        <v>22880</v>
      </c>
    </row>
    <row r="1305" spans="1:9">
      <c r="A1305" s="90" t="s">
        <v>51</v>
      </c>
      <c r="B1305" s="87">
        <v>45923</v>
      </c>
      <c r="C1305" t="s">
        <v>517</v>
      </c>
      <c r="D1305" t="s">
        <v>512</v>
      </c>
      <c r="E1305" t="s">
        <v>802</v>
      </c>
      <c r="F1305" t="s">
        <v>474</v>
      </c>
      <c r="G1305" t="s">
        <v>470</v>
      </c>
      <c r="H1305" t="s">
        <v>475</v>
      </c>
      <c r="I1305">
        <v>335405.98</v>
      </c>
    </row>
    <row r="1306" spans="1:9">
      <c r="A1306" s="90" t="s">
        <v>51</v>
      </c>
      <c r="B1306" s="87">
        <v>45924</v>
      </c>
      <c r="C1306" t="s">
        <v>511</v>
      </c>
      <c r="D1306" t="s">
        <v>512</v>
      </c>
      <c r="E1306" t="s">
        <v>802</v>
      </c>
      <c r="F1306" t="s">
        <v>474</v>
      </c>
      <c r="G1306" t="s">
        <v>470</v>
      </c>
      <c r="H1306" t="s">
        <v>475</v>
      </c>
      <c r="I1306">
        <v>228368.58</v>
      </c>
    </row>
    <row r="1307" spans="1:9">
      <c r="A1307" s="90" t="s">
        <v>51</v>
      </c>
      <c r="B1307" s="87">
        <v>45925</v>
      </c>
      <c r="C1307" t="s">
        <v>511</v>
      </c>
      <c r="D1307" t="s">
        <v>512</v>
      </c>
      <c r="E1307" t="s">
        <v>802</v>
      </c>
      <c r="F1307" t="s">
        <v>474</v>
      </c>
      <c r="G1307" t="s">
        <v>470</v>
      </c>
      <c r="H1307" t="s">
        <v>475</v>
      </c>
      <c r="I1307">
        <v>292738.90999999997</v>
      </c>
    </row>
    <row r="1308" spans="1:9">
      <c r="A1308" s="90" t="s">
        <v>51</v>
      </c>
      <c r="B1308" s="87">
        <v>45926</v>
      </c>
      <c r="C1308" t="s">
        <v>1790</v>
      </c>
      <c r="D1308" t="s">
        <v>1758</v>
      </c>
      <c r="E1308" t="s">
        <v>1791</v>
      </c>
      <c r="F1308" t="s">
        <v>490</v>
      </c>
      <c r="G1308" t="s">
        <v>470</v>
      </c>
      <c r="H1308" t="s">
        <v>796</v>
      </c>
      <c r="I1308">
        <v>22260</v>
      </c>
    </row>
    <row r="1309" spans="1:9">
      <c r="A1309" s="90" t="s">
        <v>51</v>
      </c>
      <c r="B1309" s="87">
        <v>45926</v>
      </c>
      <c r="C1309" t="s">
        <v>517</v>
      </c>
      <c r="D1309" t="s">
        <v>512</v>
      </c>
      <c r="E1309" t="s">
        <v>802</v>
      </c>
      <c r="F1309" t="s">
        <v>474</v>
      </c>
      <c r="G1309" t="s">
        <v>470</v>
      </c>
      <c r="H1309" t="s">
        <v>475</v>
      </c>
      <c r="I1309">
        <v>22260</v>
      </c>
    </row>
    <row r="1310" spans="1:9">
      <c r="A1310" s="90" t="s">
        <v>51</v>
      </c>
      <c r="B1310" s="87">
        <v>45930</v>
      </c>
      <c r="C1310" t="s">
        <v>1322</v>
      </c>
      <c r="D1310" t="s">
        <v>512</v>
      </c>
      <c r="E1310" t="s">
        <v>802</v>
      </c>
      <c r="F1310" t="s">
        <v>474</v>
      </c>
      <c r="G1310" t="s">
        <v>470</v>
      </c>
      <c r="H1310" t="s">
        <v>475</v>
      </c>
      <c r="I1310">
        <v>790501.6</v>
      </c>
    </row>
    <row r="1311" spans="1:9">
      <c r="A1311" s="90" t="s">
        <v>51</v>
      </c>
      <c r="B1311" s="87">
        <v>45930</v>
      </c>
      <c r="C1311" t="s">
        <v>524</v>
      </c>
      <c r="D1311" t="s">
        <v>1324</v>
      </c>
      <c r="E1311" t="s">
        <v>802</v>
      </c>
      <c r="F1311" t="s">
        <v>525</v>
      </c>
      <c r="G1311" t="s">
        <v>470</v>
      </c>
      <c r="H1311" t="s">
        <v>516</v>
      </c>
      <c r="I1311">
        <v>35648.58</v>
      </c>
    </row>
    <row r="1312" spans="1:9">
      <c r="A1312" s="90" t="s">
        <v>51</v>
      </c>
      <c r="B1312" s="87">
        <v>45930</v>
      </c>
      <c r="C1312" t="s">
        <v>1792</v>
      </c>
      <c r="D1312" t="s">
        <v>477</v>
      </c>
      <c r="E1312" t="s">
        <v>802</v>
      </c>
      <c r="F1312" t="s">
        <v>525</v>
      </c>
      <c r="G1312" t="s">
        <v>470</v>
      </c>
      <c r="H1312" t="s">
        <v>516</v>
      </c>
      <c r="I1312">
        <v>134.68</v>
      </c>
    </row>
    <row r="1313" spans="1:9">
      <c r="A1313" s="90" t="s">
        <v>51</v>
      </c>
      <c r="B1313" s="87">
        <v>45930</v>
      </c>
      <c r="C1313" t="s">
        <v>517</v>
      </c>
      <c r="D1313" t="s">
        <v>512</v>
      </c>
      <c r="E1313" t="s">
        <v>802</v>
      </c>
      <c r="F1313" t="s">
        <v>474</v>
      </c>
      <c r="G1313" t="s">
        <v>470</v>
      </c>
      <c r="H1313" t="s">
        <v>475</v>
      </c>
      <c r="I1313">
        <v>84309.27</v>
      </c>
    </row>
    <row r="1314" spans="1:9">
      <c r="A1314" s="90" t="s">
        <v>51</v>
      </c>
      <c r="B1314" s="87">
        <v>45930</v>
      </c>
      <c r="C1314" t="s">
        <v>524</v>
      </c>
      <c r="D1314" t="s">
        <v>477</v>
      </c>
      <c r="E1314" t="s">
        <v>802</v>
      </c>
      <c r="F1314" t="s">
        <v>525</v>
      </c>
      <c r="G1314" t="s">
        <v>470</v>
      </c>
      <c r="H1314" t="s">
        <v>801</v>
      </c>
      <c r="I1314">
        <v>39.64</v>
      </c>
    </row>
    <row r="1315" spans="1:9">
      <c r="A1315" s="90" t="s">
        <v>51</v>
      </c>
      <c r="B1315" s="87">
        <v>45930</v>
      </c>
      <c r="C1315" t="s">
        <v>524</v>
      </c>
      <c r="D1315" t="s">
        <v>477</v>
      </c>
      <c r="E1315" t="s">
        <v>802</v>
      </c>
      <c r="F1315" t="s">
        <v>525</v>
      </c>
      <c r="G1315" t="s">
        <v>470</v>
      </c>
      <c r="H1315" t="s">
        <v>516</v>
      </c>
      <c r="I1315">
        <v>2328.41</v>
      </c>
    </row>
    <row r="1316" spans="1:9">
      <c r="A1316" s="90" t="s">
        <v>51</v>
      </c>
      <c r="B1316" s="87">
        <v>45931</v>
      </c>
      <c r="C1316" t="s">
        <v>511</v>
      </c>
      <c r="D1316" t="s">
        <v>512</v>
      </c>
      <c r="E1316" t="s">
        <v>518</v>
      </c>
      <c r="F1316" t="s">
        <v>474</v>
      </c>
      <c r="G1316" t="s">
        <v>470</v>
      </c>
      <c r="H1316" t="s">
        <v>475</v>
      </c>
      <c r="I1316">
        <v>648.09</v>
      </c>
    </row>
    <row r="1317" spans="1:9">
      <c r="A1317" s="90" t="s">
        <v>51</v>
      </c>
      <c r="B1317" s="87">
        <v>45933</v>
      </c>
      <c r="C1317" t="s">
        <v>511</v>
      </c>
      <c r="D1317" t="s">
        <v>512</v>
      </c>
      <c r="E1317" t="s">
        <v>518</v>
      </c>
      <c r="F1317" t="s">
        <v>474</v>
      </c>
      <c r="G1317" t="s">
        <v>470</v>
      </c>
      <c r="H1317" t="s">
        <v>475</v>
      </c>
      <c r="I1317">
        <v>399.94</v>
      </c>
    </row>
    <row r="1318" spans="1:9">
      <c r="A1318" s="90" t="s">
        <v>51</v>
      </c>
      <c r="B1318" s="87">
        <v>45936</v>
      </c>
      <c r="C1318" t="s">
        <v>511</v>
      </c>
      <c r="D1318" t="s">
        <v>512</v>
      </c>
      <c r="E1318" t="s">
        <v>518</v>
      </c>
      <c r="F1318" t="s">
        <v>474</v>
      </c>
      <c r="G1318" t="s">
        <v>470</v>
      </c>
      <c r="H1318" t="s">
        <v>475</v>
      </c>
      <c r="I1318">
        <v>24899</v>
      </c>
    </row>
    <row r="1319" spans="1:9">
      <c r="A1319" s="90" t="s">
        <v>51</v>
      </c>
      <c r="B1319" s="87">
        <v>45938</v>
      </c>
      <c r="C1319" t="s">
        <v>511</v>
      </c>
      <c r="D1319" t="s">
        <v>512</v>
      </c>
      <c r="E1319" t="s">
        <v>518</v>
      </c>
      <c r="F1319" t="s">
        <v>474</v>
      </c>
      <c r="G1319" t="s">
        <v>470</v>
      </c>
      <c r="H1319" t="s">
        <v>475</v>
      </c>
      <c r="I1319">
        <v>68373.33</v>
      </c>
    </row>
    <row r="1320" spans="1:9">
      <c r="A1320" s="90" t="s">
        <v>51</v>
      </c>
      <c r="B1320" s="87">
        <v>45939</v>
      </c>
      <c r="C1320" t="s">
        <v>1322</v>
      </c>
      <c r="D1320" t="s">
        <v>512</v>
      </c>
      <c r="E1320" t="s">
        <v>518</v>
      </c>
      <c r="F1320" t="s">
        <v>474</v>
      </c>
      <c r="G1320" t="s">
        <v>470</v>
      </c>
      <c r="H1320" t="s">
        <v>475</v>
      </c>
      <c r="I1320">
        <v>148092.85999999999</v>
      </c>
    </row>
    <row r="1321" spans="1:9">
      <c r="A1321" s="90" t="s">
        <v>51</v>
      </c>
      <c r="B1321" s="87">
        <v>45939</v>
      </c>
      <c r="C1321" t="s">
        <v>1322</v>
      </c>
      <c r="D1321" t="s">
        <v>512</v>
      </c>
      <c r="E1321" t="s">
        <v>518</v>
      </c>
      <c r="F1321" t="s">
        <v>474</v>
      </c>
      <c r="G1321" t="s">
        <v>470</v>
      </c>
      <c r="H1321" t="s">
        <v>475</v>
      </c>
      <c r="I1321">
        <v>296185.73</v>
      </c>
    </row>
    <row r="1322" spans="1:9">
      <c r="A1322" s="90" t="s">
        <v>51</v>
      </c>
      <c r="B1322" s="87">
        <v>45939</v>
      </c>
      <c r="C1322" t="s">
        <v>517</v>
      </c>
      <c r="D1322" t="s">
        <v>512</v>
      </c>
      <c r="E1322" t="s">
        <v>518</v>
      </c>
      <c r="F1322" t="s">
        <v>474</v>
      </c>
      <c r="G1322" t="s">
        <v>470</v>
      </c>
      <c r="H1322" t="s">
        <v>475</v>
      </c>
      <c r="I1322">
        <v>307090.76</v>
      </c>
    </row>
    <row r="1323" spans="1:9">
      <c r="A1323" s="90" t="s">
        <v>51</v>
      </c>
      <c r="B1323" s="87">
        <v>45940</v>
      </c>
      <c r="C1323" t="s">
        <v>1793</v>
      </c>
      <c r="D1323" t="s">
        <v>1794</v>
      </c>
      <c r="E1323" t="s">
        <v>1795</v>
      </c>
      <c r="F1323" t="s">
        <v>490</v>
      </c>
      <c r="G1323" t="s">
        <v>470</v>
      </c>
      <c r="H1323" t="s">
        <v>487</v>
      </c>
      <c r="I1323">
        <v>88944</v>
      </c>
    </row>
    <row r="1324" spans="1:9">
      <c r="A1324" s="90" t="s">
        <v>51</v>
      </c>
      <c r="B1324" s="87">
        <v>45940</v>
      </c>
      <c r="C1324" t="s">
        <v>1796</v>
      </c>
      <c r="D1324" t="s">
        <v>1794</v>
      </c>
      <c r="E1324" t="s">
        <v>1797</v>
      </c>
      <c r="F1324" t="s">
        <v>490</v>
      </c>
      <c r="G1324" t="s">
        <v>470</v>
      </c>
      <c r="H1324" t="s">
        <v>487</v>
      </c>
      <c r="I1324">
        <v>90960.5</v>
      </c>
    </row>
    <row r="1325" spans="1:9">
      <c r="A1325" s="90" t="s">
        <v>51</v>
      </c>
      <c r="B1325" s="87">
        <v>45940</v>
      </c>
      <c r="C1325" t="s">
        <v>1798</v>
      </c>
      <c r="D1325" t="s">
        <v>1794</v>
      </c>
      <c r="E1325" t="s">
        <v>1799</v>
      </c>
      <c r="F1325" t="s">
        <v>490</v>
      </c>
      <c r="G1325" t="s">
        <v>470</v>
      </c>
      <c r="H1325" t="s">
        <v>487</v>
      </c>
      <c r="I1325">
        <v>87926.67</v>
      </c>
    </row>
    <row r="1326" spans="1:9">
      <c r="A1326" s="90" t="s">
        <v>51</v>
      </c>
      <c r="B1326" s="87">
        <v>45940</v>
      </c>
      <c r="C1326" t="s">
        <v>1800</v>
      </c>
      <c r="D1326" t="s">
        <v>1794</v>
      </c>
      <c r="E1326" t="s">
        <v>1801</v>
      </c>
      <c r="F1326" t="s">
        <v>490</v>
      </c>
      <c r="G1326" t="s">
        <v>470</v>
      </c>
      <c r="H1326" t="s">
        <v>487</v>
      </c>
      <c r="I1326">
        <v>86455.17</v>
      </c>
    </row>
    <row r="1327" spans="1:9">
      <c r="A1327" s="90" t="s">
        <v>51</v>
      </c>
      <c r="B1327" s="87">
        <v>45940</v>
      </c>
      <c r="C1327" t="s">
        <v>1800</v>
      </c>
      <c r="D1327" t="s">
        <v>1794</v>
      </c>
      <c r="E1327" t="s">
        <v>1801</v>
      </c>
      <c r="F1327" t="s">
        <v>490</v>
      </c>
      <c r="G1327" t="s">
        <v>470</v>
      </c>
      <c r="H1327" t="s">
        <v>487</v>
      </c>
      <c r="I1327">
        <v>0.01</v>
      </c>
    </row>
    <row r="1328" spans="1:9">
      <c r="A1328" s="90" t="s">
        <v>51</v>
      </c>
      <c r="B1328" s="87">
        <v>45940</v>
      </c>
      <c r="C1328" t="s">
        <v>1802</v>
      </c>
      <c r="D1328" t="s">
        <v>1794</v>
      </c>
      <c r="E1328" t="s">
        <v>1803</v>
      </c>
      <c r="F1328" t="s">
        <v>490</v>
      </c>
      <c r="G1328" t="s">
        <v>470</v>
      </c>
      <c r="H1328" t="s">
        <v>487</v>
      </c>
      <c r="I1328">
        <v>67216.67</v>
      </c>
    </row>
    <row r="1329" spans="1:9">
      <c r="A1329" s="90" t="s">
        <v>51</v>
      </c>
      <c r="B1329" s="87">
        <v>45940</v>
      </c>
      <c r="C1329" t="s">
        <v>1804</v>
      </c>
      <c r="D1329" t="s">
        <v>1794</v>
      </c>
      <c r="E1329" t="s">
        <v>1805</v>
      </c>
      <c r="F1329" t="s">
        <v>490</v>
      </c>
      <c r="G1329" t="s">
        <v>470</v>
      </c>
      <c r="H1329" t="s">
        <v>487</v>
      </c>
      <c r="I1329">
        <v>16204.67</v>
      </c>
    </row>
    <row r="1330" spans="1:9">
      <c r="A1330" s="90" t="s">
        <v>51</v>
      </c>
      <c r="B1330" s="87">
        <v>45940</v>
      </c>
      <c r="C1330" t="s">
        <v>517</v>
      </c>
      <c r="D1330" t="s">
        <v>512</v>
      </c>
      <c r="E1330" t="s">
        <v>518</v>
      </c>
      <c r="F1330" t="s">
        <v>474</v>
      </c>
      <c r="G1330" t="s">
        <v>470</v>
      </c>
      <c r="H1330" t="s">
        <v>475</v>
      </c>
      <c r="I1330">
        <v>271849.62</v>
      </c>
    </row>
    <row r="1331" spans="1:9">
      <c r="A1331" s="90" t="s">
        <v>51</v>
      </c>
      <c r="B1331" s="87">
        <v>45943</v>
      </c>
      <c r="C1331" t="s">
        <v>511</v>
      </c>
      <c r="D1331" t="s">
        <v>512</v>
      </c>
      <c r="E1331" t="s">
        <v>518</v>
      </c>
      <c r="F1331" t="s">
        <v>474</v>
      </c>
      <c r="G1331" t="s">
        <v>470</v>
      </c>
      <c r="H1331" t="s">
        <v>475</v>
      </c>
      <c r="I1331">
        <v>107921.79</v>
      </c>
    </row>
    <row r="1332" spans="1:9">
      <c r="A1332" s="90" t="s">
        <v>51</v>
      </c>
      <c r="B1332" s="87">
        <v>45944</v>
      </c>
      <c r="C1332" t="s">
        <v>511</v>
      </c>
      <c r="D1332" t="s">
        <v>512</v>
      </c>
      <c r="E1332" t="s">
        <v>518</v>
      </c>
      <c r="F1332" t="s">
        <v>474</v>
      </c>
      <c r="G1332" t="s">
        <v>470</v>
      </c>
      <c r="H1332" t="s">
        <v>475</v>
      </c>
      <c r="I1332">
        <v>242811.79</v>
      </c>
    </row>
    <row r="1333" spans="1:9">
      <c r="A1333" s="90" t="s">
        <v>51</v>
      </c>
      <c r="B1333" s="87">
        <v>45945</v>
      </c>
      <c r="C1333" t="s">
        <v>1806</v>
      </c>
      <c r="D1333" t="s">
        <v>1794</v>
      </c>
      <c r="E1333" t="s">
        <v>1807</v>
      </c>
      <c r="F1333" t="s">
        <v>490</v>
      </c>
      <c r="G1333" t="s">
        <v>470</v>
      </c>
      <c r="H1333" t="s">
        <v>487</v>
      </c>
      <c r="I1333">
        <v>88707.83</v>
      </c>
    </row>
    <row r="1334" spans="1:9">
      <c r="A1334" s="90" t="s">
        <v>51</v>
      </c>
      <c r="B1334" s="87">
        <v>45945</v>
      </c>
      <c r="C1334" t="s">
        <v>1808</v>
      </c>
      <c r="D1334" t="s">
        <v>1794</v>
      </c>
      <c r="E1334" t="s">
        <v>1809</v>
      </c>
      <c r="F1334" t="s">
        <v>490</v>
      </c>
      <c r="G1334" t="s">
        <v>470</v>
      </c>
      <c r="H1334" t="s">
        <v>487</v>
      </c>
      <c r="I1334">
        <v>89779.67</v>
      </c>
    </row>
    <row r="1335" spans="1:9">
      <c r="A1335" s="90" t="s">
        <v>51</v>
      </c>
      <c r="B1335" s="87">
        <v>45945</v>
      </c>
      <c r="C1335" t="s">
        <v>517</v>
      </c>
      <c r="D1335" t="s">
        <v>512</v>
      </c>
      <c r="E1335" t="s">
        <v>518</v>
      </c>
      <c r="F1335" t="s">
        <v>474</v>
      </c>
      <c r="G1335" t="s">
        <v>470</v>
      </c>
      <c r="H1335" t="s">
        <v>475</v>
      </c>
      <c r="I1335">
        <v>80568.25</v>
      </c>
    </row>
    <row r="1336" spans="1:9">
      <c r="A1336" s="90" t="s">
        <v>51</v>
      </c>
      <c r="B1336" s="87">
        <v>45946</v>
      </c>
      <c r="C1336" t="s">
        <v>1810</v>
      </c>
      <c r="D1336" t="s">
        <v>1794</v>
      </c>
      <c r="E1336" t="s">
        <v>1811</v>
      </c>
      <c r="F1336" t="s">
        <v>490</v>
      </c>
      <c r="G1336" t="s">
        <v>470</v>
      </c>
      <c r="H1336" t="s">
        <v>487</v>
      </c>
      <c r="I1336">
        <v>87381.67</v>
      </c>
    </row>
    <row r="1337" spans="1:9">
      <c r="A1337" s="90" t="s">
        <v>51</v>
      </c>
      <c r="B1337" s="87">
        <v>45946</v>
      </c>
      <c r="C1337" t="s">
        <v>1812</v>
      </c>
      <c r="D1337" t="s">
        <v>1794</v>
      </c>
      <c r="E1337" t="s">
        <v>1813</v>
      </c>
      <c r="F1337" t="s">
        <v>490</v>
      </c>
      <c r="G1337" t="s">
        <v>470</v>
      </c>
      <c r="H1337" t="s">
        <v>487</v>
      </c>
      <c r="I1337">
        <v>85928.33</v>
      </c>
    </row>
    <row r="1338" spans="1:9">
      <c r="A1338" s="90" t="s">
        <v>51</v>
      </c>
      <c r="B1338" s="87">
        <v>45946</v>
      </c>
      <c r="C1338" t="s">
        <v>517</v>
      </c>
      <c r="D1338" t="s">
        <v>512</v>
      </c>
      <c r="E1338" t="s">
        <v>518</v>
      </c>
      <c r="F1338" t="s">
        <v>474</v>
      </c>
      <c r="G1338" t="s">
        <v>470</v>
      </c>
      <c r="H1338" t="s">
        <v>475</v>
      </c>
      <c r="I1338">
        <v>115541.25</v>
      </c>
    </row>
    <row r="1339" spans="1:9">
      <c r="A1339" s="90" t="s">
        <v>51</v>
      </c>
      <c r="B1339" s="87">
        <v>45947</v>
      </c>
      <c r="C1339" t="s">
        <v>1814</v>
      </c>
      <c r="D1339" t="s">
        <v>773</v>
      </c>
      <c r="E1339" t="s">
        <v>1815</v>
      </c>
      <c r="F1339" t="s">
        <v>490</v>
      </c>
      <c r="G1339" t="s">
        <v>470</v>
      </c>
      <c r="H1339" t="s">
        <v>475</v>
      </c>
      <c r="I1339">
        <v>52293.33</v>
      </c>
    </row>
    <row r="1340" spans="1:9">
      <c r="A1340" s="90" t="s">
        <v>51</v>
      </c>
      <c r="B1340" s="87">
        <v>45947</v>
      </c>
      <c r="C1340" t="s">
        <v>1816</v>
      </c>
      <c r="D1340" t="s">
        <v>773</v>
      </c>
      <c r="E1340" t="s">
        <v>1817</v>
      </c>
      <c r="F1340" t="s">
        <v>490</v>
      </c>
      <c r="G1340" t="s">
        <v>470</v>
      </c>
      <c r="H1340" t="s">
        <v>475</v>
      </c>
      <c r="I1340">
        <v>80322.37</v>
      </c>
    </row>
    <row r="1341" spans="1:9">
      <c r="A1341" s="90" t="s">
        <v>51</v>
      </c>
      <c r="B1341" s="87">
        <v>45947</v>
      </c>
      <c r="C1341" t="s">
        <v>1818</v>
      </c>
      <c r="D1341" t="s">
        <v>773</v>
      </c>
      <c r="E1341" t="s">
        <v>1819</v>
      </c>
      <c r="F1341" t="s">
        <v>490</v>
      </c>
      <c r="G1341" t="s">
        <v>470</v>
      </c>
      <c r="H1341" t="s">
        <v>475</v>
      </c>
      <c r="I1341">
        <v>66067.600000000006</v>
      </c>
    </row>
    <row r="1342" spans="1:9">
      <c r="A1342" s="90" t="s">
        <v>51</v>
      </c>
      <c r="B1342" s="87">
        <v>45947</v>
      </c>
      <c r="C1342" t="s">
        <v>1818</v>
      </c>
      <c r="D1342" t="s">
        <v>773</v>
      </c>
      <c r="E1342" t="s">
        <v>1819</v>
      </c>
      <c r="F1342" t="s">
        <v>490</v>
      </c>
      <c r="G1342" t="s">
        <v>470</v>
      </c>
      <c r="H1342" t="s">
        <v>475</v>
      </c>
      <c r="I1342">
        <v>0.01</v>
      </c>
    </row>
    <row r="1343" spans="1:9">
      <c r="A1343" s="90" t="s">
        <v>51</v>
      </c>
      <c r="B1343" s="87">
        <v>45947</v>
      </c>
      <c r="C1343" t="s">
        <v>1820</v>
      </c>
      <c r="D1343" t="s">
        <v>773</v>
      </c>
      <c r="E1343" t="s">
        <v>1821</v>
      </c>
      <c r="F1343" t="s">
        <v>490</v>
      </c>
      <c r="G1343" t="s">
        <v>470</v>
      </c>
      <c r="H1343" t="s">
        <v>475</v>
      </c>
      <c r="I1343">
        <v>57750.93</v>
      </c>
    </row>
    <row r="1344" spans="1:9">
      <c r="A1344" s="90" t="s">
        <v>51</v>
      </c>
      <c r="B1344" s="87">
        <v>45947</v>
      </c>
      <c r="C1344" t="s">
        <v>1822</v>
      </c>
      <c r="D1344" t="s">
        <v>773</v>
      </c>
      <c r="E1344" t="s">
        <v>1823</v>
      </c>
      <c r="F1344" t="s">
        <v>490</v>
      </c>
      <c r="G1344" t="s">
        <v>470</v>
      </c>
      <c r="H1344" t="s">
        <v>475</v>
      </c>
      <c r="I1344">
        <v>60661.77</v>
      </c>
    </row>
    <row r="1345" spans="1:9">
      <c r="A1345" s="90" t="s">
        <v>51</v>
      </c>
      <c r="B1345" s="87">
        <v>45947</v>
      </c>
      <c r="C1345" t="s">
        <v>1824</v>
      </c>
      <c r="D1345" t="s">
        <v>773</v>
      </c>
      <c r="E1345" t="s">
        <v>1825</v>
      </c>
      <c r="F1345" t="s">
        <v>490</v>
      </c>
      <c r="G1345" t="s">
        <v>470</v>
      </c>
      <c r="H1345" t="s">
        <v>475</v>
      </c>
      <c r="I1345">
        <v>82118.77</v>
      </c>
    </row>
    <row r="1346" spans="1:9">
      <c r="A1346" s="90" t="s">
        <v>51</v>
      </c>
      <c r="B1346" s="87">
        <v>45947</v>
      </c>
      <c r="C1346" t="s">
        <v>1826</v>
      </c>
      <c r="D1346" t="s">
        <v>773</v>
      </c>
      <c r="E1346" t="s">
        <v>1827</v>
      </c>
      <c r="F1346" t="s">
        <v>490</v>
      </c>
      <c r="G1346" t="s">
        <v>470</v>
      </c>
      <c r="H1346" t="s">
        <v>475</v>
      </c>
      <c r="I1346">
        <v>82035.600000000006</v>
      </c>
    </row>
    <row r="1347" spans="1:9">
      <c r="A1347" s="90" t="s">
        <v>51</v>
      </c>
      <c r="B1347" s="87">
        <v>45947</v>
      </c>
      <c r="C1347" t="s">
        <v>1826</v>
      </c>
      <c r="D1347" t="s">
        <v>773</v>
      </c>
      <c r="E1347" t="s">
        <v>1827</v>
      </c>
      <c r="F1347" t="s">
        <v>490</v>
      </c>
      <c r="G1347" t="s">
        <v>470</v>
      </c>
      <c r="H1347" t="s">
        <v>475</v>
      </c>
      <c r="I1347">
        <v>83.17</v>
      </c>
    </row>
    <row r="1348" spans="1:9">
      <c r="A1348" s="90" t="s">
        <v>51</v>
      </c>
      <c r="B1348" s="87">
        <v>45947</v>
      </c>
      <c r="C1348" t="s">
        <v>1828</v>
      </c>
      <c r="D1348" t="s">
        <v>773</v>
      </c>
      <c r="E1348" t="s">
        <v>1829</v>
      </c>
      <c r="F1348" t="s">
        <v>490</v>
      </c>
      <c r="G1348" t="s">
        <v>470</v>
      </c>
      <c r="H1348" t="s">
        <v>475</v>
      </c>
      <c r="I1348">
        <v>81154.03</v>
      </c>
    </row>
    <row r="1349" spans="1:9">
      <c r="A1349" s="90" t="s">
        <v>51</v>
      </c>
      <c r="B1349" s="87">
        <v>45947</v>
      </c>
      <c r="C1349" t="s">
        <v>1830</v>
      </c>
      <c r="D1349" t="s">
        <v>773</v>
      </c>
      <c r="E1349" t="s">
        <v>1831</v>
      </c>
      <c r="F1349" t="s">
        <v>490</v>
      </c>
      <c r="G1349" t="s">
        <v>470</v>
      </c>
      <c r="H1349" t="s">
        <v>475</v>
      </c>
      <c r="I1349">
        <v>81769.47</v>
      </c>
    </row>
    <row r="1350" spans="1:9">
      <c r="A1350" s="90" t="s">
        <v>51</v>
      </c>
      <c r="B1350" s="87">
        <v>45947</v>
      </c>
      <c r="C1350" t="s">
        <v>1832</v>
      </c>
      <c r="D1350" t="s">
        <v>773</v>
      </c>
      <c r="E1350" t="s">
        <v>1833</v>
      </c>
      <c r="F1350" t="s">
        <v>490</v>
      </c>
      <c r="G1350" t="s">
        <v>470</v>
      </c>
      <c r="H1350" t="s">
        <v>475</v>
      </c>
      <c r="I1350">
        <v>84314.37</v>
      </c>
    </row>
    <row r="1351" spans="1:9">
      <c r="A1351" s="90" t="s">
        <v>51</v>
      </c>
      <c r="B1351" s="87">
        <v>45947</v>
      </c>
      <c r="C1351" t="s">
        <v>1834</v>
      </c>
      <c r="D1351" t="s">
        <v>773</v>
      </c>
      <c r="E1351" t="s">
        <v>1835</v>
      </c>
      <c r="F1351" t="s">
        <v>490</v>
      </c>
      <c r="G1351" t="s">
        <v>470</v>
      </c>
      <c r="H1351" t="s">
        <v>475</v>
      </c>
      <c r="I1351">
        <v>80987.7</v>
      </c>
    </row>
    <row r="1352" spans="1:9">
      <c r="A1352" s="90" t="s">
        <v>51</v>
      </c>
      <c r="B1352" s="87">
        <v>45947</v>
      </c>
      <c r="C1352" t="s">
        <v>1836</v>
      </c>
      <c r="D1352" t="s">
        <v>773</v>
      </c>
      <c r="E1352" t="s">
        <v>1837</v>
      </c>
      <c r="F1352" t="s">
        <v>490</v>
      </c>
      <c r="G1352" t="s">
        <v>470</v>
      </c>
      <c r="H1352" t="s">
        <v>475</v>
      </c>
      <c r="I1352">
        <v>41051.06</v>
      </c>
    </row>
    <row r="1353" spans="1:9">
      <c r="A1353" s="90" t="s">
        <v>51</v>
      </c>
      <c r="B1353" s="87">
        <v>45947</v>
      </c>
      <c r="C1353" t="s">
        <v>1838</v>
      </c>
      <c r="D1353" t="s">
        <v>1794</v>
      </c>
      <c r="E1353" t="s">
        <v>1839</v>
      </c>
      <c r="F1353" t="s">
        <v>490</v>
      </c>
      <c r="G1353" t="s">
        <v>470</v>
      </c>
      <c r="H1353" t="s">
        <v>487</v>
      </c>
      <c r="I1353">
        <v>16350</v>
      </c>
    </row>
    <row r="1354" spans="1:9">
      <c r="A1354" s="90" t="s">
        <v>51</v>
      </c>
      <c r="B1354" s="87">
        <v>45947</v>
      </c>
      <c r="C1354" t="s">
        <v>1840</v>
      </c>
      <c r="D1354" t="s">
        <v>1794</v>
      </c>
      <c r="E1354" t="s">
        <v>1841</v>
      </c>
      <c r="F1354" t="s">
        <v>490</v>
      </c>
      <c r="G1354" t="s">
        <v>470</v>
      </c>
      <c r="H1354" t="s">
        <v>487</v>
      </c>
      <c r="I1354">
        <v>89652.5</v>
      </c>
    </row>
    <row r="1355" spans="1:9">
      <c r="A1355" s="90" t="s">
        <v>51</v>
      </c>
      <c r="B1355" s="87">
        <v>45947</v>
      </c>
      <c r="C1355" t="s">
        <v>1322</v>
      </c>
      <c r="D1355" t="s">
        <v>512</v>
      </c>
      <c r="E1355" t="s">
        <v>518</v>
      </c>
      <c r="F1355" t="s">
        <v>474</v>
      </c>
      <c r="G1355" t="s">
        <v>470</v>
      </c>
      <c r="H1355" t="s">
        <v>475</v>
      </c>
      <c r="I1355">
        <v>493609.63</v>
      </c>
    </row>
    <row r="1356" spans="1:9">
      <c r="A1356" s="90" t="s">
        <v>51</v>
      </c>
      <c r="B1356" s="87">
        <v>45947</v>
      </c>
      <c r="C1356" t="s">
        <v>517</v>
      </c>
      <c r="D1356" t="s">
        <v>512</v>
      </c>
      <c r="E1356" t="s">
        <v>518</v>
      </c>
      <c r="F1356" t="s">
        <v>474</v>
      </c>
      <c r="G1356" t="s">
        <v>470</v>
      </c>
      <c r="H1356" t="s">
        <v>475</v>
      </c>
      <c r="I1356">
        <v>41688.959999999999</v>
      </c>
    </row>
    <row r="1357" spans="1:9">
      <c r="A1357" s="90" t="s">
        <v>51</v>
      </c>
      <c r="B1357" s="87">
        <v>45948</v>
      </c>
      <c r="C1357" t="s">
        <v>1814</v>
      </c>
      <c r="D1357" t="s">
        <v>773</v>
      </c>
      <c r="E1357" t="s">
        <v>1815</v>
      </c>
      <c r="F1357" t="s">
        <v>490</v>
      </c>
      <c r="G1357" t="s">
        <v>470</v>
      </c>
      <c r="H1357" t="s">
        <v>475</v>
      </c>
      <c r="I1357">
        <v>28966.07</v>
      </c>
    </row>
    <row r="1358" spans="1:9">
      <c r="A1358" s="90" t="s">
        <v>51</v>
      </c>
      <c r="B1358" s="87">
        <v>45950</v>
      </c>
      <c r="C1358" t="s">
        <v>511</v>
      </c>
      <c r="D1358" t="s">
        <v>512</v>
      </c>
      <c r="E1358" t="s">
        <v>518</v>
      </c>
      <c r="F1358" t="s">
        <v>474</v>
      </c>
      <c r="G1358" t="s">
        <v>470</v>
      </c>
      <c r="H1358" t="s">
        <v>475</v>
      </c>
      <c r="I1358">
        <v>2482.56</v>
      </c>
    </row>
    <row r="1359" spans="1:9">
      <c r="A1359" s="90" t="s">
        <v>51</v>
      </c>
      <c r="B1359" s="87">
        <v>45951</v>
      </c>
      <c r="C1359" t="s">
        <v>511</v>
      </c>
      <c r="D1359" t="s">
        <v>512</v>
      </c>
      <c r="E1359" t="s">
        <v>518</v>
      </c>
      <c r="F1359" t="s">
        <v>474</v>
      </c>
      <c r="G1359" t="s">
        <v>470</v>
      </c>
      <c r="H1359" t="s">
        <v>475</v>
      </c>
      <c r="I1359">
        <v>3000</v>
      </c>
    </row>
    <row r="1360" spans="1:9">
      <c r="A1360" s="90" t="s">
        <v>51</v>
      </c>
      <c r="B1360" s="87">
        <v>45952</v>
      </c>
      <c r="C1360" t="s">
        <v>511</v>
      </c>
      <c r="D1360" t="s">
        <v>512</v>
      </c>
      <c r="E1360" t="s">
        <v>518</v>
      </c>
      <c r="F1360" t="s">
        <v>474</v>
      </c>
      <c r="G1360" t="s">
        <v>470</v>
      </c>
      <c r="H1360" t="s">
        <v>475</v>
      </c>
      <c r="I1360">
        <v>762.61</v>
      </c>
    </row>
    <row r="1361" spans="1:9">
      <c r="A1361" s="90" t="s">
        <v>51</v>
      </c>
      <c r="B1361" s="87">
        <v>45961</v>
      </c>
      <c r="C1361" t="s">
        <v>511</v>
      </c>
      <c r="D1361" t="s">
        <v>512</v>
      </c>
      <c r="E1361" t="s">
        <v>518</v>
      </c>
      <c r="F1361" t="s">
        <v>474</v>
      </c>
      <c r="G1361" t="s">
        <v>470</v>
      </c>
      <c r="H1361" t="s">
        <v>475</v>
      </c>
      <c r="I1361">
        <v>112509.61</v>
      </c>
    </row>
    <row r="1362" spans="1:9">
      <c r="A1362" s="90" t="s">
        <v>51</v>
      </c>
      <c r="B1362" s="87">
        <v>45961</v>
      </c>
      <c r="C1362" t="s">
        <v>524</v>
      </c>
      <c r="D1362" t="s">
        <v>477</v>
      </c>
      <c r="E1362" t="s">
        <v>518</v>
      </c>
      <c r="F1362" t="s">
        <v>525</v>
      </c>
      <c r="G1362" t="s">
        <v>470</v>
      </c>
      <c r="H1362" t="s">
        <v>516</v>
      </c>
      <c r="I1362">
        <v>42.01</v>
      </c>
    </row>
    <row r="1363" spans="1:9">
      <c r="A1363" s="90" t="s">
        <v>51</v>
      </c>
      <c r="B1363" s="87">
        <v>45961</v>
      </c>
      <c r="C1363" t="s">
        <v>1842</v>
      </c>
      <c r="D1363" t="s">
        <v>477</v>
      </c>
      <c r="E1363" t="s">
        <v>518</v>
      </c>
      <c r="F1363" t="s">
        <v>525</v>
      </c>
      <c r="G1363" t="s">
        <v>470</v>
      </c>
      <c r="H1363" t="s">
        <v>516</v>
      </c>
      <c r="I1363">
        <v>875.02</v>
      </c>
    </row>
    <row r="1364" spans="1:9">
      <c r="A1364" s="90" t="s">
        <v>51</v>
      </c>
      <c r="B1364" s="87">
        <v>45961</v>
      </c>
      <c r="C1364" t="s">
        <v>524</v>
      </c>
      <c r="D1364" t="s">
        <v>477</v>
      </c>
      <c r="E1364" t="s">
        <v>518</v>
      </c>
      <c r="F1364" t="s">
        <v>525</v>
      </c>
      <c r="G1364" t="s">
        <v>470</v>
      </c>
      <c r="H1364" t="s">
        <v>516</v>
      </c>
      <c r="I1364">
        <v>426.29</v>
      </c>
    </row>
    <row r="1365" spans="1:9">
      <c r="A1365" s="90" t="s">
        <v>51</v>
      </c>
      <c r="B1365" s="87">
        <v>45961</v>
      </c>
      <c r="C1365" t="s">
        <v>524</v>
      </c>
      <c r="D1365" t="s">
        <v>1324</v>
      </c>
      <c r="E1365" t="s">
        <v>518</v>
      </c>
      <c r="F1365" t="s">
        <v>525</v>
      </c>
      <c r="G1365" t="s">
        <v>470</v>
      </c>
      <c r="H1365" t="s">
        <v>516</v>
      </c>
      <c r="I1365">
        <v>14094.88</v>
      </c>
    </row>
    <row r="1366" spans="1:9">
      <c r="A1366" s="90" t="s">
        <v>51</v>
      </c>
      <c r="B1366" s="87">
        <v>45964</v>
      </c>
      <c r="C1366" t="s">
        <v>511</v>
      </c>
      <c r="D1366" t="s">
        <v>512</v>
      </c>
      <c r="E1366" t="s">
        <v>968</v>
      </c>
      <c r="F1366" t="s">
        <v>474</v>
      </c>
      <c r="G1366" t="s">
        <v>470</v>
      </c>
      <c r="H1366" t="s">
        <v>475</v>
      </c>
      <c r="I1366">
        <v>648.59</v>
      </c>
    </row>
    <row r="1367" spans="1:9">
      <c r="A1367" s="90" t="s">
        <v>51</v>
      </c>
      <c r="B1367" s="87">
        <v>45966</v>
      </c>
      <c r="C1367" t="s">
        <v>511</v>
      </c>
      <c r="D1367" t="s">
        <v>512</v>
      </c>
      <c r="E1367" t="s">
        <v>968</v>
      </c>
      <c r="F1367" t="s">
        <v>474</v>
      </c>
      <c r="G1367" t="s">
        <v>470</v>
      </c>
      <c r="H1367" t="s">
        <v>475</v>
      </c>
      <c r="I1367">
        <v>575.75</v>
      </c>
    </row>
    <row r="1368" spans="1:9">
      <c r="A1368" s="90" t="s">
        <v>51</v>
      </c>
      <c r="B1368" s="87">
        <v>45967</v>
      </c>
      <c r="C1368" t="s">
        <v>511</v>
      </c>
      <c r="D1368" t="s">
        <v>512</v>
      </c>
      <c r="E1368" t="s">
        <v>968</v>
      </c>
      <c r="F1368" t="s">
        <v>474</v>
      </c>
      <c r="G1368" t="s">
        <v>470</v>
      </c>
      <c r="H1368" t="s">
        <v>475</v>
      </c>
      <c r="I1368">
        <v>3000</v>
      </c>
    </row>
    <row r="1369" spans="1:9">
      <c r="A1369" s="90" t="s">
        <v>51</v>
      </c>
      <c r="B1369" s="87">
        <v>45971</v>
      </c>
      <c r="C1369" t="s">
        <v>511</v>
      </c>
      <c r="D1369" t="s">
        <v>512</v>
      </c>
      <c r="E1369" t="s">
        <v>968</v>
      </c>
      <c r="F1369" t="s">
        <v>474</v>
      </c>
      <c r="G1369" t="s">
        <v>470</v>
      </c>
      <c r="H1369" t="s">
        <v>475</v>
      </c>
      <c r="I1369">
        <v>9090.8799999999992</v>
      </c>
    </row>
    <row r="1370" spans="1:9">
      <c r="A1370" s="90" t="s">
        <v>51</v>
      </c>
      <c r="B1370" s="87">
        <v>45974</v>
      </c>
      <c r="C1370" t="s">
        <v>511</v>
      </c>
      <c r="D1370" t="s">
        <v>512</v>
      </c>
      <c r="E1370" t="s">
        <v>968</v>
      </c>
      <c r="F1370" t="s">
        <v>474</v>
      </c>
      <c r="G1370" t="s">
        <v>470</v>
      </c>
      <c r="H1370" t="s">
        <v>475</v>
      </c>
      <c r="I1370">
        <v>25475.49</v>
      </c>
    </row>
    <row r="1371" spans="1:9">
      <c r="A1371" s="90" t="s">
        <v>51</v>
      </c>
      <c r="B1371" s="87">
        <v>45978</v>
      </c>
      <c r="C1371" t="s">
        <v>511</v>
      </c>
      <c r="D1371" t="s">
        <v>512</v>
      </c>
      <c r="E1371" t="s">
        <v>968</v>
      </c>
      <c r="F1371" t="s">
        <v>474</v>
      </c>
      <c r="G1371" t="s">
        <v>470</v>
      </c>
      <c r="H1371" t="s">
        <v>475</v>
      </c>
      <c r="I1371">
        <v>57144.39</v>
      </c>
    </row>
    <row r="1372" spans="1:9">
      <c r="A1372" s="90" t="s">
        <v>51</v>
      </c>
      <c r="B1372" s="87">
        <v>45979</v>
      </c>
      <c r="C1372" t="s">
        <v>511</v>
      </c>
      <c r="D1372" t="s">
        <v>512</v>
      </c>
      <c r="E1372" t="s">
        <v>968</v>
      </c>
      <c r="F1372" t="s">
        <v>474</v>
      </c>
      <c r="G1372" t="s">
        <v>470</v>
      </c>
      <c r="H1372" t="s">
        <v>475</v>
      </c>
      <c r="I1372">
        <v>121.94</v>
      </c>
    </row>
    <row r="1373" spans="1:9">
      <c r="A1373" s="90" t="s">
        <v>51</v>
      </c>
      <c r="B1373" s="87">
        <v>45980</v>
      </c>
      <c r="C1373" t="s">
        <v>511</v>
      </c>
      <c r="D1373" t="s">
        <v>512</v>
      </c>
      <c r="E1373" t="s">
        <v>968</v>
      </c>
      <c r="F1373" t="s">
        <v>474</v>
      </c>
      <c r="G1373" t="s">
        <v>470</v>
      </c>
      <c r="H1373" t="s">
        <v>475</v>
      </c>
      <c r="I1373">
        <v>232850.66</v>
      </c>
    </row>
    <row r="1374" spans="1:9">
      <c r="A1374" s="90" t="s">
        <v>51</v>
      </c>
      <c r="B1374" s="87">
        <v>45982</v>
      </c>
      <c r="C1374" t="s">
        <v>1843</v>
      </c>
      <c r="D1374" t="s">
        <v>773</v>
      </c>
      <c r="E1374" t="s">
        <v>1844</v>
      </c>
      <c r="F1374" t="s">
        <v>490</v>
      </c>
      <c r="G1374" t="s">
        <v>470</v>
      </c>
      <c r="H1374" t="s">
        <v>475</v>
      </c>
      <c r="I1374">
        <v>31040</v>
      </c>
    </row>
    <row r="1375" spans="1:9">
      <c r="A1375" s="90" t="s">
        <v>51</v>
      </c>
      <c r="B1375" s="87">
        <v>45982</v>
      </c>
      <c r="C1375" t="s">
        <v>1845</v>
      </c>
      <c r="D1375" t="s">
        <v>773</v>
      </c>
      <c r="E1375" t="s">
        <v>1846</v>
      </c>
      <c r="F1375" t="s">
        <v>490</v>
      </c>
      <c r="G1375" t="s">
        <v>470</v>
      </c>
      <c r="H1375" t="s">
        <v>475</v>
      </c>
      <c r="I1375">
        <v>35420</v>
      </c>
    </row>
    <row r="1376" spans="1:9">
      <c r="A1376" s="90" t="s">
        <v>51</v>
      </c>
      <c r="B1376" s="87">
        <v>45982</v>
      </c>
      <c r="C1376" t="s">
        <v>1847</v>
      </c>
      <c r="D1376" t="s">
        <v>773</v>
      </c>
      <c r="E1376" t="s">
        <v>1848</v>
      </c>
      <c r="F1376" t="s">
        <v>490</v>
      </c>
      <c r="G1376" t="s">
        <v>470</v>
      </c>
      <c r="H1376" t="s">
        <v>475</v>
      </c>
      <c r="I1376">
        <v>37380</v>
      </c>
    </row>
    <row r="1377" spans="1:9">
      <c r="A1377" s="90" t="s">
        <v>51</v>
      </c>
      <c r="B1377" s="87">
        <v>45982</v>
      </c>
      <c r="C1377" t="s">
        <v>1849</v>
      </c>
      <c r="D1377" t="s">
        <v>773</v>
      </c>
      <c r="E1377" t="s">
        <v>1850</v>
      </c>
      <c r="F1377" t="s">
        <v>490</v>
      </c>
      <c r="G1377" t="s">
        <v>470</v>
      </c>
      <c r="H1377" t="s">
        <v>475</v>
      </c>
      <c r="I1377">
        <v>38360</v>
      </c>
    </row>
    <row r="1378" spans="1:9">
      <c r="A1378" s="90" t="s">
        <v>51</v>
      </c>
      <c r="B1378" s="87">
        <v>45982</v>
      </c>
      <c r="C1378" t="s">
        <v>1851</v>
      </c>
      <c r="D1378" t="s">
        <v>773</v>
      </c>
      <c r="E1378" t="s">
        <v>1852</v>
      </c>
      <c r="F1378" t="s">
        <v>490</v>
      </c>
      <c r="G1378" t="s">
        <v>470</v>
      </c>
      <c r="H1378" t="s">
        <v>475</v>
      </c>
      <c r="I1378">
        <v>38360</v>
      </c>
    </row>
    <row r="1379" spans="1:9">
      <c r="A1379" s="90" t="s">
        <v>51</v>
      </c>
      <c r="B1379" s="87">
        <v>45982</v>
      </c>
      <c r="C1379" t="s">
        <v>1853</v>
      </c>
      <c r="D1379" t="s">
        <v>1693</v>
      </c>
      <c r="E1379" t="s">
        <v>1854</v>
      </c>
      <c r="F1379" t="s">
        <v>490</v>
      </c>
      <c r="G1379" t="s">
        <v>470</v>
      </c>
      <c r="H1379" t="s">
        <v>801</v>
      </c>
      <c r="I1379">
        <v>499999.5</v>
      </c>
    </row>
    <row r="1380" spans="1:9">
      <c r="A1380" s="90" t="s">
        <v>51</v>
      </c>
      <c r="B1380" s="87">
        <v>45982</v>
      </c>
      <c r="C1380" t="s">
        <v>517</v>
      </c>
      <c r="D1380" t="s">
        <v>512</v>
      </c>
      <c r="E1380" t="s">
        <v>968</v>
      </c>
      <c r="F1380" t="s">
        <v>474</v>
      </c>
      <c r="G1380" t="s">
        <v>470</v>
      </c>
      <c r="H1380" t="s">
        <v>475</v>
      </c>
      <c r="I1380">
        <v>31684.82</v>
      </c>
    </row>
    <row r="1381" spans="1:9">
      <c r="A1381" s="90" t="s">
        <v>51</v>
      </c>
      <c r="B1381" s="87">
        <v>45985</v>
      </c>
      <c r="C1381" t="s">
        <v>511</v>
      </c>
      <c r="D1381" t="s">
        <v>512</v>
      </c>
      <c r="E1381" t="s">
        <v>968</v>
      </c>
      <c r="F1381" t="s">
        <v>474</v>
      </c>
      <c r="G1381" t="s">
        <v>470</v>
      </c>
      <c r="H1381" t="s">
        <v>475</v>
      </c>
      <c r="I1381">
        <v>10196</v>
      </c>
    </row>
    <row r="1382" spans="1:9">
      <c r="A1382" s="90" t="s">
        <v>51</v>
      </c>
      <c r="B1382" s="87">
        <v>45989</v>
      </c>
      <c r="C1382" t="s">
        <v>511</v>
      </c>
      <c r="D1382" t="s">
        <v>512</v>
      </c>
      <c r="E1382" t="s">
        <v>968</v>
      </c>
      <c r="F1382" t="s">
        <v>474</v>
      </c>
      <c r="G1382" t="s">
        <v>470</v>
      </c>
      <c r="H1382" t="s">
        <v>475</v>
      </c>
      <c r="I1382">
        <v>6581.31</v>
      </c>
    </row>
    <row r="1383" spans="1:9">
      <c r="A1383" s="90" t="s">
        <v>51</v>
      </c>
      <c r="B1383" s="87">
        <v>45989</v>
      </c>
      <c r="C1383" t="s">
        <v>524</v>
      </c>
      <c r="D1383" t="s">
        <v>477</v>
      </c>
      <c r="E1383" t="s">
        <v>968</v>
      </c>
      <c r="F1383" t="s">
        <v>525</v>
      </c>
      <c r="G1383" t="s">
        <v>470</v>
      </c>
      <c r="H1383" t="s">
        <v>516</v>
      </c>
      <c r="I1383">
        <v>257.54000000000002</v>
      </c>
    </row>
    <row r="1384" spans="1:9">
      <c r="A1384" s="90" t="s">
        <v>51</v>
      </c>
      <c r="B1384" s="87">
        <v>45989</v>
      </c>
      <c r="C1384" t="s">
        <v>1855</v>
      </c>
      <c r="D1384" t="s">
        <v>477</v>
      </c>
      <c r="E1384" t="s">
        <v>968</v>
      </c>
      <c r="F1384" t="s">
        <v>525</v>
      </c>
      <c r="G1384" t="s">
        <v>470</v>
      </c>
      <c r="H1384" t="s">
        <v>516</v>
      </c>
      <c r="I1384">
        <v>35.049999999999997</v>
      </c>
    </row>
    <row r="1385" spans="1:9">
      <c r="A1385" s="90" t="s">
        <v>51</v>
      </c>
      <c r="B1385" s="87">
        <v>45989</v>
      </c>
      <c r="C1385" t="s">
        <v>524</v>
      </c>
      <c r="D1385" t="s">
        <v>477</v>
      </c>
      <c r="E1385" t="s">
        <v>968</v>
      </c>
      <c r="F1385" t="s">
        <v>525</v>
      </c>
      <c r="G1385" t="s">
        <v>470</v>
      </c>
      <c r="H1385" t="s">
        <v>471</v>
      </c>
      <c r="I1385">
        <v>728.3</v>
      </c>
    </row>
    <row r="1386" spans="1:9">
      <c r="A1386" s="90" t="s">
        <v>51</v>
      </c>
      <c r="B1386" s="87">
        <v>45989</v>
      </c>
      <c r="C1386" t="s">
        <v>524</v>
      </c>
      <c r="D1386" t="s">
        <v>1324</v>
      </c>
      <c r="E1386" t="s">
        <v>968</v>
      </c>
      <c r="F1386" t="s">
        <v>525</v>
      </c>
      <c r="G1386" t="s">
        <v>470</v>
      </c>
      <c r="H1386" t="s">
        <v>516</v>
      </c>
      <c r="I1386">
        <v>6261.86</v>
      </c>
    </row>
    <row r="1387" spans="1:9">
      <c r="A1387" s="90" t="s">
        <v>51</v>
      </c>
      <c r="B1387" s="87">
        <v>45989</v>
      </c>
      <c r="C1387" t="s">
        <v>1856</v>
      </c>
      <c r="D1387" t="s">
        <v>1743</v>
      </c>
      <c r="E1387" t="s">
        <v>968</v>
      </c>
      <c r="F1387" t="s">
        <v>469</v>
      </c>
      <c r="G1387" t="s">
        <v>470</v>
      </c>
      <c r="H1387" t="s">
        <v>475</v>
      </c>
      <c r="I1387">
        <v>31239.200000000001</v>
      </c>
    </row>
    <row r="1388" spans="1:9">
      <c r="A1388" s="90" t="s">
        <v>51</v>
      </c>
      <c r="B1388" s="87">
        <v>45992</v>
      </c>
      <c r="C1388" t="s">
        <v>511</v>
      </c>
      <c r="D1388" t="s">
        <v>512</v>
      </c>
      <c r="E1388" t="s">
        <v>1014</v>
      </c>
      <c r="F1388" t="s">
        <v>474</v>
      </c>
      <c r="G1388" t="s">
        <v>470</v>
      </c>
      <c r="H1388" t="s">
        <v>475</v>
      </c>
      <c r="I1388">
        <v>648.09</v>
      </c>
    </row>
    <row r="1389" spans="1:9">
      <c r="A1389" s="90" t="s">
        <v>51</v>
      </c>
      <c r="B1389" s="87">
        <v>45994</v>
      </c>
      <c r="C1389" t="s">
        <v>511</v>
      </c>
      <c r="D1389" t="s">
        <v>512</v>
      </c>
      <c r="E1389" t="s">
        <v>1014</v>
      </c>
      <c r="F1389" t="s">
        <v>474</v>
      </c>
      <c r="G1389" t="s">
        <v>470</v>
      </c>
      <c r="H1389" t="s">
        <v>475</v>
      </c>
      <c r="I1389">
        <v>393.63</v>
      </c>
    </row>
    <row r="1390" spans="1:9">
      <c r="A1390" s="90" t="s">
        <v>51</v>
      </c>
      <c r="B1390" s="87">
        <v>45996</v>
      </c>
      <c r="C1390" t="s">
        <v>511</v>
      </c>
      <c r="D1390" t="s">
        <v>512</v>
      </c>
      <c r="E1390" t="s">
        <v>1014</v>
      </c>
      <c r="F1390" t="s">
        <v>474</v>
      </c>
      <c r="G1390" t="s">
        <v>470</v>
      </c>
      <c r="H1390" t="s">
        <v>475</v>
      </c>
      <c r="I1390">
        <v>5321.5</v>
      </c>
    </row>
    <row r="1391" spans="1:9">
      <c r="A1391" s="90" t="s">
        <v>51</v>
      </c>
      <c r="B1391" s="87">
        <v>46000</v>
      </c>
      <c r="C1391" t="s">
        <v>1857</v>
      </c>
      <c r="D1391" t="s">
        <v>773</v>
      </c>
      <c r="E1391" t="s">
        <v>1858</v>
      </c>
      <c r="F1391" t="s">
        <v>490</v>
      </c>
      <c r="G1391" t="s">
        <v>470</v>
      </c>
      <c r="H1391" t="s">
        <v>475</v>
      </c>
      <c r="I1391">
        <v>39400</v>
      </c>
    </row>
    <row r="1392" spans="1:9">
      <c r="A1392" s="90" t="s">
        <v>51</v>
      </c>
      <c r="B1392" s="87">
        <v>46000</v>
      </c>
      <c r="C1392" t="s">
        <v>1859</v>
      </c>
      <c r="D1392" t="s">
        <v>773</v>
      </c>
      <c r="E1392" t="s">
        <v>1860</v>
      </c>
      <c r="F1392" t="s">
        <v>490</v>
      </c>
      <c r="G1392" t="s">
        <v>470</v>
      </c>
      <c r="H1392" t="s">
        <v>475</v>
      </c>
      <c r="I1392">
        <v>35620</v>
      </c>
    </row>
    <row r="1393" spans="1:9">
      <c r="A1393" s="90" t="s">
        <v>51</v>
      </c>
      <c r="B1393" s="87">
        <v>46000</v>
      </c>
      <c r="C1393" t="s">
        <v>1861</v>
      </c>
      <c r="D1393" t="s">
        <v>773</v>
      </c>
      <c r="E1393" t="s">
        <v>1862</v>
      </c>
      <c r="F1393" t="s">
        <v>490</v>
      </c>
      <c r="G1393" t="s">
        <v>470</v>
      </c>
      <c r="H1393" t="s">
        <v>475</v>
      </c>
      <c r="I1393">
        <v>36460</v>
      </c>
    </row>
    <row r="1394" spans="1:9">
      <c r="A1394" s="90" t="s">
        <v>51</v>
      </c>
      <c r="B1394" s="87">
        <v>46000</v>
      </c>
      <c r="C1394" t="s">
        <v>1863</v>
      </c>
      <c r="D1394" t="s">
        <v>773</v>
      </c>
      <c r="E1394" t="s">
        <v>1864</v>
      </c>
      <c r="F1394" t="s">
        <v>490</v>
      </c>
      <c r="G1394" t="s">
        <v>470</v>
      </c>
      <c r="H1394" t="s">
        <v>475</v>
      </c>
      <c r="I1394">
        <v>37340</v>
      </c>
    </row>
    <row r="1395" spans="1:9">
      <c r="A1395" s="90" t="s">
        <v>51</v>
      </c>
      <c r="B1395" s="87">
        <v>46000</v>
      </c>
      <c r="C1395" t="s">
        <v>517</v>
      </c>
      <c r="D1395" t="s">
        <v>512</v>
      </c>
      <c r="E1395" t="s">
        <v>1014</v>
      </c>
      <c r="F1395" t="s">
        <v>474</v>
      </c>
      <c r="G1395" t="s">
        <v>470</v>
      </c>
      <c r="H1395" t="s">
        <v>475</v>
      </c>
      <c r="I1395">
        <v>50820</v>
      </c>
    </row>
    <row r="1396" spans="1:9">
      <c r="A1396" s="90" t="s">
        <v>51</v>
      </c>
      <c r="B1396" s="87">
        <v>46001</v>
      </c>
      <c r="C1396" t="s">
        <v>511</v>
      </c>
      <c r="D1396" t="s">
        <v>512</v>
      </c>
      <c r="E1396" t="s">
        <v>1014</v>
      </c>
      <c r="F1396" t="s">
        <v>474</v>
      </c>
      <c r="G1396" t="s">
        <v>470</v>
      </c>
      <c r="H1396" t="s">
        <v>475</v>
      </c>
      <c r="I1396">
        <v>1101.6199999999999</v>
      </c>
    </row>
    <row r="1397" spans="1:9">
      <c r="A1397" s="90" t="s">
        <v>51</v>
      </c>
      <c r="B1397" s="87">
        <v>46002</v>
      </c>
      <c r="C1397" t="s">
        <v>511</v>
      </c>
      <c r="D1397" t="s">
        <v>512</v>
      </c>
      <c r="E1397" t="s">
        <v>1014</v>
      </c>
      <c r="F1397" t="s">
        <v>474</v>
      </c>
      <c r="G1397" t="s">
        <v>470</v>
      </c>
      <c r="H1397" t="s">
        <v>475</v>
      </c>
      <c r="I1397">
        <v>53000</v>
      </c>
    </row>
    <row r="1398" spans="1:9">
      <c r="A1398" s="90" t="s">
        <v>51</v>
      </c>
      <c r="B1398" s="87">
        <v>46007</v>
      </c>
      <c r="C1398" t="s">
        <v>1865</v>
      </c>
      <c r="D1398" t="s">
        <v>773</v>
      </c>
      <c r="E1398" t="s">
        <v>1866</v>
      </c>
      <c r="F1398" t="s">
        <v>490</v>
      </c>
      <c r="G1398" t="s">
        <v>470</v>
      </c>
      <c r="H1398" t="s">
        <v>475</v>
      </c>
      <c r="I1398">
        <v>37440</v>
      </c>
    </row>
    <row r="1399" spans="1:9">
      <c r="A1399" s="90" t="s">
        <v>51</v>
      </c>
      <c r="B1399" s="87">
        <v>46007</v>
      </c>
      <c r="C1399" t="s">
        <v>1867</v>
      </c>
      <c r="D1399" t="s">
        <v>477</v>
      </c>
      <c r="E1399" t="s">
        <v>1868</v>
      </c>
      <c r="F1399" t="s">
        <v>218</v>
      </c>
      <c r="G1399" t="s">
        <v>470</v>
      </c>
      <c r="H1399" t="s">
        <v>516</v>
      </c>
      <c r="I1399">
        <v>1140</v>
      </c>
    </row>
    <row r="1400" spans="1:9">
      <c r="A1400" s="90" t="s">
        <v>51</v>
      </c>
      <c r="B1400" s="87">
        <v>46007</v>
      </c>
      <c r="C1400" t="s">
        <v>511</v>
      </c>
      <c r="D1400" t="s">
        <v>512</v>
      </c>
      <c r="E1400" t="s">
        <v>1014</v>
      </c>
      <c r="F1400" t="s">
        <v>474</v>
      </c>
      <c r="G1400" t="s">
        <v>470</v>
      </c>
      <c r="H1400" t="s">
        <v>475</v>
      </c>
      <c r="I1400">
        <v>17747.919999999998</v>
      </c>
    </row>
    <row r="1401" spans="1:9">
      <c r="A1401" s="90" t="s">
        <v>51</v>
      </c>
      <c r="B1401" s="87">
        <v>46008</v>
      </c>
      <c r="C1401" t="s">
        <v>511</v>
      </c>
      <c r="D1401" t="s">
        <v>512</v>
      </c>
      <c r="E1401" t="s">
        <v>1014</v>
      </c>
      <c r="F1401" t="s">
        <v>474</v>
      </c>
      <c r="G1401" t="s">
        <v>470</v>
      </c>
      <c r="H1401" t="s">
        <v>475</v>
      </c>
      <c r="I1401">
        <v>58.73</v>
      </c>
    </row>
    <row r="1402" spans="1:9">
      <c r="A1402" s="90" t="s">
        <v>51</v>
      </c>
      <c r="B1402" s="87">
        <v>46010</v>
      </c>
      <c r="C1402" t="s">
        <v>511</v>
      </c>
      <c r="D1402" t="s">
        <v>512</v>
      </c>
      <c r="E1402" t="s">
        <v>1014</v>
      </c>
      <c r="F1402" t="s">
        <v>474</v>
      </c>
      <c r="G1402" t="s">
        <v>470</v>
      </c>
      <c r="H1402" t="s">
        <v>475</v>
      </c>
      <c r="I1402">
        <v>1498.15</v>
      </c>
    </row>
    <row r="1403" spans="1:9">
      <c r="A1403" s="90" t="s">
        <v>51</v>
      </c>
      <c r="B1403" s="87">
        <v>46021</v>
      </c>
      <c r="C1403" t="s">
        <v>511</v>
      </c>
      <c r="D1403" t="s">
        <v>512</v>
      </c>
      <c r="E1403" t="s">
        <v>1014</v>
      </c>
      <c r="F1403" t="s">
        <v>474</v>
      </c>
      <c r="G1403" t="s">
        <v>470</v>
      </c>
      <c r="H1403" t="s">
        <v>475</v>
      </c>
      <c r="I1403">
        <v>6059.54</v>
      </c>
    </row>
    <row r="1404" spans="1:9">
      <c r="A1404" s="90" t="s">
        <v>51</v>
      </c>
      <c r="B1404" s="87">
        <v>46022</v>
      </c>
      <c r="C1404" t="s">
        <v>524</v>
      </c>
      <c r="D1404" t="s">
        <v>477</v>
      </c>
      <c r="E1404" t="s">
        <v>1014</v>
      </c>
      <c r="F1404" t="s">
        <v>525</v>
      </c>
      <c r="G1404" t="s">
        <v>470</v>
      </c>
      <c r="H1404" t="s">
        <v>516</v>
      </c>
      <c r="I1404">
        <v>40.229999999999997</v>
      </c>
    </row>
    <row r="1405" spans="1:9">
      <c r="A1405" s="90" t="s">
        <v>51</v>
      </c>
      <c r="B1405" s="87">
        <v>46022</v>
      </c>
      <c r="C1405" t="s">
        <v>524</v>
      </c>
      <c r="D1405" t="s">
        <v>477</v>
      </c>
      <c r="E1405" t="s">
        <v>1014</v>
      </c>
      <c r="F1405" t="s">
        <v>525</v>
      </c>
      <c r="G1405" t="s">
        <v>470</v>
      </c>
      <c r="H1405" t="s">
        <v>516</v>
      </c>
      <c r="I1405">
        <v>846.38</v>
      </c>
    </row>
    <row r="1406" spans="1:9">
      <c r="A1406" s="90" t="s">
        <v>51</v>
      </c>
      <c r="B1406" s="87">
        <v>46022</v>
      </c>
      <c r="C1406" t="s">
        <v>524</v>
      </c>
      <c r="D1406" t="s">
        <v>477</v>
      </c>
      <c r="E1406" t="s">
        <v>1014</v>
      </c>
      <c r="F1406" t="s">
        <v>525</v>
      </c>
      <c r="G1406" t="s">
        <v>470</v>
      </c>
      <c r="H1406" t="s">
        <v>516</v>
      </c>
      <c r="I1406">
        <v>42.64</v>
      </c>
    </row>
    <row r="1407" spans="1:9">
      <c r="A1407" s="90" t="s">
        <v>51</v>
      </c>
      <c r="B1407" s="87">
        <v>46022</v>
      </c>
      <c r="C1407" t="s">
        <v>524</v>
      </c>
      <c r="D1407" t="s">
        <v>1324</v>
      </c>
      <c r="E1407" t="s">
        <v>1014</v>
      </c>
      <c r="F1407" t="s">
        <v>525</v>
      </c>
      <c r="G1407" t="s">
        <v>470</v>
      </c>
      <c r="H1407" t="s">
        <v>516</v>
      </c>
      <c r="I1407">
        <v>2983.51</v>
      </c>
    </row>
    <row r="1408" spans="1:9">
      <c r="A1408" s="90" t="s">
        <v>51</v>
      </c>
      <c r="B1408" s="87">
        <v>46024</v>
      </c>
      <c r="C1408" t="s">
        <v>511</v>
      </c>
      <c r="D1408" t="s">
        <v>512</v>
      </c>
      <c r="E1408" t="s">
        <v>1093</v>
      </c>
      <c r="F1408" t="s">
        <v>474</v>
      </c>
      <c r="G1408" t="s">
        <v>470</v>
      </c>
      <c r="H1408" t="s">
        <v>475</v>
      </c>
      <c r="I1408">
        <v>648.59</v>
      </c>
    </row>
    <row r="1409" spans="1:9">
      <c r="A1409" s="90" t="s">
        <v>51</v>
      </c>
      <c r="B1409" s="87">
        <v>46027</v>
      </c>
      <c r="C1409" t="s">
        <v>511</v>
      </c>
      <c r="D1409" t="s">
        <v>512</v>
      </c>
      <c r="E1409" t="s">
        <v>1093</v>
      </c>
      <c r="F1409" t="s">
        <v>474</v>
      </c>
      <c r="G1409" t="s">
        <v>470</v>
      </c>
      <c r="H1409" t="s">
        <v>475</v>
      </c>
      <c r="I1409">
        <v>179.9</v>
      </c>
    </row>
    <row r="1410" spans="1:9">
      <c r="A1410" s="90" t="s">
        <v>51</v>
      </c>
      <c r="B1410" s="87">
        <v>46028</v>
      </c>
      <c r="C1410" t="s">
        <v>511</v>
      </c>
      <c r="D1410" t="s">
        <v>512</v>
      </c>
      <c r="E1410" t="s">
        <v>1093</v>
      </c>
      <c r="F1410" t="s">
        <v>474</v>
      </c>
      <c r="G1410" t="s">
        <v>470</v>
      </c>
      <c r="H1410" t="s">
        <v>475</v>
      </c>
      <c r="I1410">
        <v>581.89</v>
      </c>
    </row>
    <row r="1411" spans="1:9">
      <c r="A1411" s="90" t="s">
        <v>51</v>
      </c>
      <c r="B1411" s="87">
        <v>46031</v>
      </c>
      <c r="C1411" t="s">
        <v>511</v>
      </c>
      <c r="D1411" t="s">
        <v>512</v>
      </c>
      <c r="E1411" t="s">
        <v>1093</v>
      </c>
      <c r="F1411" t="s">
        <v>474</v>
      </c>
      <c r="G1411" t="s">
        <v>470</v>
      </c>
      <c r="H1411" t="s">
        <v>475</v>
      </c>
      <c r="I1411">
        <v>125</v>
      </c>
    </row>
    <row r="1412" spans="1:9">
      <c r="A1412" s="90" t="s">
        <v>51</v>
      </c>
      <c r="B1412" s="87">
        <v>46034</v>
      </c>
      <c r="C1412" t="s">
        <v>1869</v>
      </c>
      <c r="D1412" t="s">
        <v>773</v>
      </c>
      <c r="E1412" t="s">
        <v>1870</v>
      </c>
      <c r="F1412" t="s">
        <v>490</v>
      </c>
      <c r="G1412" t="s">
        <v>470</v>
      </c>
      <c r="H1412" t="s">
        <v>475</v>
      </c>
      <c r="I1412">
        <v>37500</v>
      </c>
    </row>
    <row r="1413" spans="1:9">
      <c r="A1413" s="90" t="s">
        <v>51</v>
      </c>
      <c r="B1413" s="87">
        <v>46034</v>
      </c>
      <c r="C1413" t="s">
        <v>1871</v>
      </c>
      <c r="D1413" t="s">
        <v>773</v>
      </c>
      <c r="E1413" t="s">
        <v>1872</v>
      </c>
      <c r="F1413" t="s">
        <v>490</v>
      </c>
      <c r="G1413" t="s">
        <v>470</v>
      </c>
      <c r="H1413" t="s">
        <v>475</v>
      </c>
      <c r="I1413">
        <v>38780</v>
      </c>
    </row>
    <row r="1414" spans="1:9">
      <c r="A1414" s="90" t="s">
        <v>51</v>
      </c>
      <c r="B1414" s="87">
        <v>46034</v>
      </c>
      <c r="C1414" t="s">
        <v>517</v>
      </c>
      <c r="D1414" t="s">
        <v>512</v>
      </c>
      <c r="E1414" t="s">
        <v>1093</v>
      </c>
      <c r="F1414" t="s">
        <v>474</v>
      </c>
      <c r="G1414" t="s">
        <v>470</v>
      </c>
      <c r="H1414" t="s">
        <v>475</v>
      </c>
      <c r="I1414">
        <v>69328.350000000006</v>
      </c>
    </row>
    <row r="1415" spans="1:9">
      <c r="A1415" s="90" t="s">
        <v>51</v>
      </c>
      <c r="B1415" s="87">
        <v>46037</v>
      </c>
      <c r="C1415" t="s">
        <v>511</v>
      </c>
      <c r="D1415" t="s">
        <v>512</v>
      </c>
      <c r="E1415" t="s">
        <v>1093</v>
      </c>
      <c r="F1415" t="s">
        <v>474</v>
      </c>
      <c r="G1415" t="s">
        <v>470</v>
      </c>
      <c r="H1415" t="s">
        <v>475</v>
      </c>
      <c r="I1415">
        <v>3000</v>
      </c>
    </row>
    <row r="1416" spans="1:9">
      <c r="A1416" s="90" t="s">
        <v>51</v>
      </c>
      <c r="B1416" s="87">
        <v>46038</v>
      </c>
      <c r="C1416" t="s">
        <v>1873</v>
      </c>
      <c r="D1416" t="s">
        <v>773</v>
      </c>
      <c r="E1416" t="s">
        <v>1874</v>
      </c>
      <c r="F1416" t="s">
        <v>490</v>
      </c>
      <c r="G1416" t="s">
        <v>470</v>
      </c>
      <c r="H1416" t="s">
        <v>475</v>
      </c>
      <c r="I1416">
        <v>38260</v>
      </c>
    </row>
    <row r="1417" spans="1:9">
      <c r="A1417" s="90" t="s">
        <v>51</v>
      </c>
      <c r="B1417" s="87">
        <v>46038</v>
      </c>
      <c r="C1417" t="s">
        <v>1875</v>
      </c>
      <c r="D1417" t="s">
        <v>773</v>
      </c>
      <c r="E1417" t="s">
        <v>1876</v>
      </c>
      <c r="F1417" t="s">
        <v>490</v>
      </c>
      <c r="G1417" t="s">
        <v>470</v>
      </c>
      <c r="H1417" t="s">
        <v>475</v>
      </c>
      <c r="I1417">
        <v>18640</v>
      </c>
    </row>
    <row r="1418" spans="1:9">
      <c r="A1418" s="90" t="s">
        <v>51</v>
      </c>
      <c r="B1418" s="87">
        <v>46038</v>
      </c>
      <c r="C1418" t="s">
        <v>1108</v>
      </c>
      <c r="D1418" t="s">
        <v>773</v>
      </c>
      <c r="E1418" t="s">
        <v>1093</v>
      </c>
      <c r="F1418" t="s">
        <v>537</v>
      </c>
      <c r="G1418" t="s">
        <v>470</v>
      </c>
      <c r="H1418" t="s">
        <v>475</v>
      </c>
      <c r="I1418">
        <v>60000</v>
      </c>
    </row>
    <row r="1419" spans="1:9">
      <c r="A1419" s="90" t="s">
        <v>51</v>
      </c>
      <c r="B1419" s="87">
        <v>46038</v>
      </c>
      <c r="C1419" t="s">
        <v>511</v>
      </c>
      <c r="D1419" t="s">
        <v>512</v>
      </c>
      <c r="E1419" t="s">
        <v>1093</v>
      </c>
      <c r="F1419" t="s">
        <v>474</v>
      </c>
      <c r="G1419" t="s">
        <v>470</v>
      </c>
      <c r="H1419" t="s">
        <v>475</v>
      </c>
      <c r="I1419">
        <v>69825.98</v>
      </c>
    </row>
    <row r="1420" spans="1:9">
      <c r="A1420" s="90" t="s">
        <v>51</v>
      </c>
      <c r="B1420" s="87">
        <v>46038</v>
      </c>
      <c r="C1420" t="s">
        <v>511</v>
      </c>
      <c r="D1420" t="s">
        <v>512</v>
      </c>
      <c r="E1420" t="s">
        <v>1093</v>
      </c>
      <c r="F1420" t="s">
        <v>474</v>
      </c>
      <c r="G1420" t="s">
        <v>470</v>
      </c>
      <c r="H1420" t="s">
        <v>475</v>
      </c>
      <c r="I1420">
        <v>69931.55</v>
      </c>
    </row>
    <row r="1421" spans="1:9">
      <c r="A1421" s="90" t="s">
        <v>51</v>
      </c>
      <c r="B1421" s="87">
        <v>46041</v>
      </c>
      <c r="C1421" t="s">
        <v>1322</v>
      </c>
      <c r="D1421" t="s">
        <v>512</v>
      </c>
      <c r="E1421" t="s">
        <v>1093</v>
      </c>
      <c r="F1421" t="s">
        <v>474</v>
      </c>
      <c r="G1421" t="s">
        <v>470</v>
      </c>
      <c r="H1421" t="s">
        <v>475</v>
      </c>
      <c r="I1421">
        <v>200529.71</v>
      </c>
    </row>
    <row r="1422" spans="1:9">
      <c r="A1422" s="90" t="s">
        <v>51</v>
      </c>
      <c r="B1422" s="87">
        <v>46041</v>
      </c>
      <c r="C1422" t="s">
        <v>517</v>
      </c>
      <c r="D1422" t="s">
        <v>512</v>
      </c>
      <c r="E1422" t="s">
        <v>1093</v>
      </c>
      <c r="F1422" t="s">
        <v>474</v>
      </c>
      <c r="G1422" t="s">
        <v>470</v>
      </c>
      <c r="H1422" t="s">
        <v>475</v>
      </c>
      <c r="I1422">
        <v>130000</v>
      </c>
    </row>
    <row r="1423" spans="1:9">
      <c r="A1423" s="90" t="s">
        <v>51</v>
      </c>
      <c r="B1423" s="87">
        <v>46041</v>
      </c>
      <c r="C1423" t="s">
        <v>517</v>
      </c>
      <c r="D1423" t="s">
        <v>512</v>
      </c>
      <c r="E1423" t="s">
        <v>1877</v>
      </c>
      <c r="F1423" t="s">
        <v>474</v>
      </c>
      <c r="G1423" t="s">
        <v>470</v>
      </c>
      <c r="H1423" t="s">
        <v>475</v>
      </c>
      <c r="I1423">
        <v>7450.04</v>
      </c>
    </row>
    <row r="1424" spans="1:9">
      <c r="A1424" s="90" t="s">
        <v>51</v>
      </c>
      <c r="B1424" s="87">
        <v>46042</v>
      </c>
      <c r="C1424" t="s">
        <v>1322</v>
      </c>
      <c r="D1424" t="s">
        <v>512</v>
      </c>
      <c r="E1424" t="s">
        <v>1093</v>
      </c>
      <c r="F1424" t="s">
        <v>474</v>
      </c>
      <c r="G1424" t="s">
        <v>470</v>
      </c>
      <c r="H1424" t="s">
        <v>475</v>
      </c>
      <c r="I1424">
        <v>99193.42</v>
      </c>
    </row>
    <row r="1425" spans="1:9">
      <c r="A1425" s="90" t="s">
        <v>51</v>
      </c>
      <c r="B1425" s="87">
        <v>46042</v>
      </c>
      <c r="C1425" t="s">
        <v>1878</v>
      </c>
      <c r="D1425" t="s">
        <v>512</v>
      </c>
      <c r="E1425" t="s">
        <v>1093</v>
      </c>
      <c r="F1425" t="s">
        <v>474</v>
      </c>
      <c r="G1425" t="s">
        <v>470</v>
      </c>
      <c r="H1425" t="s">
        <v>475</v>
      </c>
      <c r="I1425">
        <v>13794.89</v>
      </c>
    </row>
    <row r="1426" spans="1:9">
      <c r="A1426" s="90" t="s">
        <v>51</v>
      </c>
      <c r="B1426" s="87">
        <v>46042</v>
      </c>
      <c r="C1426" t="s">
        <v>511</v>
      </c>
      <c r="D1426" t="s">
        <v>512</v>
      </c>
      <c r="E1426" t="s">
        <v>1093</v>
      </c>
      <c r="F1426" t="s">
        <v>474</v>
      </c>
      <c r="G1426" t="s">
        <v>470</v>
      </c>
      <c r="H1426" t="s">
        <v>475</v>
      </c>
      <c r="I1426">
        <v>87823.69</v>
      </c>
    </row>
    <row r="1427" spans="1:9">
      <c r="A1427" s="90" t="s">
        <v>51</v>
      </c>
      <c r="B1427" s="87">
        <v>46043</v>
      </c>
      <c r="C1427" t="s">
        <v>1879</v>
      </c>
      <c r="D1427" t="s">
        <v>477</v>
      </c>
      <c r="E1427" t="s">
        <v>1880</v>
      </c>
      <c r="F1427" t="s">
        <v>218</v>
      </c>
      <c r="G1427" t="s">
        <v>470</v>
      </c>
      <c r="H1427" t="s">
        <v>516</v>
      </c>
      <c r="I1427">
        <v>2370</v>
      </c>
    </row>
    <row r="1428" spans="1:9">
      <c r="A1428" s="90" t="s">
        <v>51</v>
      </c>
      <c r="B1428" s="87">
        <v>46043</v>
      </c>
      <c r="C1428" t="s">
        <v>517</v>
      </c>
      <c r="D1428" t="s">
        <v>512</v>
      </c>
      <c r="E1428" t="s">
        <v>1093</v>
      </c>
      <c r="F1428" t="s">
        <v>475</v>
      </c>
      <c r="G1428" t="s">
        <v>470</v>
      </c>
      <c r="H1428" t="s">
        <v>516</v>
      </c>
      <c r="I1428">
        <v>56</v>
      </c>
    </row>
    <row r="1429" spans="1:9">
      <c r="A1429" s="90" t="s">
        <v>51</v>
      </c>
      <c r="B1429" s="87">
        <v>46045</v>
      </c>
      <c r="C1429" t="s">
        <v>1108</v>
      </c>
      <c r="D1429" t="s">
        <v>1881</v>
      </c>
      <c r="E1429" t="s">
        <v>1093</v>
      </c>
      <c r="F1429" t="s">
        <v>537</v>
      </c>
      <c r="G1429" t="s">
        <v>470</v>
      </c>
      <c r="H1429" t="s">
        <v>475</v>
      </c>
      <c r="I1429">
        <v>50000</v>
      </c>
    </row>
    <row r="1430" spans="1:9">
      <c r="A1430" s="90" t="s">
        <v>51</v>
      </c>
      <c r="B1430" s="87">
        <v>46045</v>
      </c>
      <c r="C1430" t="s">
        <v>511</v>
      </c>
      <c r="D1430" t="s">
        <v>512</v>
      </c>
      <c r="E1430" t="s">
        <v>1093</v>
      </c>
      <c r="F1430" t="s">
        <v>474</v>
      </c>
      <c r="G1430" t="s">
        <v>470</v>
      </c>
      <c r="H1430" t="s">
        <v>475</v>
      </c>
      <c r="I1430">
        <v>56</v>
      </c>
    </row>
    <row r="1431" spans="1:9">
      <c r="A1431" s="90" t="s">
        <v>51</v>
      </c>
      <c r="B1431" s="87">
        <v>46045</v>
      </c>
      <c r="C1431" t="s">
        <v>511</v>
      </c>
      <c r="D1431" t="s">
        <v>512</v>
      </c>
      <c r="E1431" t="s">
        <v>1093</v>
      </c>
      <c r="F1431" t="s">
        <v>474</v>
      </c>
      <c r="G1431" t="s">
        <v>470</v>
      </c>
      <c r="H1431" t="s">
        <v>475</v>
      </c>
      <c r="I1431">
        <v>43817.19</v>
      </c>
    </row>
    <row r="1432" spans="1:9">
      <c r="A1432" s="90" t="s">
        <v>51</v>
      </c>
      <c r="B1432" s="87">
        <v>46048</v>
      </c>
      <c r="C1432" t="s">
        <v>1399</v>
      </c>
      <c r="D1432" t="s">
        <v>512</v>
      </c>
      <c r="E1432" t="s">
        <v>1093</v>
      </c>
      <c r="F1432" t="s">
        <v>474</v>
      </c>
      <c r="G1432" t="s">
        <v>470</v>
      </c>
      <c r="H1432" t="s">
        <v>475</v>
      </c>
      <c r="I1432">
        <v>370100.28</v>
      </c>
    </row>
    <row r="1433" spans="1:9">
      <c r="A1433" s="90" t="s">
        <v>51</v>
      </c>
      <c r="B1433" s="87">
        <v>46048</v>
      </c>
      <c r="C1433" t="s">
        <v>517</v>
      </c>
      <c r="D1433" t="s">
        <v>512</v>
      </c>
      <c r="E1433" t="s">
        <v>1093</v>
      </c>
      <c r="F1433" t="s">
        <v>474</v>
      </c>
      <c r="G1433" t="s">
        <v>470</v>
      </c>
      <c r="H1433" t="s">
        <v>475</v>
      </c>
      <c r="I1433">
        <v>176680.28</v>
      </c>
    </row>
    <row r="1434" spans="1:9">
      <c r="A1434" s="90" t="s">
        <v>51</v>
      </c>
      <c r="B1434" s="87">
        <v>46049</v>
      </c>
      <c r="C1434" t="s">
        <v>511</v>
      </c>
      <c r="D1434" t="s">
        <v>512</v>
      </c>
      <c r="E1434" t="s">
        <v>1093</v>
      </c>
      <c r="F1434" t="s">
        <v>474</v>
      </c>
      <c r="G1434" t="s">
        <v>470</v>
      </c>
      <c r="H1434" t="s">
        <v>487</v>
      </c>
      <c r="I1434">
        <v>95000</v>
      </c>
    </row>
    <row r="1435" spans="1:9">
      <c r="A1435" s="90" t="s">
        <v>51</v>
      </c>
      <c r="B1435" s="87">
        <v>46050</v>
      </c>
      <c r="C1435" t="s">
        <v>1882</v>
      </c>
      <c r="D1435" t="s">
        <v>477</v>
      </c>
      <c r="E1435" t="s">
        <v>1883</v>
      </c>
      <c r="F1435" t="s">
        <v>218</v>
      </c>
      <c r="G1435" t="s">
        <v>470</v>
      </c>
      <c r="H1435" t="s">
        <v>516</v>
      </c>
      <c r="I1435">
        <v>6875</v>
      </c>
    </row>
    <row r="1436" spans="1:9">
      <c r="A1436" s="90" t="s">
        <v>51</v>
      </c>
      <c r="B1436" s="87">
        <v>46050</v>
      </c>
      <c r="C1436" t="s">
        <v>511</v>
      </c>
      <c r="D1436" t="s">
        <v>512</v>
      </c>
      <c r="E1436" t="s">
        <v>1093</v>
      </c>
      <c r="F1436" t="s">
        <v>474</v>
      </c>
      <c r="G1436" t="s">
        <v>470</v>
      </c>
      <c r="H1436" t="s">
        <v>475</v>
      </c>
      <c r="I1436">
        <v>43125</v>
      </c>
    </row>
    <row r="1437" spans="1:9">
      <c r="A1437" s="90" t="s">
        <v>51</v>
      </c>
      <c r="B1437" s="87">
        <v>46052</v>
      </c>
      <c r="C1437" t="s">
        <v>1884</v>
      </c>
      <c r="D1437" t="s">
        <v>1140</v>
      </c>
      <c r="E1437" t="s">
        <v>1885</v>
      </c>
      <c r="F1437" t="s">
        <v>490</v>
      </c>
      <c r="G1437" t="s">
        <v>470</v>
      </c>
      <c r="H1437" t="s">
        <v>516</v>
      </c>
      <c r="I1437">
        <v>113367.6</v>
      </c>
    </row>
    <row r="1438" spans="1:9">
      <c r="A1438" s="90" t="s">
        <v>51</v>
      </c>
      <c r="B1438" s="87">
        <v>46052</v>
      </c>
      <c r="C1438" t="s">
        <v>1886</v>
      </c>
      <c r="D1438" t="s">
        <v>1140</v>
      </c>
      <c r="E1438" t="s">
        <v>1887</v>
      </c>
      <c r="F1438" t="s">
        <v>490</v>
      </c>
      <c r="G1438" t="s">
        <v>470</v>
      </c>
      <c r="H1438" t="s">
        <v>516</v>
      </c>
      <c r="I1438">
        <v>96276.6</v>
      </c>
    </row>
    <row r="1439" spans="1:9">
      <c r="A1439" s="90" t="s">
        <v>51</v>
      </c>
      <c r="B1439" s="87">
        <v>46052</v>
      </c>
      <c r="C1439" t="s">
        <v>1888</v>
      </c>
      <c r="D1439" t="s">
        <v>1140</v>
      </c>
      <c r="E1439" t="s">
        <v>1889</v>
      </c>
      <c r="F1439" t="s">
        <v>490</v>
      </c>
      <c r="G1439" t="s">
        <v>470</v>
      </c>
      <c r="H1439" t="s">
        <v>516</v>
      </c>
      <c r="I1439">
        <v>96400.8</v>
      </c>
    </row>
    <row r="1440" spans="1:9">
      <c r="A1440" s="90" t="s">
        <v>51</v>
      </c>
      <c r="B1440" s="87">
        <v>46052</v>
      </c>
      <c r="C1440" t="s">
        <v>1890</v>
      </c>
      <c r="D1440" t="s">
        <v>1140</v>
      </c>
      <c r="E1440" t="s">
        <v>1891</v>
      </c>
      <c r="F1440" t="s">
        <v>490</v>
      </c>
      <c r="G1440" t="s">
        <v>470</v>
      </c>
      <c r="H1440" t="s">
        <v>516</v>
      </c>
      <c r="I1440">
        <v>93562.2</v>
      </c>
    </row>
    <row r="1441" spans="1:9">
      <c r="A1441" s="90" t="s">
        <v>51</v>
      </c>
      <c r="B1441" s="87">
        <v>46052</v>
      </c>
      <c r="C1441" t="s">
        <v>1892</v>
      </c>
      <c r="D1441" t="s">
        <v>1140</v>
      </c>
      <c r="E1441" t="s">
        <v>1893</v>
      </c>
      <c r="F1441" t="s">
        <v>490</v>
      </c>
      <c r="G1441" t="s">
        <v>470</v>
      </c>
      <c r="H1441" t="s">
        <v>516</v>
      </c>
      <c r="I1441">
        <v>96456.6</v>
      </c>
    </row>
    <row r="1442" spans="1:9">
      <c r="A1442" s="90" t="s">
        <v>51</v>
      </c>
      <c r="B1442" s="87">
        <v>46052</v>
      </c>
      <c r="C1442" t="s">
        <v>1894</v>
      </c>
      <c r="D1442" t="s">
        <v>1140</v>
      </c>
      <c r="E1442" t="s">
        <v>1895</v>
      </c>
      <c r="F1442" t="s">
        <v>490</v>
      </c>
      <c r="G1442" t="s">
        <v>470</v>
      </c>
      <c r="H1442" t="s">
        <v>516</v>
      </c>
      <c r="I1442">
        <v>109936.8</v>
      </c>
    </row>
    <row r="1443" spans="1:9">
      <c r="A1443" s="90" t="s">
        <v>51</v>
      </c>
      <c r="B1443" s="87">
        <v>46052</v>
      </c>
      <c r="C1443" t="s">
        <v>1896</v>
      </c>
      <c r="D1443" t="s">
        <v>1140</v>
      </c>
      <c r="E1443" t="s">
        <v>1897</v>
      </c>
      <c r="F1443" t="s">
        <v>490</v>
      </c>
      <c r="G1443" t="s">
        <v>470</v>
      </c>
      <c r="H1443" t="s">
        <v>516</v>
      </c>
      <c r="I1443">
        <v>79444.800000000003</v>
      </c>
    </row>
    <row r="1444" spans="1:9">
      <c r="A1444" s="90" t="s">
        <v>51</v>
      </c>
      <c r="B1444" s="87">
        <v>46052</v>
      </c>
      <c r="C1444" t="s">
        <v>517</v>
      </c>
      <c r="D1444" t="s">
        <v>512</v>
      </c>
      <c r="E1444" t="s">
        <v>1093</v>
      </c>
      <c r="F1444" t="s">
        <v>474</v>
      </c>
      <c r="G1444" t="s">
        <v>470</v>
      </c>
      <c r="H1444" t="s">
        <v>475</v>
      </c>
      <c r="I1444">
        <v>646999.49</v>
      </c>
    </row>
    <row r="1445" spans="1:9">
      <c r="A1445" s="90" t="s">
        <v>51</v>
      </c>
      <c r="B1445" s="87">
        <v>46052</v>
      </c>
      <c r="C1445" t="s">
        <v>1898</v>
      </c>
      <c r="D1445" t="s">
        <v>1140</v>
      </c>
      <c r="E1445" t="s">
        <v>1899</v>
      </c>
      <c r="F1445" t="s">
        <v>490</v>
      </c>
      <c r="G1445" t="s">
        <v>470</v>
      </c>
      <c r="H1445" t="s">
        <v>516</v>
      </c>
      <c r="I1445">
        <v>19305.46</v>
      </c>
    </row>
    <row r="1446" spans="1:9">
      <c r="A1446" s="90" t="s">
        <v>51</v>
      </c>
      <c r="B1446" s="87">
        <v>46052</v>
      </c>
      <c r="C1446" t="s">
        <v>1744</v>
      </c>
      <c r="D1446" t="s">
        <v>477</v>
      </c>
      <c r="E1446" t="s">
        <v>1093</v>
      </c>
      <c r="F1446" t="s">
        <v>1117</v>
      </c>
      <c r="G1446" t="s">
        <v>470</v>
      </c>
      <c r="H1446" t="s">
        <v>516</v>
      </c>
      <c r="I1446">
        <v>168.41</v>
      </c>
    </row>
    <row r="1447" spans="1:9">
      <c r="A1447" s="90" t="s">
        <v>51</v>
      </c>
      <c r="B1447" s="87">
        <v>46052</v>
      </c>
      <c r="C1447" t="s">
        <v>524</v>
      </c>
      <c r="D1447" t="s">
        <v>477</v>
      </c>
      <c r="E1447" t="s">
        <v>1093</v>
      </c>
      <c r="F1447" t="s">
        <v>1117</v>
      </c>
      <c r="G1447" t="s">
        <v>470</v>
      </c>
      <c r="H1447" t="s">
        <v>516</v>
      </c>
      <c r="I1447">
        <v>440.61</v>
      </c>
    </row>
    <row r="1448" spans="1:9">
      <c r="A1448" s="90" t="s">
        <v>51</v>
      </c>
      <c r="B1448" s="87">
        <v>46052</v>
      </c>
      <c r="C1448" t="s">
        <v>524</v>
      </c>
      <c r="D1448" t="s">
        <v>477</v>
      </c>
      <c r="E1448" t="s">
        <v>1093</v>
      </c>
      <c r="F1448" t="s">
        <v>1117</v>
      </c>
      <c r="G1448" t="s">
        <v>470</v>
      </c>
      <c r="H1448" t="s">
        <v>516</v>
      </c>
      <c r="I1448">
        <v>40.909999999999997</v>
      </c>
    </row>
    <row r="1449" spans="1:9">
      <c r="A1449" s="90" t="s">
        <v>51</v>
      </c>
      <c r="B1449" s="87">
        <v>46052</v>
      </c>
      <c r="C1449" t="s">
        <v>524</v>
      </c>
      <c r="D1449" t="s">
        <v>1324</v>
      </c>
      <c r="E1449" t="s">
        <v>1093</v>
      </c>
      <c r="F1449" t="s">
        <v>1117</v>
      </c>
      <c r="G1449" t="s">
        <v>470</v>
      </c>
      <c r="H1449" t="s">
        <v>516</v>
      </c>
      <c r="I1449">
        <v>6293.02</v>
      </c>
    </row>
    <row r="1450" spans="1:9">
      <c r="A1450" s="90" t="s">
        <v>51</v>
      </c>
      <c r="B1450" s="87">
        <v>46055</v>
      </c>
      <c r="C1450" t="s">
        <v>511</v>
      </c>
      <c r="D1450" t="s">
        <v>512</v>
      </c>
      <c r="E1450" t="s">
        <v>1122</v>
      </c>
      <c r="F1450" t="s">
        <v>474</v>
      </c>
      <c r="G1450" t="s">
        <v>470</v>
      </c>
      <c r="H1450" t="s">
        <v>475</v>
      </c>
      <c r="I1450">
        <v>108962.9</v>
      </c>
    </row>
    <row r="1451" spans="1:9">
      <c r="A1451" s="90" t="s">
        <v>51</v>
      </c>
      <c r="B1451" s="87">
        <v>46057</v>
      </c>
      <c r="C1451" t="s">
        <v>511</v>
      </c>
      <c r="D1451" t="s">
        <v>512</v>
      </c>
      <c r="E1451" t="s">
        <v>1122</v>
      </c>
      <c r="F1451" t="s">
        <v>474</v>
      </c>
      <c r="G1451" t="s">
        <v>470</v>
      </c>
      <c r="H1451" t="s">
        <v>475</v>
      </c>
      <c r="I1451">
        <v>392.37</v>
      </c>
    </row>
    <row r="1452" spans="1:9">
      <c r="A1452" s="90" t="s">
        <v>51</v>
      </c>
      <c r="B1452" s="87">
        <v>46058</v>
      </c>
      <c r="C1452" t="s">
        <v>511</v>
      </c>
      <c r="D1452" t="s">
        <v>512</v>
      </c>
      <c r="E1452" t="s">
        <v>1122</v>
      </c>
      <c r="F1452" t="s">
        <v>474</v>
      </c>
      <c r="G1452" t="s">
        <v>470</v>
      </c>
      <c r="H1452" t="s">
        <v>475</v>
      </c>
      <c r="I1452">
        <v>368.7</v>
      </c>
    </row>
    <row r="1453" spans="1:9">
      <c r="A1453" s="90" t="s">
        <v>51</v>
      </c>
      <c r="B1453" s="87">
        <v>46059</v>
      </c>
      <c r="C1453" t="s">
        <v>511</v>
      </c>
      <c r="D1453" t="s">
        <v>512</v>
      </c>
      <c r="E1453" t="s">
        <v>1121</v>
      </c>
      <c r="F1453" t="s">
        <v>474</v>
      </c>
      <c r="G1453" t="s">
        <v>470</v>
      </c>
      <c r="H1453" t="s">
        <v>475</v>
      </c>
      <c r="I1453">
        <v>58018.68</v>
      </c>
    </row>
    <row r="1454" spans="1:9">
      <c r="A1454" s="90" t="s">
        <v>51</v>
      </c>
      <c r="B1454" s="87">
        <v>46062</v>
      </c>
      <c r="C1454" t="s">
        <v>511</v>
      </c>
      <c r="D1454" t="s">
        <v>512</v>
      </c>
      <c r="E1454" t="s">
        <v>1121</v>
      </c>
      <c r="F1454" t="s">
        <v>474</v>
      </c>
      <c r="G1454" t="s">
        <v>470</v>
      </c>
      <c r="H1454" t="s">
        <v>475</v>
      </c>
      <c r="I1454">
        <v>196</v>
      </c>
    </row>
    <row r="1455" spans="1:9">
      <c r="A1455" s="90" t="s">
        <v>51</v>
      </c>
      <c r="B1455" s="87">
        <v>46063</v>
      </c>
      <c r="C1455" t="s">
        <v>511</v>
      </c>
      <c r="D1455" t="s">
        <v>512</v>
      </c>
      <c r="E1455" t="s">
        <v>1121</v>
      </c>
      <c r="F1455" t="s">
        <v>474</v>
      </c>
      <c r="G1455" t="s">
        <v>470</v>
      </c>
      <c r="H1455" t="s">
        <v>475</v>
      </c>
      <c r="I1455">
        <v>1083.8900000000001</v>
      </c>
    </row>
    <row r="1456" spans="1:9">
      <c r="A1456" s="90" t="s">
        <v>51</v>
      </c>
      <c r="B1456" s="87">
        <v>46066</v>
      </c>
      <c r="C1456" t="s">
        <v>1900</v>
      </c>
      <c r="D1456" t="s">
        <v>1140</v>
      </c>
      <c r="E1456" t="s">
        <v>1901</v>
      </c>
      <c r="F1456" t="s">
        <v>490</v>
      </c>
      <c r="G1456" t="s">
        <v>470</v>
      </c>
      <c r="H1456" t="s">
        <v>516</v>
      </c>
      <c r="I1456">
        <v>67517</v>
      </c>
    </row>
    <row r="1457" spans="1:9">
      <c r="A1457" s="90" t="s">
        <v>51</v>
      </c>
      <c r="B1457" s="87">
        <v>46066</v>
      </c>
      <c r="C1457" t="s">
        <v>1902</v>
      </c>
      <c r="D1457" t="s">
        <v>1140</v>
      </c>
      <c r="E1457" t="s">
        <v>1903</v>
      </c>
      <c r="F1457" t="s">
        <v>490</v>
      </c>
      <c r="G1457" t="s">
        <v>470</v>
      </c>
      <c r="H1457" t="s">
        <v>516</v>
      </c>
      <c r="I1457">
        <v>100440.9</v>
      </c>
    </row>
    <row r="1458" spans="1:9">
      <c r="A1458" s="90" t="s">
        <v>51</v>
      </c>
      <c r="B1458" s="87">
        <v>46066</v>
      </c>
      <c r="C1458" t="s">
        <v>1904</v>
      </c>
      <c r="D1458" t="s">
        <v>1140</v>
      </c>
      <c r="E1458" t="s">
        <v>1905</v>
      </c>
      <c r="F1458" t="s">
        <v>490</v>
      </c>
      <c r="G1458" t="s">
        <v>470</v>
      </c>
      <c r="H1458" t="s">
        <v>516</v>
      </c>
      <c r="I1458">
        <v>6559.1</v>
      </c>
    </row>
    <row r="1459" spans="1:9">
      <c r="A1459" s="90" t="s">
        <v>51</v>
      </c>
      <c r="B1459" s="87">
        <v>46066</v>
      </c>
      <c r="C1459" t="s">
        <v>1906</v>
      </c>
      <c r="D1459" t="s">
        <v>1140</v>
      </c>
      <c r="E1459" t="s">
        <v>1907</v>
      </c>
      <c r="F1459" t="s">
        <v>490</v>
      </c>
      <c r="G1459" t="s">
        <v>470</v>
      </c>
      <c r="H1459" t="s">
        <v>516</v>
      </c>
      <c r="I1459">
        <v>59147.82</v>
      </c>
    </row>
    <row r="1460" spans="1:9">
      <c r="A1460" s="90" t="s">
        <v>51</v>
      </c>
      <c r="B1460" s="87">
        <v>46066</v>
      </c>
      <c r="C1460" t="s">
        <v>1908</v>
      </c>
      <c r="D1460" t="s">
        <v>1140</v>
      </c>
      <c r="E1460" t="s">
        <v>1909</v>
      </c>
      <c r="F1460" t="s">
        <v>490</v>
      </c>
      <c r="G1460" t="s">
        <v>470</v>
      </c>
      <c r="H1460" t="s">
        <v>516</v>
      </c>
      <c r="I1460">
        <v>64875.88</v>
      </c>
    </row>
    <row r="1461" spans="1:9">
      <c r="A1461" s="90" t="s">
        <v>51</v>
      </c>
      <c r="B1461" s="87">
        <v>46066</v>
      </c>
      <c r="C1461" t="s">
        <v>1910</v>
      </c>
      <c r="D1461" t="s">
        <v>1140</v>
      </c>
      <c r="E1461" t="s">
        <v>1911</v>
      </c>
      <c r="F1461" t="s">
        <v>490</v>
      </c>
      <c r="G1461" t="s">
        <v>470</v>
      </c>
      <c r="H1461" t="s">
        <v>516</v>
      </c>
      <c r="I1461">
        <v>11705.8</v>
      </c>
    </row>
    <row r="1462" spans="1:9">
      <c r="A1462" s="90" t="s">
        <v>51</v>
      </c>
      <c r="B1462" s="87">
        <v>46066</v>
      </c>
      <c r="C1462" t="s">
        <v>1912</v>
      </c>
      <c r="D1462" t="s">
        <v>1140</v>
      </c>
      <c r="E1462" t="s">
        <v>1913</v>
      </c>
      <c r="F1462" t="s">
        <v>490</v>
      </c>
      <c r="G1462" t="s">
        <v>470</v>
      </c>
      <c r="H1462" t="s">
        <v>516</v>
      </c>
      <c r="I1462">
        <v>10753.5</v>
      </c>
    </row>
    <row r="1463" spans="1:9">
      <c r="A1463" s="90" t="s">
        <v>51</v>
      </c>
      <c r="B1463" s="87">
        <v>46066</v>
      </c>
      <c r="C1463" t="s">
        <v>1914</v>
      </c>
      <c r="D1463" t="s">
        <v>1140</v>
      </c>
      <c r="E1463" t="s">
        <v>1915</v>
      </c>
      <c r="F1463" t="s">
        <v>490</v>
      </c>
      <c r="G1463" t="s">
        <v>470</v>
      </c>
      <c r="H1463" t="s">
        <v>516</v>
      </c>
      <c r="I1463">
        <v>36956.800000000003</v>
      </c>
    </row>
    <row r="1464" spans="1:9">
      <c r="A1464" s="90" t="s">
        <v>51</v>
      </c>
      <c r="B1464" s="87">
        <v>46066</v>
      </c>
      <c r="C1464" t="s">
        <v>1916</v>
      </c>
      <c r="D1464" t="s">
        <v>1140</v>
      </c>
      <c r="E1464" t="s">
        <v>1917</v>
      </c>
      <c r="F1464" t="s">
        <v>490</v>
      </c>
      <c r="G1464" t="s">
        <v>470</v>
      </c>
      <c r="H1464" t="s">
        <v>516</v>
      </c>
      <c r="I1464">
        <v>45660.82</v>
      </c>
    </row>
    <row r="1465" spans="1:9">
      <c r="A1465" s="90" t="s">
        <v>51</v>
      </c>
      <c r="B1465" s="87">
        <v>46066</v>
      </c>
      <c r="C1465" t="s">
        <v>1918</v>
      </c>
      <c r="D1465" t="s">
        <v>1140</v>
      </c>
      <c r="E1465" t="s">
        <v>1919</v>
      </c>
      <c r="F1465" t="s">
        <v>490</v>
      </c>
      <c r="G1465" t="s">
        <v>470</v>
      </c>
      <c r="H1465" t="s">
        <v>516</v>
      </c>
      <c r="I1465">
        <v>19482.38</v>
      </c>
    </row>
    <row r="1466" spans="1:9">
      <c r="A1466" s="90" t="s">
        <v>51</v>
      </c>
      <c r="B1466" s="87">
        <v>46066</v>
      </c>
      <c r="C1466" t="s">
        <v>1124</v>
      </c>
      <c r="D1466" t="s">
        <v>512</v>
      </c>
      <c r="E1466" t="s">
        <v>1121</v>
      </c>
      <c r="F1466" t="s">
        <v>474</v>
      </c>
      <c r="G1466" t="s">
        <v>470</v>
      </c>
      <c r="H1466" t="s">
        <v>475</v>
      </c>
      <c r="I1466">
        <v>100</v>
      </c>
    </row>
    <row r="1467" spans="1:9">
      <c r="A1467" s="90" t="s">
        <v>51</v>
      </c>
      <c r="B1467" s="87">
        <v>46066</v>
      </c>
      <c r="C1467" t="s">
        <v>1124</v>
      </c>
      <c r="D1467" t="s">
        <v>512</v>
      </c>
      <c r="E1467" t="s">
        <v>1121</v>
      </c>
      <c r="F1467" t="s">
        <v>474</v>
      </c>
      <c r="G1467" t="s">
        <v>470</v>
      </c>
      <c r="H1467" t="s">
        <v>475</v>
      </c>
      <c r="I1467">
        <v>423000</v>
      </c>
    </row>
    <row r="1468" spans="1:9">
      <c r="A1468" s="90" t="s">
        <v>51</v>
      </c>
      <c r="B1468" s="87">
        <v>46071</v>
      </c>
      <c r="C1468" t="s">
        <v>511</v>
      </c>
      <c r="D1468" t="s">
        <v>512</v>
      </c>
      <c r="E1468" t="s">
        <v>1121</v>
      </c>
      <c r="F1468" t="s">
        <v>474</v>
      </c>
      <c r="G1468" t="s">
        <v>470</v>
      </c>
      <c r="H1468" t="s">
        <v>475</v>
      </c>
      <c r="I1468">
        <v>54911.02</v>
      </c>
    </row>
    <row r="1469" spans="1:9">
      <c r="A1469" s="90" t="s">
        <v>51</v>
      </c>
      <c r="B1469" s="87">
        <v>46072</v>
      </c>
      <c r="C1469" t="s">
        <v>1920</v>
      </c>
      <c r="D1469" t="s">
        <v>1140</v>
      </c>
      <c r="E1469" t="s">
        <v>1921</v>
      </c>
      <c r="F1469" t="s">
        <v>490</v>
      </c>
      <c r="G1469" t="s">
        <v>470</v>
      </c>
      <c r="H1469" t="s">
        <v>516</v>
      </c>
      <c r="I1469">
        <v>1436.4</v>
      </c>
    </row>
    <row r="1470" spans="1:9">
      <c r="A1470" s="90" t="s">
        <v>51</v>
      </c>
      <c r="B1470" s="87">
        <v>46072</v>
      </c>
      <c r="C1470" t="s">
        <v>1898</v>
      </c>
      <c r="D1470" t="s">
        <v>1140</v>
      </c>
      <c r="E1470" t="s">
        <v>1899</v>
      </c>
      <c r="F1470" t="s">
        <v>490</v>
      </c>
      <c r="G1470" t="s">
        <v>470</v>
      </c>
      <c r="H1470" t="s">
        <v>516</v>
      </c>
      <c r="I1470">
        <v>49812.74</v>
      </c>
    </row>
    <row r="1471" spans="1:9">
      <c r="A1471" s="90" t="s">
        <v>51</v>
      </c>
      <c r="B1471" s="87">
        <v>46072</v>
      </c>
      <c r="C1471" t="s">
        <v>1124</v>
      </c>
      <c r="D1471" t="s">
        <v>512</v>
      </c>
      <c r="E1471" t="s">
        <v>1121</v>
      </c>
      <c r="F1471" t="s">
        <v>474</v>
      </c>
      <c r="G1471" t="s">
        <v>470</v>
      </c>
      <c r="H1471" t="s">
        <v>475</v>
      </c>
      <c r="I1471">
        <v>51144.54</v>
      </c>
    </row>
    <row r="1472" spans="1:9">
      <c r="A1472" s="90" t="s">
        <v>51</v>
      </c>
      <c r="B1472" s="87">
        <v>46073</v>
      </c>
      <c r="C1472" t="s">
        <v>511</v>
      </c>
      <c r="D1472" t="s">
        <v>512</v>
      </c>
      <c r="E1472" t="s">
        <v>1121</v>
      </c>
      <c r="F1472" t="s">
        <v>474</v>
      </c>
      <c r="G1472" t="s">
        <v>470</v>
      </c>
      <c r="H1472" t="s">
        <v>475</v>
      </c>
      <c r="I1472">
        <v>3701.88</v>
      </c>
    </row>
    <row r="1473" spans="1:9">
      <c r="A1473" s="90" t="s">
        <v>51</v>
      </c>
      <c r="B1473" s="87">
        <v>46080</v>
      </c>
      <c r="C1473" t="s">
        <v>1922</v>
      </c>
      <c r="D1473" t="s">
        <v>1140</v>
      </c>
      <c r="E1473" t="s">
        <v>1923</v>
      </c>
      <c r="F1473" t="s">
        <v>490</v>
      </c>
      <c r="G1473" t="s">
        <v>470</v>
      </c>
      <c r="H1473" t="s">
        <v>801</v>
      </c>
      <c r="I1473">
        <v>47761.83</v>
      </c>
    </row>
    <row r="1474" spans="1:9">
      <c r="A1474" s="90" t="s">
        <v>51</v>
      </c>
      <c r="B1474" s="87">
        <v>46080</v>
      </c>
      <c r="C1474" t="s">
        <v>1924</v>
      </c>
      <c r="D1474" t="s">
        <v>1140</v>
      </c>
      <c r="E1474" t="s">
        <v>1925</v>
      </c>
      <c r="F1474" t="s">
        <v>490</v>
      </c>
      <c r="G1474" t="s">
        <v>470</v>
      </c>
      <c r="H1474" t="s">
        <v>801</v>
      </c>
      <c r="I1474">
        <v>47585.17</v>
      </c>
    </row>
    <row r="1475" spans="1:9">
      <c r="A1475" s="90" t="s">
        <v>51</v>
      </c>
      <c r="B1475" s="87">
        <v>46080</v>
      </c>
      <c r="C1475" t="s">
        <v>1926</v>
      </c>
      <c r="D1475" t="s">
        <v>1140</v>
      </c>
      <c r="E1475" t="s">
        <v>1927</v>
      </c>
      <c r="F1475" t="s">
        <v>490</v>
      </c>
      <c r="G1475" t="s">
        <v>470</v>
      </c>
      <c r="H1475" t="s">
        <v>475</v>
      </c>
      <c r="I1475">
        <v>19587.03</v>
      </c>
    </row>
    <row r="1476" spans="1:9">
      <c r="A1476" s="90" t="s">
        <v>51</v>
      </c>
      <c r="B1476" s="87">
        <v>46080</v>
      </c>
      <c r="C1476" t="s">
        <v>1928</v>
      </c>
      <c r="D1476" t="s">
        <v>1140</v>
      </c>
      <c r="E1476" t="s">
        <v>1929</v>
      </c>
      <c r="F1476" t="s">
        <v>490</v>
      </c>
      <c r="G1476" t="s">
        <v>470</v>
      </c>
      <c r="H1476" t="s">
        <v>801</v>
      </c>
      <c r="I1476">
        <v>8439.3700000000008</v>
      </c>
    </row>
    <row r="1477" spans="1:9">
      <c r="A1477" s="90" t="s">
        <v>51</v>
      </c>
      <c r="B1477" s="87">
        <v>46080</v>
      </c>
      <c r="C1477" t="s">
        <v>1930</v>
      </c>
      <c r="D1477" t="s">
        <v>1140</v>
      </c>
      <c r="E1477" t="s">
        <v>1931</v>
      </c>
      <c r="F1477" t="s">
        <v>490</v>
      </c>
      <c r="G1477" t="s">
        <v>470</v>
      </c>
      <c r="H1477" t="s">
        <v>801</v>
      </c>
      <c r="I1477">
        <v>59967.73</v>
      </c>
    </row>
    <row r="1478" spans="1:9">
      <c r="A1478" s="90" t="s">
        <v>51</v>
      </c>
      <c r="B1478" s="87">
        <v>46080</v>
      </c>
      <c r="C1478" t="s">
        <v>1932</v>
      </c>
      <c r="D1478" t="s">
        <v>1140</v>
      </c>
      <c r="E1478" t="s">
        <v>1933</v>
      </c>
      <c r="F1478" t="s">
        <v>490</v>
      </c>
      <c r="G1478" t="s">
        <v>470</v>
      </c>
      <c r="H1478" t="s">
        <v>801</v>
      </c>
      <c r="I1478">
        <v>28658.87</v>
      </c>
    </row>
    <row r="1479" spans="1:9">
      <c r="A1479" s="90" t="s">
        <v>51</v>
      </c>
      <c r="B1479" s="87">
        <v>46080</v>
      </c>
      <c r="C1479" t="s">
        <v>1934</v>
      </c>
      <c r="D1479" t="s">
        <v>1140</v>
      </c>
      <c r="E1479" t="s">
        <v>1935</v>
      </c>
      <c r="F1479" t="s">
        <v>490</v>
      </c>
      <c r="G1479" t="s">
        <v>470</v>
      </c>
      <c r="H1479" t="s">
        <v>801</v>
      </c>
      <c r="I1479">
        <v>6195.53</v>
      </c>
    </row>
    <row r="1480" spans="1:9">
      <c r="A1480" s="90" t="s">
        <v>51</v>
      </c>
      <c r="B1480" s="87">
        <v>46080</v>
      </c>
      <c r="C1480" t="s">
        <v>1934</v>
      </c>
      <c r="D1480" t="s">
        <v>1140</v>
      </c>
      <c r="E1480" t="s">
        <v>1935</v>
      </c>
      <c r="F1480" t="s">
        <v>490</v>
      </c>
      <c r="G1480" t="s">
        <v>470</v>
      </c>
      <c r="H1480" t="s">
        <v>801</v>
      </c>
      <c r="I1480">
        <v>0.01</v>
      </c>
    </row>
    <row r="1481" spans="1:9">
      <c r="A1481" s="90" t="s">
        <v>51</v>
      </c>
      <c r="B1481" s="87">
        <v>46080</v>
      </c>
      <c r="C1481" t="s">
        <v>1936</v>
      </c>
      <c r="D1481" t="s">
        <v>1140</v>
      </c>
      <c r="E1481" t="s">
        <v>1937</v>
      </c>
      <c r="F1481" t="s">
        <v>490</v>
      </c>
      <c r="G1481" t="s">
        <v>470</v>
      </c>
      <c r="H1481" t="s">
        <v>801</v>
      </c>
      <c r="I1481">
        <v>83480.5</v>
      </c>
    </row>
    <row r="1482" spans="1:9">
      <c r="A1482" s="90" t="s">
        <v>51</v>
      </c>
      <c r="B1482" s="87">
        <v>46080</v>
      </c>
      <c r="C1482" t="s">
        <v>1938</v>
      </c>
      <c r="D1482" t="s">
        <v>1140</v>
      </c>
      <c r="E1482" t="s">
        <v>1939</v>
      </c>
      <c r="F1482" t="s">
        <v>490</v>
      </c>
      <c r="G1482" t="s">
        <v>470</v>
      </c>
      <c r="H1482" t="s">
        <v>801</v>
      </c>
      <c r="I1482">
        <v>9823.9699999999993</v>
      </c>
    </row>
    <row r="1483" spans="1:9">
      <c r="A1483" s="90" t="s">
        <v>51</v>
      </c>
      <c r="B1483" s="87">
        <v>46080</v>
      </c>
      <c r="C1483" t="s">
        <v>524</v>
      </c>
      <c r="D1483" t="s">
        <v>477</v>
      </c>
      <c r="E1483" t="s">
        <v>1121</v>
      </c>
      <c r="F1483" t="s">
        <v>1117</v>
      </c>
      <c r="G1483" t="s">
        <v>470</v>
      </c>
      <c r="H1483" t="s">
        <v>516</v>
      </c>
      <c r="I1483">
        <v>1792.13</v>
      </c>
    </row>
    <row r="1484" spans="1:9">
      <c r="A1484" s="90" t="s">
        <v>51</v>
      </c>
      <c r="B1484" s="87">
        <v>46080</v>
      </c>
      <c r="C1484" t="s">
        <v>524</v>
      </c>
      <c r="D1484" t="s">
        <v>477</v>
      </c>
      <c r="E1484" t="s">
        <v>1121</v>
      </c>
      <c r="F1484" t="s">
        <v>1117</v>
      </c>
      <c r="G1484" t="s">
        <v>470</v>
      </c>
      <c r="H1484" t="s">
        <v>516</v>
      </c>
      <c r="I1484">
        <v>530.15</v>
      </c>
    </row>
    <row r="1485" spans="1:9">
      <c r="A1485" s="90" t="s">
        <v>51</v>
      </c>
      <c r="B1485" s="87">
        <v>46080</v>
      </c>
      <c r="C1485" t="s">
        <v>524</v>
      </c>
      <c r="D1485" t="s">
        <v>1324</v>
      </c>
      <c r="E1485" t="s">
        <v>1121</v>
      </c>
      <c r="F1485" t="s">
        <v>1117</v>
      </c>
      <c r="G1485" t="s">
        <v>470</v>
      </c>
      <c r="H1485" t="s">
        <v>516</v>
      </c>
      <c r="I1485">
        <v>796.02</v>
      </c>
    </row>
    <row r="1486" spans="1:9">
      <c r="A1486" s="90" t="s">
        <v>51</v>
      </c>
      <c r="B1486" s="87">
        <v>46083</v>
      </c>
      <c r="C1486" t="s">
        <v>511</v>
      </c>
      <c r="D1486" t="s">
        <v>512</v>
      </c>
      <c r="E1486" t="s">
        <v>1186</v>
      </c>
      <c r="F1486" t="s">
        <v>474</v>
      </c>
      <c r="G1486" t="s">
        <v>470</v>
      </c>
      <c r="H1486" t="s">
        <v>475</v>
      </c>
      <c r="I1486">
        <v>2904.66</v>
      </c>
    </row>
    <row r="1487" spans="1:9">
      <c r="A1487" s="90" t="s">
        <v>51</v>
      </c>
      <c r="B1487" s="87">
        <v>46085</v>
      </c>
      <c r="C1487" t="s">
        <v>1940</v>
      </c>
      <c r="D1487" t="s">
        <v>773</v>
      </c>
      <c r="E1487" t="s">
        <v>1941</v>
      </c>
      <c r="F1487" t="s">
        <v>474</v>
      </c>
      <c r="G1487" t="s">
        <v>470</v>
      </c>
      <c r="H1487" t="s">
        <v>475</v>
      </c>
      <c r="I1487">
        <v>87302.61</v>
      </c>
    </row>
    <row r="1488" spans="1:9">
      <c r="A1488" s="90" t="s">
        <v>51</v>
      </c>
      <c r="B1488" s="87">
        <v>46085</v>
      </c>
      <c r="C1488" t="s">
        <v>517</v>
      </c>
      <c r="D1488" t="s">
        <v>512</v>
      </c>
      <c r="E1488" t="s">
        <v>1186</v>
      </c>
      <c r="F1488" t="s">
        <v>474</v>
      </c>
      <c r="G1488" t="s">
        <v>470</v>
      </c>
      <c r="H1488" t="s">
        <v>475</v>
      </c>
      <c r="I1488">
        <v>87302.61</v>
      </c>
    </row>
    <row r="1489" spans="1:9">
      <c r="A1489" s="90" t="s">
        <v>51</v>
      </c>
      <c r="B1489" s="87">
        <v>46086</v>
      </c>
      <c r="C1489" t="s">
        <v>511</v>
      </c>
      <c r="D1489" t="s">
        <v>512</v>
      </c>
      <c r="E1489" t="s">
        <v>1186</v>
      </c>
      <c r="F1489" t="s">
        <v>474</v>
      </c>
      <c r="G1489" t="s">
        <v>470</v>
      </c>
      <c r="H1489" t="s">
        <v>475</v>
      </c>
      <c r="I1489">
        <v>20368.7</v>
      </c>
    </row>
    <row r="1490" spans="1:9">
      <c r="A1490" s="90" t="s">
        <v>51</v>
      </c>
      <c r="B1490" s="87">
        <v>46087</v>
      </c>
      <c r="C1490" t="s">
        <v>511</v>
      </c>
      <c r="D1490" t="s">
        <v>512</v>
      </c>
      <c r="E1490" t="s">
        <v>1186</v>
      </c>
      <c r="F1490" t="s">
        <v>474</v>
      </c>
      <c r="G1490" t="s">
        <v>470</v>
      </c>
      <c r="H1490" t="s">
        <v>475</v>
      </c>
      <c r="I1490">
        <v>111497.76</v>
      </c>
    </row>
    <row r="1491" spans="1:9">
      <c r="A1491" s="90" t="s">
        <v>51</v>
      </c>
      <c r="B1491" s="87">
        <v>46090</v>
      </c>
      <c r="C1491" t="s">
        <v>511</v>
      </c>
      <c r="D1491" t="s">
        <v>512</v>
      </c>
      <c r="E1491" t="s">
        <v>1186</v>
      </c>
      <c r="F1491" t="s">
        <v>474</v>
      </c>
      <c r="G1491" t="s">
        <v>470</v>
      </c>
      <c r="H1491" t="s">
        <v>475</v>
      </c>
      <c r="I1491">
        <v>5000</v>
      </c>
    </row>
    <row r="1492" spans="1:9">
      <c r="A1492" s="90" t="s">
        <v>51</v>
      </c>
      <c r="B1492" s="87">
        <v>46091</v>
      </c>
      <c r="C1492" t="s">
        <v>511</v>
      </c>
      <c r="D1492" t="s">
        <v>512</v>
      </c>
      <c r="E1492" t="s">
        <v>1186</v>
      </c>
      <c r="F1492" t="s">
        <v>474</v>
      </c>
      <c r="G1492" t="s">
        <v>470</v>
      </c>
      <c r="H1492" t="s">
        <v>475</v>
      </c>
      <c r="I1492">
        <v>12083.73</v>
      </c>
    </row>
    <row r="1493" spans="1:9">
      <c r="A1493" s="90" t="s">
        <v>51</v>
      </c>
      <c r="B1493" s="87">
        <v>46092</v>
      </c>
      <c r="C1493" t="s">
        <v>511</v>
      </c>
      <c r="D1493" t="s">
        <v>512</v>
      </c>
      <c r="E1493" t="s">
        <v>1186</v>
      </c>
      <c r="F1493" t="s">
        <v>474</v>
      </c>
      <c r="G1493" t="s">
        <v>470</v>
      </c>
      <c r="H1493" t="s">
        <v>475</v>
      </c>
      <c r="I1493">
        <v>18818</v>
      </c>
    </row>
    <row r="1494" spans="1:9">
      <c r="A1494" s="90" t="s">
        <v>51</v>
      </c>
      <c r="B1494" s="87">
        <v>46094</v>
      </c>
      <c r="C1494" t="s">
        <v>511</v>
      </c>
      <c r="D1494" t="s">
        <v>512</v>
      </c>
      <c r="E1494" t="s">
        <v>1186</v>
      </c>
      <c r="F1494" t="s">
        <v>474</v>
      </c>
      <c r="G1494" t="s">
        <v>470</v>
      </c>
      <c r="H1494" t="s">
        <v>475</v>
      </c>
      <c r="I1494">
        <v>390.81</v>
      </c>
    </row>
    <row r="1495" spans="1:9">
      <c r="A1495" s="90" t="s">
        <v>51</v>
      </c>
      <c r="B1495" s="87">
        <v>46094</v>
      </c>
      <c r="C1495" t="s">
        <v>1942</v>
      </c>
      <c r="D1495" t="s">
        <v>773</v>
      </c>
      <c r="E1495" t="s">
        <v>1943</v>
      </c>
      <c r="F1495" t="s">
        <v>537</v>
      </c>
      <c r="G1495" t="s">
        <v>470</v>
      </c>
      <c r="H1495" t="s">
        <v>475</v>
      </c>
      <c r="I1495">
        <v>1500000</v>
      </c>
    </row>
    <row r="1496" spans="1:9">
      <c r="A1496" s="90" t="s">
        <v>51</v>
      </c>
      <c r="B1496" s="87">
        <v>46097</v>
      </c>
      <c r="C1496" t="s">
        <v>511</v>
      </c>
      <c r="D1496" t="s">
        <v>512</v>
      </c>
      <c r="E1496" t="s">
        <v>1186</v>
      </c>
      <c r="F1496" t="s">
        <v>474</v>
      </c>
      <c r="G1496" t="s">
        <v>470</v>
      </c>
      <c r="H1496" t="s">
        <v>475</v>
      </c>
      <c r="I1496">
        <v>425996.33</v>
      </c>
    </row>
    <row r="1497" spans="1:9">
      <c r="A1497" s="90" t="s">
        <v>51</v>
      </c>
      <c r="B1497" s="87">
        <v>46097</v>
      </c>
      <c r="C1497" t="s">
        <v>511</v>
      </c>
      <c r="D1497" t="s">
        <v>512</v>
      </c>
      <c r="E1497" t="s">
        <v>1186</v>
      </c>
      <c r="F1497" t="s">
        <v>474</v>
      </c>
      <c r="G1497" t="s">
        <v>470</v>
      </c>
      <c r="H1497" t="s">
        <v>475</v>
      </c>
      <c r="I1497">
        <v>75603.67</v>
      </c>
    </row>
    <row r="1498" spans="1:9">
      <c r="A1498" s="90" t="s">
        <v>51</v>
      </c>
      <c r="B1498" s="87">
        <v>46099</v>
      </c>
      <c r="C1498" t="s">
        <v>1944</v>
      </c>
      <c r="D1498" t="s">
        <v>1529</v>
      </c>
      <c r="E1498" t="s">
        <v>1945</v>
      </c>
      <c r="F1498" t="s">
        <v>490</v>
      </c>
      <c r="G1498" t="s">
        <v>470</v>
      </c>
      <c r="H1498" t="s">
        <v>540</v>
      </c>
      <c r="I1498">
        <v>1438865</v>
      </c>
    </row>
    <row r="1499" spans="1:9">
      <c r="A1499" s="90" t="s">
        <v>51</v>
      </c>
      <c r="B1499" s="87">
        <v>46099</v>
      </c>
      <c r="C1499" t="s">
        <v>517</v>
      </c>
      <c r="D1499" t="s">
        <v>512</v>
      </c>
      <c r="E1499" t="s">
        <v>1186</v>
      </c>
      <c r="F1499" t="s">
        <v>474</v>
      </c>
      <c r="G1499" t="s">
        <v>470</v>
      </c>
      <c r="H1499" t="s">
        <v>475</v>
      </c>
      <c r="I1499">
        <v>1451763.33</v>
      </c>
    </row>
    <row r="1500" spans="1:9">
      <c r="A1500" s="90" t="s">
        <v>51</v>
      </c>
      <c r="B1500" s="87">
        <v>46100</v>
      </c>
      <c r="C1500" t="s">
        <v>511</v>
      </c>
      <c r="D1500" t="s">
        <v>512</v>
      </c>
      <c r="E1500" t="s">
        <v>1186</v>
      </c>
      <c r="F1500" t="s">
        <v>474</v>
      </c>
      <c r="G1500" t="s">
        <v>470</v>
      </c>
      <c r="H1500" t="s">
        <v>475</v>
      </c>
      <c r="I1500">
        <v>277.58999999999997</v>
      </c>
    </row>
    <row r="1501" spans="1:9">
      <c r="A1501" s="90" t="s">
        <v>51</v>
      </c>
      <c r="B1501" s="87">
        <v>46101</v>
      </c>
      <c r="C1501" t="s">
        <v>511</v>
      </c>
      <c r="D1501" t="s">
        <v>512</v>
      </c>
      <c r="E1501" t="s">
        <v>1186</v>
      </c>
      <c r="F1501" t="s">
        <v>474</v>
      </c>
      <c r="G1501" t="s">
        <v>470</v>
      </c>
      <c r="H1501" t="s">
        <v>475</v>
      </c>
      <c r="I1501">
        <v>1334830.77</v>
      </c>
    </row>
    <row r="1502" spans="1:9">
      <c r="A1502" s="90" t="s">
        <v>51</v>
      </c>
      <c r="B1502" s="87">
        <v>46104</v>
      </c>
      <c r="C1502" t="s">
        <v>511</v>
      </c>
      <c r="D1502" t="s">
        <v>512</v>
      </c>
      <c r="E1502" t="s">
        <v>1186</v>
      </c>
      <c r="F1502" t="s">
        <v>474</v>
      </c>
      <c r="G1502" t="s">
        <v>470</v>
      </c>
      <c r="H1502" t="s">
        <v>475</v>
      </c>
      <c r="I1502">
        <v>4500</v>
      </c>
    </row>
    <row r="1503" spans="1:9">
      <c r="A1503" s="90" t="s">
        <v>51</v>
      </c>
      <c r="B1503" s="87">
        <v>46112</v>
      </c>
      <c r="C1503" t="s">
        <v>511</v>
      </c>
      <c r="D1503" t="s">
        <v>512</v>
      </c>
      <c r="E1503" t="s">
        <v>1186</v>
      </c>
      <c r="F1503" t="s">
        <v>474</v>
      </c>
      <c r="G1503" t="s">
        <v>470</v>
      </c>
      <c r="H1503" t="s">
        <v>475</v>
      </c>
      <c r="I1503">
        <v>15723.71</v>
      </c>
    </row>
    <row r="1504" spans="1:9">
      <c r="A1504" s="90" t="s">
        <v>51</v>
      </c>
      <c r="B1504" s="87">
        <v>46112</v>
      </c>
      <c r="C1504" t="s">
        <v>524</v>
      </c>
      <c r="D1504" t="s">
        <v>477</v>
      </c>
      <c r="E1504" t="s">
        <v>1186</v>
      </c>
      <c r="F1504" t="s">
        <v>1117</v>
      </c>
      <c r="G1504" t="s">
        <v>470</v>
      </c>
      <c r="H1504" t="s">
        <v>516</v>
      </c>
      <c r="I1504">
        <v>8008.18</v>
      </c>
    </row>
    <row r="1505" spans="1:9">
      <c r="A1505" s="90" t="s">
        <v>51</v>
      </c>
      <c r="B1505" s="87">
        <v>46112</v>
      </c>
      <c r="C1505" t="s">
        <v>524</v>
      </c>
      <c r="D1505" t="s">
        <v>477</v>
      </c>
      <c r="E1505" t="s">
        <v>1186</v>
      </c>
      <c r="F1505" t="s">
        <v>1117</v>
      </c>
      <c r="G1505" t="s">
        <v>470</v>
      </c>
      <c r="H1505" t="s">
        <v>516</v>
      </c>
      <c r="I1505">
        <v>495.73</v>
      </c>
    </row>
    <row r="1506" spans="1:9">
      <c r="A1506" s="90" t="s">
        <v>51</v>
      </c>
      <c r="B1506" s="87">
        <v>46112</v>
      </c>
      <c r="C1506" t="s">
        <v>526</v>
      </c>
      <c r="D1506" t="s">
        <v>512</v>
      </c>
      <c r="E1506" t="s">
        <v>1186</v>
      </c>
      <c r="F1506" t="s">
        <v>474</v>
      </c>
      <c r="G1506" t="s">
        <v>470</v>
      </c>
      <c r="H1506" t="s">
        <v>475</v>
      </c>
      <c r="I1506">
        <v>0.26</v>
      </c>
    </row>
    <row r="1507" spans="1:9">
      <c r="A1507" s="90" t="s">
        <v>51</v>
      </c>
      <c r="B1507" s="87">
        <v>46112</v>
      </c>
      <c r="C1507" t="s">
        <v>1754</v>
      </c>
      <c r="D1507" t="s">
        <v>1324</v>
      </c>
      <c r="E1507" t="s">
        <v>1186</v>
      </c>
      <c r="F1507" t="s">
        <v>1117</v>
      </c>
      <c r="G1507" t="s">
        <v>470</v>
      </c>
      <c r="H1507" t="s">
        <v>516</v>
      </c>
      <c r="I1507">
        <v>960.12</v>
      </c>
    </row>
    <row r="1508" spans="1:9">
      <c r="A1508" s="90" t="s">
        <v>51</v>
      </c>
      <c r="B1508" s="87">
        <v>46113</v>
      </c>
      <c r="C1508" t="s">
        <v>1946</v>
      </c>
      <c r="D1508" t="s">
        <v>1140</v>
      </c>
      <c r="E1508" t="s">
        <v>1947</v>
      </c>
      <c r="F1508" t="s">
        <v>490</v>
      </c>
      <c r="G1508" t="s">
        <v>470</v>
      </c>
      <c r="H1508" t="s">
        <v>516</v>
      </c>
      <c r="I1508">
        <v>58857.21</v>
      </c>
    </row>
    <row r="1509" spans="1:9">
      <c r="A1509" s="90" t="s">
        <v>51</v>
      </c>
      <c r="B1509" s="87">
        <v>46113</v>
      </c>
      <c r="C1509" t="s">
        <v>1948</v>
      </c>
      <c r="D1509" t="s">
        <v>1949</v>
      </c>
      <c r="E1509" t="s">
        <v>1950</v>
      </c>
      <c r="F1509" t="s">
        <v>490</v>
      </c>
      <c r="G1509" t="s">
        <v>470</v>
      </c>
      <c r="H1509" t="s">
        <v>487</v>
      </c>
      <c r="I1509">
        <v>87550.67</v>
      </c>
    </row>
    <row r="1510" spans="1:9">
      <c r="A1510" s="90" t="s">
        <v>51</v>
      </c>
      <c r="B1510" s="87">
        <v>46113</v>
      </c>
      <c r="C1510" t="s">
        <v>1951</v>
      </c>
      <c r="D1510" t="s">
        <v>1949</v>
      </c>
      <c r="E1510" t="s">
        <v>1952</v>
      </c>
      <c r="F1510" t="s">
        <v>490</v>
      </c>
      <c r="G1510" t="s">
        <v>470</v>
      </c>
      <c r="H1510" t="s">
        <v>487</v>
      </c>
      <c r="I1510">
        <v>87689.33</v>
      </c>
    </row>
    <row r="1511" spans="1:9">
      <c r="A1511" s="90" t="s">
        <v>51</v>
      </c>
      <c r="B1511" s="87">
        <v>46113</v>
      </c>
      <c r="C1511" t="s">
        <v>1953</v>
      </c>
      <c r="D1511" t="s">
        <v>1949</v>
      </c>
      <c r="E1511" t="s">
        <v>1954</v>
      </c>
      <c r="F1511" t="s">
        <v>490</v>
      </c>
      <c r="G1511" t="s">
        <v>470</v>
      </c>
      <c r="H1511" t="s">
        <v>487</v>
      </c>
      <c r="I1511">
        <v>84482.67</v>
      </c>
    </row>
    <row r="1512" spans="1:9">
      <c r="A1512" s="90" t="s">
        <v>51</v>
      </c>
      <c r="B1512" s="87">
        <v>46113</v>
      </c>
      <c r="C1512" t="s">
        <v>1955</v>
      </c>
      <c r="D1512" t="s">
        <v>1949</v>
      </c>
      <c r="E1512" t="s">
        <v>1956</v>
      </c>
      <c r="F1512" t="s">
        <v>490</v>
      </c>
      <c r="G1512" t="s">
        <v>470</v>
      </c>
      <c r="H1512" t="s">
        <v>487</v>
      </c>
      <c r="I1512">
        <v>84552</v>
      </c>
    </row>
    <row r="1513" spans="1:9">
      <c r="A1513" s="90" t="s">
        <v>51</v>
      </c>
      <c r="B1513" s="87">
        <v>46113</v>
      </c>
      <c r="C1513" t="s">
        <v>1957</v>
      </c>
      <c r="D1513" t="s">
        <v>1949</v>
      </c>
      <c r="E1513" t="s">
        <v>1958</v>
      </c>
      <c r="F1513" t="s">
        <v>490</v>
      </c>
      <c r="G1513" t="s">
        <v>470</v>
      </c>
      <c r="H1513" t="s">
        <v>487</v>
      </c>
      <c r="I1513">
        <v>86216</v>
      </c>
    </row>
    <row r="1514" spans="1:9">
      <c r="A1514" s="90" t="s">
        <v>51</v>
      </c>
      <c r="B1514" s="87">
        <v>46113</v>
      </c>
      <c r="C1514" t="s">
        <v>1959</v>
      </c>
      <c r="D1514" t="s">
        <v>1949</v>
      </c>
      <c r="E1514" t="s">
        <v>1960</v>
      </c>
      <c r="F1514" t="s">
        <v>490</v>
      </c>
      <c r="G1514" t="s">
        <v>470</v>
      </c>
      <c r="H1514" t="s">
        <v>487</v>
      </c>
      <c r="I1514">
        <v>85245.33</v>
      </c>
    </row>
    <row r="1515" spans="1:9">
      <c r="A1515" s="90" t="s">
        <v>51</v>
      </c>
      <c r="B1515" s="87">
        <v>46113</v>
      </c>
      <c r="C1515" t="s">
        <v>1961</v>
      </c>
      <c r="D1515" t="s">
        <v>1949</v>
      </c>
      <c r="E1515" t="s">
        <v>1962</v>
      </c>
      <c r="F1515" t="s">
        <v>490</v>
      </c>
      <c r="G1515" t="s">
        <v>470</v>
      </c>
      <c r="H1515" t="s">
        <v>487</v>
      </c>
      <c r="I1515">
        <v>84708</v>
      </c>
    </row>
    <row r="1516" spans="1:9">
      <c r="A1516" s="90" t="s">
        <v>51</v>
      </c>
      <c r="B1516" s="87">
        <v>46113</v>
      </c>
      <c r="C1516" t="s">
        <v>1963</v>
      </c>
      <c r="D1516" t="s">
        <v>1949</v>
      </c>
      <c r="E1516" t="s">
        <v>1964</v>
      </c>
      <c r="F1516" t="s">
        <v>490</v>
      </c>
      <c r="G1516" t="s">
        <v>470</v>
      </c>
      <c r="H1516" t="s">
        <v>487</v>
      </c>
      <c r="I1516">
        <v>85072</v>
      </c>
    </row>
    <row r="1517" spans="1:9">
      <c r="A1517" s="90" t="s">
        <v>51</v>
      </c>
      <c r="B1517" s="87">
        <v>46113</v>
      </c>
      <c r="C1517" t="s">
        <v>1965</v>
      </c>
      <c r="D1517" t="s">
        <v>1949</v>
      </c>
      <c r="E1517" t="s">
        <v>1966</v>
      </c>
      <c r="F1517" t="s">
        <v>490</v>
      </c>
      <c r="G1517" t="s">
        <v>470</v>
      </c>
      <c r="H1517" t="s">
        <v>487</v>
      </c>
      <c r="I1517">
        <v>83408</v>
      </c>
    </row>
    <row r="1518" spans="1:9">
      <c r="A1518" s="90" t="s">
        <v>51</v>
      </c>
      <c r="B1518" s="87">
        <v>46113</v>
      </c>
      <c r="C1518" t="s">
        <v>1967</v>
      </c>
      <c r="D1518" t="s">
        <v>1949</v>
      </c>
      <c r="E1518" t="s">
        <v>1968</v>
      </c>
      <c r="F1518" t="s">
        <v>490</v>
      </c>
      <c r="G1518" t="s">
        <v>470</v>
      </c>
      <c r="H1518" t="s">
        <v>487</v>
      </c>
      <c r="I1518">
        <v>86996</v>
      </c>
    </row>
    <row r="1519" spans="1:9">
      <c r="A1519" s="90" t="s">
        <v>51</v>
      </c>
      <c r="B1519" s="87">
        <v>46113</v>
      </c>
      <c r="C1519" t="s">
        <v>1969</v>
      </c>
      <c r="D1519" t="s">
        <v>1949</v>
      </c>
      <c r="E1519" t="s">
        <v>1970</v>
      </c>
      <c r="F1519" t="s">
        <v>490</v>
      </c>
      <c r="G1519" t="s">
        <v>470</v>
      </c>
      <c r="H1519" t="s">
        <v>487</v>
      </c>
      <c r="I1519">
        <v>86996</v>
      </c>
    </row>
    <row r="1520" spans="1:9">
      <c r="A1520" s="90" t="s">
        <v>51</v>
      </c>
      <c r="B1520" s="87">
        <v>46113</v>
      </c>
      <c r="C1520" t="s">
        <v>1971</v>
      </c>
      <c r="D1520" t="s">
        <v>1949</v>
      </c>
      <c r="E1520" t="s">
        <v>1972</v>
      </c>
      <c r="F1520" t="s">
        <v>490</v>
      </c>
      <c r="G1520" t="s">
        <v>470</v>
      </c>
      <c r="H1520" t="s">
        <v>487</v>
      </c>
      <c r="I1520">
        <v>82402.67</v>
      </c>
    </row>
    <row r="1521" spans="1:9">
      <c r="A1521" s="90" t="s">
        <v>51</v>
      </c>
      <c r="B1521" s="87">
        <v>46113</v>
      </c>
      <c r="C1521" t="s">
        <v>1973</v>
      </c>
      <c r="D1521" t="s">
        <v>1949</v>
      </c>
      <c r="E1521" t="s">
        <v>1974</v>
      </c>
      <c r="F1521" t="s">
        <v>490</v>
      </c>
      <c r="G1521" t="s">
        <v>470</v>
      </c>
      <c r="H1521" t="s">
        <v>487</v>
      </c>
      <c r="I1521">
        <v>82437.33</v>
      </c>
    </row>
    <row r="1522" spans="1:9">
      <c r="A1522" s="90" t="s">
        <v>51</v>
      </c>
      <c r="B1522" s="87">
        <v>46113</v>
      </c>
      <c r="C1522" t="s">
        <v>1975</v>
      </c>
      <c r="D1522" t="s">
        <v>1949</v>
      </c>
      <c r="E1522" t="s">
        <v>1976</v>
      </c>
      <c r="F1522" t="s">
        <v>490</v>
      </c>
      <c r="G1522" t="s">
        <v>470</v>
      </c>
      <c r="H1522" t="s">
        <v>487</v>
      </c>
      <c r="I1522">
        <v>82628</v>
      </c>
    </row>
    <row r="1523" spans="1:9">
      <c r="A1523" s="90" t="s">
        <v>51</v>
      </c>
      <c r="B1523" s="87">
        <v>46113</v>
      </c>
      <c r="C1523" t="s">
        <v>1977</v>
      </c>
      <c r="D1523" t="s">
        <v>1949</v>
      </c>
      <c r="E1523" t="s">
        <v>1978</v>
      </c>
      <c r="F1523" t="s">
        <v>490</v>
      </c>
      <c r="G1523" t="s">
        <v>470</v>
      </c>
      <c r="H1523" t="s">
        <v>487</v>
      </c>
      <c r="I1523">
        <v>84916</v>
      </c>
    </row>
    <row r="1524" spans="1:9">
      <c r="A1524" s="90" t="s">
        <v>51</v>
      </c>
      <c r="B1524" s="87">
        <v>46113</v>
      </c>
      <c r="C1524" t="s">
        <v>1979</v>
      </c>
      <c r="D1524" t="s">
        <v>1949</v>
      </c>
      <c r="E1524" t="s">
        <v>1980</v>
      </c>
      <c r="F1524" t="s">
        <v>490</v>
      </c>
      <c r="G1524" t="s">
        <v>470</v>
      </c>
      <c r="H1524" t="s">
        <v>487</v>
      </c>
      <c r="I1524">
        <v>84309.33</v>
      </c>
    </row>
    <row r="1525" spans="1:9">
      <c r="A1525" s="90" t="s">
        <v>51</v>
      </c>
      <c r="B1525" s="87">
        <v>46113</v>
      </c>
      <c r="C1525" t="s">
        <v>1981</v>
      </c>
      <c r="D1525" t="s">
        <v>1949</v>
      </c>
      <c r="E1525" t="s">
        <v>1982</v>
      </c>
      <c r="F1525" t="s">
        <v>490</v>
      </c>
      <c r="G1525" t="s">
        <v>470</v>
      </c>
      <c r="H1525" t="s">
        <v>487</v>
      </c>
      <c r="I1525">
        <v>81934.67</v>
      </c>
    </row>
    <row r="1526" spans="1:9">
      <c r="A1526" s="90" t="s">
        <v>51</v>
      </c>
      <c r="B1526" s="87">
        <v>46113</v>
      </c>
      <c r="C1526" t="s">
        <v>1983</v>
      </c>
      <c r="D1526" t="s">
        <v>1949</v>
      </c>
      <c r="E1526" t="s">
        <v>1984</v>
      </c>
      <c r="F1526" t="s">
        <v>490</v>
      </c>
      <c r="G1526" t="s">
        <v>470</v>
      </c>
      <c r="H1526" t="s">
        <v>487</v>
      </c>
      <c r="I1526">
        <v>80634.67</v>
      </c>
    </row>
    <row r="1527" spans="1:9">
      <c r="A1527" s="90" t="s">
        <v>51</v>
      </c>
      <c r="B1527" s="87">
        <v>46113</v>
      </c>
      <c r="C1527" t="s">
        <v>1985</v>
      </c>
      <c r="D1527" t="s">
        <v>1949</v>
      </c>
      <c r="E1527" t="s">
        <v>1986</v>
      </c>
      <c r="F1527" t="s">
        <v>490</v>
      </c>
      <c r="G1527" t="s">
        <v>470</v>
      </c>
      <c r="H1527" t="s">
        <v>487</v>
      </c>
      <c r="I1527">
        <v>82801.33</v>
      </c>
    </row>
    <row r="1528" spans="1:9">
      <c r="A1528" s="90" t="s">
        <v>51</v>
      </c>
      <c r="B1528" s="87">
        <v>46113</v>
      </c>
      <c r="C1528" t="s">
        <v>1987</v>
      </c>
      <c r="D1528" t="s">
        <v>1949</v>
      </c>
      <c r="E1528" t="s">
        <v>1988</v>
      </c>
      <c r="F1528" t="s">
        <v>490</v>
      </c>
      <c r="G1528" t="s">
        <v>470</v>
      </c>
      <c r="H1528" t="s">
        <v>487</v>
      </c>
      <c r="I1528">
        <v>84881.33</v>
      </c>
    </row>
    <row r="1529" spans="1:9">
      <c r="A1529" s="90" t="s">
        <v>51</v>
      </c>
      <c r="B1529" s="87">
        <v>46113</v>
      </c>
      <c r="C1529" t="s">
        <v>1989</v>
      </c>
      <c r="D1529" t="s">
        <v>1949</v>
      </c>
      <c r="E1529" t="s">
        <v>1990</v>
      </c>
      <c r="F1529" t="s">
        <v>490</v>
      </c>
      <c r="G1529" t="s">
        <v>470</v>
      </c>
      <c r="H1529" t="s">
        <v>487</v>
      </c>
      <c r="I1529">
        <v>79629.33</v>
      </c>
    </row>
    <row r="1530" spans="1:9">
      <c r="A1530" s="90" t="s">
        <v>51</v>
      </c>
      <c r="B1530" s="87">
        <v>46113</v>
      </c>
      <c r="C1530" t="s">
        <v>1991</v>
      </c>
      <c r="D1530" t="s">
        <v>1949</v>
      </c>
      <c r="E1530" t="s">
        <v>1992</v>
      </c>
      <c r="F1530" t="s">
        <v>490</v>
      </c>
      <c r="G1530" t="s">
        <v>470</v>
      </c>
      <c r="H1530" t="s">
        <v>487</v>
      </c>
      <c r="I1530">
        <v>77220</v>
      </c>
    </row>
    <row r="1531" spans="1:9">
      <c r="A1531" s="90" t="s">
        <v>51</v>
      </c>
      <c r="B1531" s="87">
        <v>46113</v>
      </c>
      <c r="C1531" t="s">
        <v>1993</v>
      </c>
      <c r="D1531" t="s">
        <v>1949</v>
      </c>
      <c r="E1531" t="s">
        <v>1994</v>
      </c>
      <c r="F1531" t="s">
        <v>490</v>
      </c>
      <c r="G1531" t="s">
        <v>470</v>
      </c>
      <c r="H1531" t="s">
        <v>487</v>
      </c>
      <c r="I1531">
        <v>81466.67</v>
      </c>
    </row>
    <row r="1532" spans="1:9">
      <c r="A1532" s="90" t="s">
        <v>51</v>
      </c>
      <c r="B1532" s="87">
        <v>46113</v>
      </c>
      <c r="C1532" t="s">
        <v>1995</v>
      </c>
      <c r="D1532" t="s">
        <v>1949</v>
      </c>
      <c r="E1532" t="s">
        <v>1996</v>
      </c>
      <c r="F1532" t="s">
        <v>490</v>
      </c>
      <c r="G1532" t="s">
        <v>470</v>
      </c>
      <c r="H1532" t="s">
        <v>487</v>
      </c>
      <c r="I1532">
        <v>82472</v>
      </c>
    </row>
    <row r="1533" spans="1:9">
      <c r="A1533" s="90" t="s">
        <v>51</v>
      </c>
      <c r="B1533" s="87">
        <v>46113</v>
      </c>
      <c r="C1533" t="s">
        <v>1997</v>
      </c>
      <c r="D1533" t="s">
        <v>1949</v>
      </c>
      <c r="E1533" t="s">
        <v>1998</v>
      </c>
      <c r="F1533" t="s">
        <v>490</v>
      </c>
      <c r="G1533" t="s">
        <v>470</v>
      </c>
      <c r="H1533" t="s">
        <v>487</v>
      </c>
      <c r="I1533">
        <v>67340</v>
      </c>
    </row>
    <row r="1534" spans="1:9">
      <c r="A1534" s="90" t="s">
        <v>51</v>
      </c>
      <c r="B1534" s="87">
        <v>46113</v>
      </c>
      <c r="C1534" t="s">
        <v>1999</v>
      </c>
      <c r="D1534" t="s">
        <v>1949</v>
      </c>
      <c r="E1534" t="s">
        <v>2000</v>
      </c>
      <c r="F1534" t="s">
        <v>490</v>
      </c>
      <c r="G1534" t="s">
        <v>470</v>
      </c>
      <c r="H1534" t="s">
        <v>487</v>
      </c>
      <c r="I1534">
        <v>85574.67</v>
      </c>
    </row>
    <row r="1535" spans="1:9">
      <c r="A1535" s="90" t="s">
        <v>51</v>
      </c>
      <c r="B1535" s="87">
        <v>46113</v>
      </c>
      <c r="C1535" t="s">
        <v>2001</v>
      </c>
      <c r="D1535" t="s">
        <v>1949</v>
      </c>
      <c r="E1535" t="s">
        <v>2002</v>
      </c>
      <c r="F1535" t="s">
        <v>490</v>
      </c>
      <c r="G1535" t="s">
        <v>470</v>
      </c>
      <c r="H1535" t="s">
        <v>487</v>
      </c>
      <c r="I1535">
        <v>86060</v>
      </c>
    </row>
    <row r="1536" spans="1:9">
      <c r="A1536" s="90" t="s">
        <v>51</v>
      </c>
      <c r="B1536" s="87">
        <v>46113</v>
      </c>
      <c r="C1536" t="s">
        <v>2003</v>
      </c>
      <c r="D1536" t="s">
        <v>1949</v>
      </c>
      <c r="E1536" t="s">
        <v>2004</v>
      </c>
      <c r="F1536" t="s">
        <v>490</v>
      </c>
      <c r="G1536" t="s">
        <v>470</v>
      </c>
      <c r="H1536" t="s">
        <v>487</v>
      </c>
      <c r="I1536">
        <v>90081.33</v>
      </c>
    </row>
    <row r="1537" spans="1:9">
      <c r="A1537" s="90" t="s">
        <v>51</v>
      </c>
      <c r="B1537" s="87">
        <v>46113</v>
      </c>
      <c r="C1537" t="s">
        <v>2005</v>
      </c>
      <c r="D1537" t="s">
        <v>1949</v>
      </c>
      <c r="E1537" t="s">
        <v>2006</v>
      </c>
      <c r="F1537" t="s">
        <v>490</v>
      </c>
      <c r="G1537" t="s">
        <v>470</v>
      </c>
      <c r="H1537" t="s">
        <v>487</v>
      </c>
      <c r="I1537">
        <v>69194.67</v>
      </c>
    </row>
    <row r="1538" spans="1:9">
      <c r="A1538" s="90" t="s">
        <v>51</v>
      </c>
      <c r="B1538" s="87">
        <v>46113</v>
      </c>
      <c r="C1538" t="s">
        <v>2007</v>
      </c>
      <c r="D1538" t="s">
        <v>1949</v>
      </c>
      <c r="E1538" t="s">
        <v>2008</v>
      </c>
      <c r="F1538" t="s">
        <v>490</v>
      </c>
      <c r="G1538" t="s">
        <v>470</v>
      </c>
      <c r="H1538" t="s">
        <v>487</v>
      </c>
      <c r="I1538">
        <v>81657.33</v>
      </c>
    </row>
    <row r="1539" spans="1:9">
      <c r="A1539" s="90" t="s">
        <v>51</v>
      </c>
      <c r="B1539" s="87">
        <v>46113</v>
      </c>
      <c r="C1539" t="s">
        <v>2009</v>
      </c>
      <c r="D1539" t="s">
        <v>1949</v>
      </c>
      <c r="E1539" t="s">
        <v>2010</v>
      </c>
      <c r="F1539" t="s">
        <v>490</v>
      </c>
      <c r="G1539" t="s">
        <v>470</v>
      </c>
      <c r="H1539" t="s">
        <v>487</v>
      </c>
      <c r="I1539">
        <v>64012</v>
      </c>
    </row>
    <row r="1540" spans="1:9">
      <c r="A1540" s="90" t="s">
        <v>51</v>
      </c>
      <c r="B1540" s="87">
        <v>46113</v>
      </c>
      <c r="C1540" t="s">
        <v>2011</v>
      </c>
      <c r="D1540" t="s">
        <v>1949</v>
      </c>
      <c r="E1540" t="s">
        <v>2012</v>
      </c>
      <c r="F1540" t="s">
        <v>490</v>
      </c>
      <c r="G1540" t="s">
        <v>470</v>
      </c>
      <c r="H1540" t="s">
        <v>487</v>
      </c>
      <c r="I1540">
        <v>83616</v>
      </c>
    </row>
    <row r="1541" spans="1:9">
      <c r="A1541" s="90" t="s">
        <v>51</v>
      </c>
      <c r="B1541" s="87">
        <v>46113</v>
      </c>
      <c r="C1541" t="s">
        <v>2013</v>
      </c>
      <c r="D1541" t="s">
        <v>1949</v>
      </c>
      <c r="E1541" t="s">
        <v>2014</v>
      </c>
      <c r="F1541" t="s">
        <v>490</v>
      </c>
      <c r="G1541" t="s">
        <v>470</v>
      </c>
      <c r="H1541" t="s">
        <v>487</v>
      </c>
      <c r="I1541">
        <v>68241.33</v>
      </c>
    </row>
    <row r="1542" spans="1:9">
      <c r="A1542" s="90" t="s">
        <v>51</v>
      </c>
      <c r="B1542" s="87">
        <v>46113</v>
      </c>
      <c r="C1542" t="s">
        <v>2015</v>
      </c>
      <c r="D1542" t="s">
        <v>1949</v>
      </c>
      <c r="E1542" t="s">
        <v>2016</v>
      </c>
      <c r="F1542" t="s">
        <v>490</v>
      </c>
      <c r="G1542" t="s">
        <v>470</v>
      </c>
      <c r="H1542" t="s">
        <v>487</v>
      </c>
      <c r="I1542">
        <v>79300</v>
      </c>
    </row>
    <row r="1543" spans="1:9">
      <c r="A1543" s="90" t="s">
        <v>51</v>
      </c>
      <c r="B1543" s="87">
        <v>46113</v>
      </c>
      <c r="C1543" t="s">
        <v>2017</v>
      </c>
      <c r="D1543" t="s">
        <v>1949</v>
      </c>
      <c r="E1543" t="s">
        <v>2018</v>
      </c>
      <c r="F1543" t="s">
        <v>490</v>
      </c>
      <c r="G1543" t="s">
        <v>470</v>
      </c>
      <c r="H1543" t="s">
        <v>487</v>
      </c>
      <c r="I1543">
        <v>63058.67</v>
      </c>
    </row>
    <row r="1544" spans="1:9">
      <c r="A1544" s="90" t="s">
        <v>51</v>
      </c>
      <c r="B1544" s="87">
        <v>46113</v>
      </c>
      <c r="C1544" t="s">
        <v>2019</v>
      </c>
      <c r="D1544" t="s">
        <v>1949</v>
      </c>
      <c r="E1544" t="s">
        <v>2020</v>
      </c>
      <c r="F1544" t="s">
        <v>490</v>
      </c>
      <c r="G1544" t="s">
        <v>470</v>
      </c>
      <c r="H1544" t="s">
        <v>487</v>
      </c>
      <c r="I1544">
        <v>55362.67</v>
      </c>
    </row>
    <row r="1545" spans="1:9">
      <c r="A1545" s="90" t="s">
        <v>51</v>
      </c>
      <c r="B1545" s="87">
        <v>46113</v>
      </c>
      <c r="C1545" t="s">
        <v>2021</v>
      </c>
      <c r="D1545" t="s">
        <v>1949</v>
      </c>
      <c r="E1545" t="s">
        <v>2022</v>
      </c>
      <c r="F1545" t="s">
        <v>490</v>
      </c>
      <c r="G1545" t="s">
        <v>470</v>
      </c>
      <c r="H1545" t="s">
        <v>487</v>
      </c>
      <c r="I1545">
        <v>84049.33</v>
      </c>
    </row>
    <row r="1546" spans="1:9">
      <c r="A1546" s="90" t="s">
        <v>51</v>
      </c>
      <c r="B1546" s="87">
        <v>46113</v>
      </c>
      <c r="C1546" t="s">
        <v>2023</v>
      </c>
      <c r="D1546" t="s">
        <v>1949</v>
      </c>
      <c r="E1546" t="s">
        <v>2024</v>
      </c>
      <c r="F1546" t="s">
        <v>490</v>
      </c>
      <c r="G1546" t="s">
        <v>470</v>
      </c>
      <c r="H1546" t="s">
        <v>487</v>
      </c>
      <c r="I1546">
        <v>82246.67</v>
      </c>
    </row>
    <row r="1547" spans="1:9">
      <c r="A1547" s="90" t="s">
        <v>51</v>
      </c>
      <c r="B1547" s="87">
        <v>46113</v>
      </c>
      <c r="C1547" t="s">
        <v>2025</v>
      </c>
      <c r="D1547" t="s">
        <v>1949</v>
      </c>
      <c r="E1547" t="s">
        <v>2026</v>
      </c>
      <c r="F1547" t="s">
        <v>490</v>
      </c>
      <c r="G1547" t="s">
        <v>470</v>
      </c>
      <c r="H1547" t="s">
        <v>487</v>
      </c>
      <c r="I1547">
        <v>88677.33</v>
      </c>
    </row>
    <row r="1548" spans="1:9">
      <c r="A1548" s="90" t="s">
        <v>51</v>
      </c>
      <c r="B1548" s="87">
        <v>46113</v>
      </c>
      <c r="C1548" t="s">
        <v>2027</v>
      </c>
      <c r="D1548" t="s">
        <v>1949</v>
      </c>
      <c r="E1548" t="s">
        <v>2028</v>
      </c>
      <c r="F1548" t="s">
        <v>490</v>
      </c>
      <c r="G1548" t="s">
        <v>470</v>
      </c>
      <c r="H1548" t="s">
        <v>487</v>
      </c>
      <c r="I1548">
        <v>88261.33</v>
      </c>
    </row>
    <row r="1549" spans="1:9">
      <c r="A1549" s="90" t="s">
        <v>51</v>
      </c>
      <c r="B1549" s="87">
        <v>46113</v>
      </c>
      <c r="C1549" t="s">
        <v>2029</v>
      </c>
      <c r="D1549" t="s">
        <v>1949</v>
      </c>
      <c r="E1549" t="s">
        <v>2030</v>
      </c>
      <c r="F1549" t="s">
        <v>490</v>
      </c>
      <c r="G1549" t="s">
        <v>470</v>
      </c>
      <c r="H1549" t="s">
        <v>487</v>
      </c>
      <c r="I1549">
        <v>84240</v>
      </c>
    </row>
    <row r="1550" spans="1:9">
      <c r="A1550" s="90" t="s">
        <v>51</v>
      </c>
      <c r="B1550" s="87">
        <v>46113</v>
      </c>
      <c r="C1550" t="s">
        <v>2031</v>
      </c>
      <c r="D1550" t="s">
        <v>1949</v>
      </c>
      <c r="E1550" t="s">
        <v>2032</v>
      </c>
      <c r="F1550" t="s">
        <v>490</v>
      </c>
      <c r="G1550" t="s">
        <v>470</v>
      </c>
      <c r="H1550" t="s">
        <v>487</v>
      </c>
      <c r="I1550">
        <v>83148</v>
      </c>
    </row>
    <row r="1551" spans="1:9">
      <c r="A1551" s="90" t="s">
        <v>51</v>
      </c>
      <c r="B1551" s="87">
        <v>46113</v>
      </c>
      <c r="C1551" t="s">
        <v>2033</v>
      </c>
      <c r="D1551" t="s">
        <v>1949</v>
      </c>
      <c r="E1551" t="s">
        <v>2034</v>
      </c>
      <c r="F1551" t="s">
        <v>490</v>
      </c>
      <c r="G1551" t="s">
        <v>470</v>
      </c>
      <c r="H1551" t="s">
        <v>487</v>
      </c>
      <c r="I1551">
        <v>84309.33</v>
      </c>
    </row>
    <row r="1552" spans="1:9">
      <c r="A1552" s="90" t="s">
        <v>51</v>
      </c>
      <c r="B1552" s="87">
        <v>46113</v>
      </c>
      <c r="C1552" t="s">
        <v>2035</v>
      </c>
      <c r="D1552" t="s">
        <v>1949</v>
      </c>
      <c r="E1552" t="s">
        <v>2036</v>
      </c>
      <c r="F1552" t="s">
        <v>490</v>
      </c>
      <c r="G1552" t="s">
        <v>470</v>
      </c>
      <c r="H1552" t="s">
        <v>487</v>
      </c>
      <c r="I1552">
        <v>86510.67</v>
      </c>
    </row>
    <row r="1553" spans="1:9">
      <c r="A1553" s="90" t="s">
        <v>51</v>
      </c>
      <c r="B1553" s="87">
        <v>46113</v>
      </c>
      <c r="C1553" t="s">
        <v>2037</v>
      </c>
      <c r="D1553" t="s">
        <v>1949</v>
      </c>
      <c r="E1553" t="s">
        <v>2038</v>
      </c>
      <c r="F1553" t="s">
        <v>490</v>
      </c>
      <c r="G1553" t="s">
        <v>470</v>
      </c>
      <c r="H1553" t="s">
        <v>487</v>
      </c>
      <c r="I1553">
        <v>54409.3</v>
      </c>
    </row>
    <row r="1554" spans="1:9">
      <c r="A1554" s="90" t="s">
        <v>51</v>
      </c>
      <c r="B1554" s="87">
        <v>46113</v>
      </c>
      <c r="C1554" t="s">
        <v>517</v>
      </c>
      <c r="D1554" t="s">
        <v>512</v>
      </c>
      <c r="E1554" t="s">
        <v>1259</v>
      </c>
      <c r="F1554" t="s">
        <v>474</v>
      </c>
      <c r="G1554" t="s">
        <v>470</v>
      </c>
      <c r="H1554" t="s">
        <v>475</v>
      </c>
      <c r="I1554">
        <v>3698165.64</v>
      </c>
    </row>
    <row r="1555" spans="1:9">
      <c r="A1555" s="90" t="s">
        <v>51</v>
      </c>
      <c r="B1555" s="87">
        <v>46114</v>
      </c>
      <c r="C1555" t="s">
        <v>517</v>
      </c>
      <c r="D1555" t="s">
        <v>512</v>
      </c>
      <c r="E1555" t="s">
        <v>1259</v>
      </c>
      <c r="F1555" t="s">
        <v>474</v>
      </c>
      <c r="G1555" t="s">
        <v>470</v>
      </c>
      <c r="H1555" t="s">
        <v>475</v>
      </c>
      <c r="I1555">
        <v>2000000</v>
      </c>
    </row>
    <row r="1556" spans="1:9">
      <c r="A1556" s="90" t="s">
        <v>51</v>
      </c>
      <c r="B1556" s="87">
        <v>46114</v>
      </c>
      <c r="C1556" t="s">
        <v>511</v>
      </c>
      <c r="D1556" t="s">
        <v>512</v>
      </c>
      <c r="E1556" t="s">
        <v>1259</v>
      </c>
      <c r="F1556" t="s">
        <v>474</v>
      </c>
      <c r="G1556" t="s">
        <v>470</v>
      </c>
      <c r="H1556" t="s">
        <v>475</v>
      </c>
      <c r="I1556">
        <v>3500000</v>
      </c>
    </row>
    <row r="1557" spans="1:9">
      <c r="A1557" s="90" t="s">
        <v>51</v>
      </c>
      <c r="B1557" s="87">
        <v>46118</v>
      </c>
      <c r="C1557" t="s">
        <v>511</v>
      </c>
      <c r="D1557" t="s">
        <v>512</v>
      </c>
      <c r="E1557" t="s">
        <v>1259</v>
      </c>
      <c r="F1557" t="s">
        <v>474</v>
      </c>
      <c r="G1557" t="s">
        <v>470</v>
      </c>
      <c r="H1557" t="s">
        <v>475</v>
      </c>
      <c r="I1557">
        <v>178514.78</v>
      </c>
    </row>
    <row r="1558" spans="1:9">
      <c r="A1558" s="90" t="s">
        <v>51</v>
      </c>
      <c r="B1558" s="87">
        <v>46120</v>
      </c>
      <c r="C1558" t="s">
        <v>511</v>
      </c>
      <c r="D1558" t="s">
        <v>512</v>
      </c>
      <c r="E1558" t="s">
        <v>1259</v>
      </c>
      <c r="F1558" t="s">
        <v>474</v>
      </c>
      <c r="G1558" t="s">
        <v>470</v>
      </c>
      <c r="H1558" t="s">
        <v>475</v>
      </c>
      <c r="I1558">
        <v>54500</v>
      </c>
    </row>
    <row r="1559" spans="1:9">
      <c r="A1559" s="90" t="s">
        <v>51</v>
      </c>
      <c r="B1559" s="87">
        <v>46121</v>
      </c>
      <c r="C1559" t="s">
        <v>511</v>
      </c>
      <c r="D1559" t="s">
        <v>512</v>
      </c>
      <c r="E1559" t="s">
        <v>1259</v>
      </c>
      <c r="F1559" t="s">
        <v>474</v>
      </c>
      <c r="G1559" t="s">
        <v>470</v>
      </c>
      <c r="H1559" t="s">
        <v>475</v>
      </c>
      <c r="I1559">
        <v>394.67</v>
      </c>
    </row>
    <row r="1560" spans="1:9">
      <c r="A1560" s="90" t="s">
        <v>51</v>
      </c>
      <c r="B1560" s="87">
        <v>46122</v>
      </c>
      <c r="C1560" t="s">
        <v>511</v>
      </c>
      <c r="D1560" t="s">
        <v>512</v>
      </c>
      <c r="E1560" t="s">
        <v>1259</v>
      </c>
      <c r="F1560" t="s">
        <v>474</v>
      </c>
      <c r="G1560" t="s">
        <v>470</v>
      </c>
      <c r="H1560" t="s">
        <v>475</v>
      </c>
      <c r="I1560">
        <v>1107.82</v>
      </c>
    </row>
    <row r="1561" spans="1:9">
      <c r="A1561" s="90" t="s">
        <v>51</v>
      </c>
      <c r="B1561" s="87">
        <v>46126</v>
      </c>
      <c r="C1561" t="s">
        <v>511</v>
      </c>
      <c r="D1561" t="s">
        <v>512</v>
      </c>
      <c r="E1561" t="s">
        <v>1259</v>
      </c>
      <c r="F1561" t="s">
        <v>474</v>
      </c>
      <c r="G1561" t="s">
        <v>470</v>
      </c>
      <c r="H1561" t="s">
        <v>475</v>
      </c>
      <c r="I1561">
        <v>41000</v>
      </c>
    </row>
    <row r="1562" spans="1:9">
      <c r="A1562" s="90" t="s">
        <v>51</v>
      </c>
      <c r="B1562" s="87">
        <v>46129</v>
      </c>
      <c r="C1562" t="s">
        <v>511</v>
      </c>
      <c r="D1562" t="s">
        <v>512</v>
      </c>
      <c r="E1562" t="s">
        <v>1259</v>
      </c>
      <c r="F1562" t="s">
        <v>474</v>
      </c>
      <c r="G1562" t="s">
        <v>470</v>
      </c>
      <c r="H1562" t="s">
        <v>475</v>
      </c>
      <c r="I1562">
        <v>19134.14</v>
      </c>
    </row>
    <row r="1563" spans="1:9">
      <c r="A1563" s="90" t="s">
        <v>51</v>
      </c>
      <c r="B1563" s="87">
        <v>46129</v>
      </c>
      <c r="C1563" t="s">
        <v>511</v>
      </c>
      <c r="D1563" t="s">
        <v>512</v>
      </c>
      <c r="E1563" t="s">
        <v>1259</v>
      </c>
      <c r="F1563" t="s">
        <v>474</v>
      </c>
      <c r="G1563" t="s">
        <v>470</v>
      </c>
      <c r="H1563" t="s">
        <v>475</v>
      </c>
      <c r="I1563">
        <v>130865.86</v>
      </c>
    </row>
    <row r="1564" spans="1:9">
      <c r="A1564" s="90" t="s">
        <v>51</v>
      </c>
      <c r="B1564" s="87">
        <v>46132</v>
      </c>
      <c r="C1564" t="s">
        <v>511</v>
      </c>
      <c r="D1564" t="s">
        <v>512</v>
      </c>
      <c r="E1564" t="s">
        <v>1259</v>
      </c>
      <c r="F1564" t="s">
        <v>474</v>
      </c>
      <c r="G1564" t="s">
        <v>470</v>
      </c>
      <c r="H1564" t="s">
        <v>475</v>
      </c>
      <c r="I1564">
        <v>10687</v>
      </c>
    </row>
    <row r="1565" spans="1:9">
      <c r="A1565" s="90" t="s">
        <v>51</v>
      </c>
      <c r="B1565" s="87">
        <v>46134</v>
      </c>
      <c r="C1565" t="s">
        <v>511</v>
      </c>
      <c r="D1565" t="s">
        <v>512</v>
      </c>
      <c r="E1565" t="s">
        <v>1259</v>
      </c>
      <c r="F1565" t="s">
        <v>474</v>
      </c>
      <c r="G1565" t="s">
        <v>470</v>
      </c>
      <c r="H1565" t="s">
        <v>475</v>
      </c>
      <c r="I1565">
        <v>51.57</v>
      </c>
    </row>
    <row r="1566" spans="1:9">
      <c r="A1566" s="90" t="s">
        <v>51</v>
      </c>
      <c r="B1566" s="87">
        <v>46135</v>
      </c>
      <c r="C1566" t="s">
        <v>511</v>
      </c>
      <c r="D1566" t="s">
        <v>512</v>
      </c>
      <c r="E1566" t="s">
        <v>2039</v>
      </c>
      <c r="F1566" t="s">
        <v>474</v>
      </c>
      <c r="G1566" t="s">
        <v>470</v>
      </c>
      <c r="H1566" t="s">
        <v>475</v>
      </c>
      <c r="I1566">
        <v>264556.77</v>
      </c>
    </row>
    <row r="1567" spans="1:9">
      <c r="A1567" s="90" t="s">
        <v>51</v>
      </c>
      <c r="B1567" s="87">
        <v>46140</v>
      </c>
      <c r="C1567" t="s">
        <v>2040</v>
      </c>
      <c r="D1567" t="s">
        <v>1529</v>
      </c>
      <c r="E1567" t="s">
        <v>2041</v>
      </c>
      <c r="F1567" t="s">
        <v>490</v>
      </c>
      <c r="G1567" t="s">
        <v>470</v>
      </c>
      <c r="H1567" t="s">
        <v>540</v>
      </c>
      <c r="I1567">
        <v>80105.45</v>
      </c>
    </row>
    <row r="1568" spans="1:9">
      <c r="A1568" s="90" t="s">
        <v>51</v>
      </c>
      <c r="B1568" s="87">
        <v>46140</v>
      </c>
      <c r="C1568" t="s">
        <v>2042</v>
      </c>
      <c r="D1568" t="s">
        <v>1529</v>
      </c>
      <c r="E1568" t="s">
        <v>2043</v>
      </c>
      <c r="F1568" t="s">
        <v>490</v>
      </c>
      <c r="G1568" t="s">
        <v>470</v>
      </c>
      <c r="H1568" t="s">
        <v>540</v>
      </c>
      <c r="I1568">
        <v>91107.77</v>
      </c>
    </row>
    <row r="1569" spans="1:9">
      <c r="A1569" s="90" t="s">
        <v>51</v>
      </c>
      <c r="B1569" s="87">
        <v>46140</v>
      </c>
      <c r="C1569" t="s">
        <v>2044</v>
      </c>
      <c r="D1569" t="s">
        <v>1529</v>
      </c>
      <c r="E1569" t="s">
        <v>2045</v>
      </c>
      <c r="F1569" t="s">
        <v>490</v>
      </c>
      <c r="G1569" t="s">
        <v>470</v>
      </c>
      <c r="H1569" t="s">
        <v>540</v>
      </c>
      <c r="I1569">
        <v>81081.740000000005</v>
      </c>
    </row>
    <row r="1570" spans="1:9">
      <c r="A1570" s="90" t="s">
        <v>51</v>
      </c>
      <c r="B1570" s="87">
        <v>46140</v>
      </c>
      <c r="C1570" t="s">
        <v>2046</v>
      </c>
      <c r="D1570" t="s">
        <v>1529</v>
      </c>
      <c r="E1570" t="s">
        <v>2047</v>
      </c>
      <c r="F1570" t="s">
        <v>490</v>
      </c>
      <c r="G1570" t="s">
        <v>470</v>
      </c>
      <c r="H1570" t="s">
        <v>540</v>
      </c>
      <c r="I1570">
        <v>77100.289999999994</v>
      </c>
    </row>
    <row r="1571" spans="1:9">
      <c r="A1571" s="90" t="s">
        <v>51</v>
      </c>
      <c r="B1571" s="87">
        <v>46140</v>
      </c>
      <c r="C1571" t="s">
        <v>2048</v>
      </c>
      <c r="D1571" t="s">
        <v>1529</v>
      </c>
      <c r="E1571" t="s">
        <v>2049</v>
      </c>
      <c r="F1571" t="s">
        <v>490</v>
      </c>
      <c r="G1571" t="s">
        <v>470</v>
      </c>
      <c r="H1571" t="s">
        <v>540</v>
      </c>
      <c r="I1571">
        <v>79289.539999999994</v>
      </c>
    </row>
    <row r="1572" spans="1:9">
      <c r="A1572" s="90" t="s">
        <v>51</v>
      </c>
      <c r="B1572" s="87">
        <v>46140</v>
      </c>
      <c r="C1572" t="s">
        <v>2050</v>
      </c>
      <c r="D1572" t="s">
        <v>1529</v>
      </c>
      <c r="E1572" t="s">
        <v>2051</v>
      </c>
      <c r="F1572" t="s">
        <v>490</v>
      </c>
      <c r="G1572" t="s">
        <v>470</v>
      </c>
      <c r="H1572" t="s">
        <v>540</v>
      </c>
      <c r="I1572">
        <v>61029.69</v>
      </c>
    </row>
    <row r="1573" spans="1:9">
      <c r="A1573" s="90" t="s">
        <v>51</v>
      </c>
      <c r="B1573" s="87">
        <v>46140</v>
      </c>
      <c r="C1573" t="s">
        <v>2052</v>
      </c>
      <c r="D1573" t="s">
        <v>1529</v>
      </c>
      <c r="E1573" t="s">
        <v>2053</v>
      </c>
      <c r="F1573" t="s">
        <v>490</v>
      </c>
      <c r="G1573" t="s">
        <v>470</v>
      </c>
      <c r="H1573" t="s">
        <v>540</v>
      </c>
      <c r="I1573">
        <v>64547.13</v>
      </c>
    </row>
    <row r="1574" spans="1:9">
      <c r="A1574" s="90" t="s">
        <v>51</v>
      </c>
      <c r="B1574" s="87">
        <v>46140</v>
      </c>
      <c r="C1574" t="s">
        <v>2054</v>
      </c>
      <c r="D1574" t="s">
        <v>1529</v>
      </c>
      <c r="E1574" t="s">
        <v>2055</v>
      </c>
      <c r="F1574" t="s">
        <v>490</v>
      </c>
      <c r="G1574" t="s">
        <v>470</v>
      </c>
      <c r="H1574" t="s">
        <v>540</v>
      </c>
      <c r="I1574">
        <v>76106.87</v>
      </c>
    </row>
    <row r="1575" spans="1:9">
      <c r="A1575" s="90" t="s">
        <v>51</v>
      </c>
      <c r="B1575" s="87">
        <v>46140</v>
      </c>
      <c r="C1575" t="s">
        <v>2056</v>
      </c>
      <c r="D1575" t="s">
        <v>1529</v>
      </c>
      <c r="E1575" t="s">
        <v>2057</v>
      </c>
      <c r="F1575" t="s">
        <v>490</v>
      </c>
      <c r="G1575" t="s">
        <v>470</v>
      </c>
      <c r="H1575" t="s">
        <v>540</v>
      </c>
      <c r="I1575">
        <v>92275.58</v>
      </c>
    </row>
    <row r="1576" spans="1:9">
      <c r="A1576" s="90" t="s">
        <v>51</v>
      </c>
      <c r="B1576" s="87">
        <v>46140</v>
      </c>
      <c r="C1576" t="s">
        <v>2058</v>
      </c>
      <c r="D1576" t="s">
        <v>1529</v>
      </c>
      <c r="E1576" t="s">
        <v>2059</v>
      </c>
      <c r="F1576" t="s">
        <v>490</v>
      </c>
      <c r="G1576" t="s">
        <v>470</v>
      </c>
      <c r="H1576" t="s">
        <v>540</v>
      </c>
      <c r="I1576">
        <v>83706.97</v>
      </c>
    </row>
    <row r="1577" spans="1:9">
      <c r="A1577" s="90" t="s">
        <v>51</v>
      </c>
      <c r="B1577" s="87">
        <v>46140</v>
      </c>
      <c r="C1577" t="s">
        <v>2060</v>
      </c>
      <c r="D1577" t="s">
        <v>1529</v>
      </c>
      <c r="E1577" t="s">
        <v>2061</v>
      </c>
      <c r="F1577" t="s">
        <v>490</v>
      </c>
      <c r="G1577" t="s">
        <v>470</v>
      </c>
      <c r="H1577" t="s">
        <v>540</v>
      </c>
      <c r="I1577">
        <v>94131.61</v>
      </c>
    </row>
    <row r="1578" spans="1:9">
      <c r="A1578" s="90" t="s">
        <v>51</v>
      </c>
      <c r="B1578" s="87">
        <v>46140</v>
      </c>
      <c r="C1578" t="s">
        <v>2062</v>
      </c>
      <c r="D1578" t="s">
        <v>1529</v>
      </c>
      <c r="E1578" t="s">
        <v>2063</v>
      </c>
      <c r="F1578" t="s">
        <v>490</v>
      </c>
      <c r="G1578" t="s">
        <v>470</v>
      </c>
      <c r="H1578" t="s">
        <v>540</v>
      </c>
      <c r="I1578">
        <v>63312.36</v>
      </c>
    </row>
    <row r="1579" spans="1:9">
      <c r="A1579" s="90" t="s">
        <v>51</v>
      </c>
      <c r="B1579" s="87">
        <v>46140</v>
      </c>
      <c r="C1579" t="s">
        <v>2064</v>
      </c>
      <c r="D1579" t="s">
        <v>1529</v>
      </c>
      <c r="E1579" t="s">
        <v>2065</v>
      </c>
      <c r="F1579" t="s">
        <v>490</v>
      </c>
      <c r="G1579" t="s">
        <v>470</v>
      </c>
      <c r="H1579" t="s">
        <v>540</v>
      </c>
      <c r="I1579">
        <v>75403.08</v>
      </c>
    </row>
    <row r="1580" spans="1:9">
      <c r="A1580" s="90" t="s">
        <v>51</v>
      </c>
      <c r="B1580" s="87">
        <v>46140</v>
      </c>
      <c r="C1580" t="s">
        <v>2066</v>
      </c>
      <c r="D1580" t="s">
        <v>1529</v>
      </c>
      <c r="E1580" t="s">
        <v>2067</v>
      </c>
      <c r="F1580" t="s">
        <v>490</v>
      </c>
      <c r="G1580" t="s">
        <v>470</v>
      </c>
      <c r="H1580" t="s">
        <v>540</v>
      </c>
      <c r="I1580">
        <v>73780.600000000006</v>
      </c>
    </row>
    <row r="1581" spans="1:9">
      <c r="A1581" s="90" t="s">
        <v>51</v>
      </c>
      <c r="B1581" s="87">
        <v>46140</v>
      </c>
      <c r="C1581" t="s">
        <v>2068</v>
      </c>
      <c r="D1581" t="s">
        <v>1529</v>
      </c>
      <c r="E1581" t="s">
        <v>2069</v>
      </c>
      <c r="F1581" t="s">
        <v>490</v>
      </c>
      <c r="G1581" t="s">
        <v>470</v>
      </c>
      <c r="H1581" t="s">
        <v>540</v>
      </c>
      <c r="I1581">
        <v>83244.52</v>
      </c>
    </row>
    <row r="1582" spans="1:9">
      <c r="A1582" s="90" t="s">
        <v>51</v>
      </c>
      <c r="B1582" s="87">
        <v>46140</v>
      </c>
      <c r="C1582" t="s">
        <v>2070</v>
      </c>
      <c r="D1582" t="s">
        <v>1529</v>
      </c>
      <c r="E1582" t="s">
        <v>2071</v>
      </c>
      <c r="F1582" t="s">
        <v>490</v>
      </c>
      <c r="G1582" t="s">
        <v>470</v>
      </c>
      <c r="H1582" t="s">
        <v>540</v>
      </c>
      <c r="I1582">
        <v>73987.69</v>
      </c>
    </row>
    <row r="1583" spans="1:9">
      <c r="A1583" s="90" t="s">
        <v>51</v>
      </c>
      <c r="B1583" s="87">
        <v>46140</v>
      </c>
      <c r="C1583" t="s">
        <v>2072</v>
      </c>
      <c r="D1583" t="s">
        <v>1529</v>
      </c>
      <c r="E1583" t="s">
        <v>2073</v>
      </c>
      <c r="F1583" t="s">
        <v>490</v>
      </c>
      <c r="G1583" t="s">
        <v>470</v>
      </c>
      <c r="H1583" t="s">
        <v>540</v>
      </c>
      <c r="I1583">
        <v>64997.120000000003</v>
      </c>
    </row>
    <row r="1584" spans="1:9">
      <c r="A1584" s="90" t="s">
        <v>51</v>
      </c>
      <c r="B1584" s="87">
        <v>46140</v>
      </c>
      <c r="C1584" t="s">
        <v>2074</v>
      </c>
      <c r="D1584" t="s">
        <v>1529</v>
      </c>
      <c r="E1584" t="s">
        <v>2075</v>
      </c>
      <c r="F1584" t="s">
        <v>490</v>
      </c>
      <c r="G1584" t="s">
        <v>470</v>
      </c>
      <c r="H1584" t="s">
        <v>540</v>
      </c>
      <c r="I1584">
        <v>72499.12</v>
      </c>
    </row>
    <row r="1585" spans="1:9">
      <c r="A1585" s="90" t="s">
        <v>51</v>
      </c>
      <c r="B1585" s="87">
        <v>46140</v>
      </c>
      <c r="C1585" t="s">
        <v>2076</v>
      </c>
      <c r="D1585" t="s">
        <v>1529</v>
      </c>
      <c r="E1585" t="s">
        <v>2077</v>
      </c>
      <c r="F1585" t="s">
        <v>490</v>
      </c>
      <c r="G1585" t="s">
        <v>470</v>
      </c>
      <c r="H1585" t="s">
        <v>540</v>
      </c>
      <c r="I1585">
        <v>65532.76</v>
      </c>
    </row>
    <row r="1586" spans="1:9">
      <c r="A1586" s="90" t="s">
        <v>51</v>
      </c>
      <c r="B1586" s="87">
        <v>46140</v>
      </c>
      <c r="C1586" t="s">
        <v>2078</v>
      </c>
      <c r="D1586" t="s">
        <v>1529</v>
      </c>
      <c r="E1586" t="s">
        <v>2079</v>
      </c>
      <c r="F1586" t="s">
        <v>490</v>
      </c>
      <c r="G1586" t="s">
        <v>470</v>
      </c>
      <c r="H1586" t="s">
        <v>540</v>
      </c>
      <c r="I1586">
        <v>71843.59</v>
      </c>
    </row>
    <row r="1587" spans="1:9">
      <c r="A1587" s="90" t="s">
        <v>51</v>
      </c>
      <c r="B1587" s="87">
        <v>46140</v>
      </c>
      <c r="C1587" t="s">
        <v>2080</v>
      </c>
      <c r="D1587" t="s">
        <v>1529</v>
      </c>
      <c r="E1587" t="s">
        <v>2081</v>
      </c>
      <c r="F1587" t="s">
        <v>490</v>
      </c>
      <c r="G1587" t="s">
        <v>470</v>
      </c>
      <c r="H1587" t="s">
        <v>540</v>
      </c>
      <c r="I1587">
        <v>63757.69</v>
      </c>
    </row>
    <row r="1588" spans="1:9">
      <c r="A1588" s="90" t="s">
        <v>51</v>
      </c>
      <c r="B1588" s="87">
        <v>46140</v>
      </c>
      <c r="C1588" t="s">
        <v>2082</v>
      </c>
      <c r="D1588" t="s">
        <v>1529</v>
      </c>
      <c r="E1588" t="s">
        <v>2083</v>
      </c>
      <c r="F1588" t="s">
        <v>490</v>
      </c>
      <c r="G1588" t="s">
        <v>470</v>
      </c>
      <c r="H1588" t="s">
        <v>540</v>
      </c>
      <c r="I1588">
        <v>70068.53</v>
      </c>
    </row>
    <row r="1589" spans="1:9">
      <c r="A1589" s="90" t="s">
        <v>51</v>
      </c>
      <c r="B1589" s="87">
        <v>46140</v>
      </c>
      <c r="C1589" t="s">
        <v>2084</v>
      </c>
      <c r="D1589" t="s">
        <v>1529</v>
      </c>
      <c r="E1589" t="s">
        <v>2085</v>
      </c>
      <c r="F1589" t="s">
        <v>490</v>
      </c>
      <c r="G1589" t="s">
        <v>470</v>
      </c>
      <c r="H1589" t="s">
        <v>540</v>
      </c>
      <c r="I1589">
        <v>70068.53</v>
      </c>
    </row>
    <row r="1590" spans="1:9">
      <c r="A1590" s="90" t="s">
        <v>51</v>
      </c>
      <c r="B1590" s="87">
        <v>46140</v>
      </c>
      <c r="C1590" t="s">
        <v>2086</v>
      </c>
      <c r="D1590" t="s">
        <v>1529</v>
      </c>
      <c r="E1590" t="s">
        <v>2087</v>
      </c>
      <c r="F1590" t="s">
        <v>490</v>
      </c>
      <c r="G1590" t="s">
        <v>470</v>
      </c>
      <c r="H1590" t="s">
        <v>540</v>
      </c>
      <c r="I1590">
        <v>70068.53</v>
      </c>
    </row>
    <row r="1591" spans="1:9">
      <c r="A1591" s="90" t="s">
        <v>51</v>
      </c>
      <c r="B1591" s="87">
        <v>46140</v>
      </c>
      <c r="C1591" t="s">
        <v>2088</v>
      </c>
      <c r="D1591" t="s">
        <v>1529</v>
      </c>
      <c r="E1591" t="s">
        <v>2089</v>
      </c>
      <c r="F1591" t="s">
        <v>490</v>
      </c>
      <c r="G1591" t="s">
        <v>470</v>
      </c>
      <c r="H1591" t="s">
        <v>540</v>
      </c>
      <c r="I1591">
        <v>69447.25</v>
      </c>
    </row>
    <row r="1592" spans="1:9">
      <c r="A1592" s="90" t="s">
        <v>51</v>
      </c>
      <c r="B1592" s="87">
        <v>46140</v>
      </c>
      <c r="C1592" t="s">
        <v>2088</v>
      </c>
      <c r="D1592" t="s">
        <v>1529</v>
      </c>
      <c r="E1592" t="s">
        <v>2089</v>
      </c>
      <c r="F1592" t="s">
        <v>490</v>
      </c>
      <c r="G1592" t="s">
        <v>470</v>
      </c>
      <c r="H1592" t="s">
        <v>540</v>
      </c>
      <c r="I1592">
        <v>0.4</v>
      </c>
    </row>
    <row r="1593" spans="1:9">
      <c r="A1593" s="90" t="s">
        <v>51</v>
      </c>
      <c r="B1593" s="87">
        <v>46140</v>
      </c>
      <c r="C1593" t="s">
        <v>2090</v>
      </c>
      <c r="D1593" t="s">
        <v>477</v>
      </c>
      <c r="E1593" t="s">
        <v>2091</v>
      </c>
      <c r="F1593" t="s">
        <v>218</v>
      </c>
      <c r="G1593" t="s">
        <v>470</v>
      </c>
      <c r="H1593" t="s">
        <v>516</v>
      </c>
      <c r="I1593">
        <v>3704</v>
      </c>
    </row>
    <row r="1594" spans="1:9">
      <c r="A1594" s="90" t="s">
        <v>51</v>
      </c>
      <c r="B1594" s="87">
        <v>46140</v>
      </c>
      <c r="C1594" t="s">
        <v>2092</v>
      </c>
      <c r="D1594" t="s">
        <v>477</v>
      </c>
      <c r="E1594" t="s">
        <v>2093</v>
      </c>
      <c r="F1594" t="s">
        <v>218</v>
      </c>
      <c r="G1594" t="s">
        <v>470</v>
      </c>
      <c r="H1594" t="s">
        <v>516</v>
      </c>
      <c r="I1594">
        <v>3781</v>
      </c>
    </row>
    <row r="1595" spans="1:9">
      <c r="A1595" s="90" t="s">
        <v>51</v>
      </c>
      <c r="B1595" s="87">
        <v>46140</v>
      </c>
      <c r="C1595" t="s">
        <v>2094</v>
      </c>
      <c r="D1595" t="s">
        <v>477</v>
      </c>
      <c r="E1595" t="s">
        <v>2095</v>
      </c>
      <c r="F1595" t="s">
        <v>218</v>
      </c>
      <c r="G1595" t="s">
        <v>470</v>
      </c>
      <c r="H1595" t="s">
        <v>516</v>
      </c>
      <c r="I1595">
        <v>18258.73</v>
      </c>
    </row>
    <row r="1596" spans="1:9">
      <c r="A1596" s="90" t="s">
        <v>51</v>
      </c>
      <c r="B1596" s="87">
        <v>46140</v>
      </c>
      <c r="C1596" t="s">
        <v>2096</v>
      </c>
      <c r="D1596" t="s">
        <v>477</v>
      </c>
      <c r="E1596" t="s">
        <v>2097</v>
      </c>
      <c r="F1596" t="s">
        <v>218</v>
      </c>
      <c r="G1596" t="s">
        <v>470</v>
      </c>
      <c r="H1596" t="s">
        <v>516</v>
      </c>
      <c r="I1596">
        <v>11135.45</v>
      </c>
    </row>
    <row r="1597" spans="1:9">
      <c r="A1597" s="90" t="s">
        <v>51</v>
      </c>
      <c r="B1597" s="87">
        <v>46140</v>
      </c>
      <c r="C1597" t="s">
        <v>2098</v>
      </c>
      <c r="D1597" t="s">
        <v>477</v>
      </c>
      <c r="E1597" t="s">
        <v>2099</v>
      </c>
      <c r="F1597" t="s">
        <v>218</v>
      </c>
      <c r="G1597" t="s">
        <v>470</v>
      </c>
      <c r="H1597" t="s">
        <v>801</v>
      </c>
      <c r="I1597">
        <v>7533.63</v>
      </c>
    </row>
    <row r="1598" spans="1:9">
      <c r="A1598" s="90" t="s">
        <v>51</v>
      </c>
      <c r="B1598" s="87">
        <v>46140</v>
      </c>
      <c r="C1598" t="s">
        <v>2100</v>
      </c>
      <c r="D1598" t="s">
        <v>477</v>
      </c>
      <c r="E1598" t="s">
        <v>2101</v>
      </c>
      <c r="F1598" t="s">
        <v>218</v>
      </c>
      <c r="G1598" t="s">
        <v>470</v>
      </c>
      <c r="H1598" t="s">
        <v>516</v>
      </c>
      <c r="I1598">
        <v>9780.7199999999993</v>
      </c>
    </row>
    <row r="1599" spans="1:9">
      <c r="A1599" s="90" t="s">
        <v>51</v>
      </c>
      <c r="B1599" s="87">
        <v>46140</v>
      </c>
      <c r="C1599" t="s">
        <v>517</v>
      </c>
      <c r="D1599" t="s">
        <v>512</v>
      </c>
      <c r="E1599" t="s">
        <v>1259</v>
      </c>
      <c r="F1599" t="s">
        <v>474</v>
      </c>
      <c r="G1599" t="s">
        <v>470</v>
      </c>
      <c r="H1599" t="s">
        <v>475</v>
      </c>
      <c r="I1599">
        <v>1922589.93</v>
      </c>
    </row>
    <row r="1600" spans="1:9">
      <c r="A1600" s="90" t="s">
        <v>51</v>
      </c>
      <c r="B1600" s="87">
        <v>46141</v>
      </c>
      <c r="C1600" t="s">
        <v>511</v>
      </c>
      <c r="D1600" t="s">
        <v>512</v>
      </c>
      <c r="E1600" t="s">
        <v>1259</v>
      </c>
      <c r="F1600" t="s">
        <v>474</v>
      </c>
      <c r="G1600" t="s">
        <v>470</v>
      </c>
      <c r="H1600" t="s">
        <v>475</v>
      </c>
      <c r="I1600">
        <v>54590</v>
      </c>
    </row>
    <row r="1601" spans="1:9">
      <c r="A1601" s="90" t="s">
        <v>51</v>
      </c>
      <c r="B1601" s="87">
        <v>46142</v>
      </c>
      <c r="C1601" t="s">
        <v>2102</v>
      </c>
      <c r="D1601" t="s">
        <v>2103</v>
      </c>
      <c r="E1601" t="s">
        <v>2104</v>
      </c>
      <c r="F1601" t="s">
        <v>486</v>
      </c>
      <c r="G1601" t="s">
        <v>470</v>
      </c>
      <c r="H1601" t="s">
        <v>487</v>
      </c>
      <c r="I1601">
        <v>31827</v>
      </c>
    </row>
    <row r="1602" spans="1:9">
      <c r="A1602" s="90" t="s">
        <v>51</v>
      </c>
      <c r="B1602" s="87">
        <v>46142</v>
      </c>
      <c r="C1602" t="s">
        <v>524</v>
      </c>
      <c r="D1602" t="s">
        <v>1713</v>
      </c>
      <c r="E1602" t="s">
        <v>1259</v>
      </c>
      <c r="F1602" t="s">
        <v>1117</v>
      </c>
      <c r="G1602" t="s">
        <v>470</v>
      </c>
      <c r="H1602" t="s">
        <v>516</v>
      </c>
      <c r="I1602">
        <v>853.94</v>
      </c>
    </row>
    <row r="1603" spans="1:9">
      <c r="A1603" s="90" t="s">
        <v>51</v>
      </c>
      <c r="B1603" s="87">
        <v>46142</v>
      </c>
      <c r="C1603" t="s">
        <v>2105</v>
      </c>
      <c r="D1603" t="s">
        <v>477</v>
      </c>
      <c r="E1603" t="s">
        <v>2106</v>
      </c>
      <c r="F1603" t="s">
        <v>218</v>
      </c>
      <c r="G1603" t="s">
        <v>470</v>
      </c>
      <c r="H1603" t="s">
        <v>516</v>
      </c>
      <c r="I1603">
        <v>3268.84</v>
      </c>
    </row>
    <row r="1604" spans="1:9">
      <c r="A1604" s="90" t="s">
        <v>51</v>
      </c>
      <c r="B1604" s="87">
        <v>46142</v>
      </c>
      <c r="C1604" t="s">
        <v>2107</v>
      </c>
      <c r="D1604" t="s">
        <v>477</v>
      </c>
      <c r="E1604" t="s">
        <v>2108</v>
      </c>
      <c r="F1604" t="s">
        <v>218</v>
      </c>
      <c r="G1604" t="s">
        <v>470</v>
      </c>
      <c r="H1604" t="s">
        <v>516</v>
      </c>
      <c r="I1604">
        <v>6913.66</v>
      </c>
    </row>
    <row r="1605" spans="1:9">
      <c r="A1605" s="90" t="s">
        <v>51</v>
      </c>
      <c r="B1605" s="87">
        <v>46142</v>
      </c>
      <c r="C1605" t="s">
        <v>511</v>
      </c>
      <c r="D1605" t="s">
        <v>512</v>
      </c>
      <c r="E1605" t="s">
        <v>1259</v>
      </c>
      <c r="F1605" t="s">
        <v>474</v>
      </c>
      <c r="G1605" t="s">
        <v>470</v>
      </c>
      <c r="H1605" t="s">
        <v>475</v>
      </c>
      <c r="I1605">
        <v>337423.54</v>
      </c>
    </row>
    <row r="1606" spans="1:9">
      <c r="A1606" s="90" t="s">
        <v>51</v>
      </c>
      <c r="B1606" s="87">
        <v>46142</v>
      </c>
      <c r="C1606" t="s">
        <v>524</v>
      </c>
      <c r="D1606" t="s">
        <v>477</v>
      </c>
      <c r="E1606" t="s">
        <v>1259</v>
      </c>
      <c r="F1606" t="s">
        <v>1117</v>
      </c>
      <c r="G1606" t="s">
        <v>470</v>
      </c>
      <c r="H1606" t="s">
        <v>516</v>
      </c>
      <c r="I1606">
        <v>24209.52</v>
      </c>
    </row>
    <row r="1607" spans="1:9">
      <c r="A1607" s="90" t="s">
        <v>51</v>
      </c>
      <c r="B1607" s="87">
        <v>46142</v>
      </c>
      <c r="C1607" t="s">
        <v>524</v>
      </c>
      <c r="D1607" t="s">
        <v>477</v>
      </c>
      <c r="E1607" t="s">
        <v>1259</v>
      </c>
      <c r="F1607" t="s">
        <v>1117</v>
      </c>
      <c r="G1607" t="s">
        <v>470</v>
      </c>
      <c r="H1607" t="s">
        <v>516</v>
      </c>
      <c r="I1607">
        <v>461.73</v>
      </c>
    </row>
    <row r="1608" spans="1:9">
      <c r="A1608" s="90" t="s">
        <v>216</v>
      </c>
      <c r="B1608" s="87">
        <v>46146</v>
      </c>
      <c r="C1608" t="s">
        <v>507</v>
      </c>
      <c r="D1608" t="s">
        <v>508</v>
      </c>
      <c r="E1608" t="s">
        <v>4647</v>
      </c>
      <c r="F1608" t="s">
        <v>510</v>
      </c>
      <c r="G1608" t="s">
        <v>470</v>
      </c>
      <c r="H1608" t="s">
        <v>487</v>
      </c>
      <c r="I1608">
        <v>10409.59</v>
      </c>
    </row>
    <row r="1609" spans="1:9">
      <c r="A1609" s="90" t="s">
        <v>216</v>
      </c>
      <c r="B1609" s="87">
        <v>46147</v>
      </c>
      <c r="C1609" t="s">
        <v>1272</v>
      </c>
      <c r="D1609" t="s">
        <v>1140</v>
      </c>
      <c r="E1609" t="s">
        <v>1273</v>
      </c>
      <c r="F1609" t="s">
        <v>490</v>
      </c>
      <c r="G1609" t="s">
        <v>470</v>
      </c>
      <c r="H1609" t="s">
        <v>516</v>
      </c>
      <c r="I1609">
        <v>11558.01</v>
      </c>
    </row>
    <row r="1610" spans="1:9">
      <c r="A1610" s="90" t="s">
        <v>216</v>
      </c>
      <c r="B1610" s="87">
        <v>46153</v>
      </c>
      <c r="C1610" t="s">
        <v>4648</v>
      </c>
      <c r="D1610" t="s">
        <v>477</v>
      </c>
      <c r="E1610" t="s">
        <v>4647</v>
      </c>
      <c r="F1610" t="s">
        <v>1117</v>
      </c>
      <c r="G1610" t="s">
        <v>470</v>
      </c>
      <c r="H1610" t="s">
        <v>516</v>
      </c>
      <c r="I1610">
        <v>1085.51</v>
      </c>
    </row>
    <row r="1611" spans="1:9">
      <c r="A1611" s="90" t="s">
        <v>216</v>
      </c>
      <c r="B1611" s="87">
        <v>46157</v>
      </c>
      <c r="C1611" t="s">
        <v>4649</v>
      </c>
      <c r="D1611" t="s">
        <v>535</v>
      </c>
      <c r="E1611" t="s">
        <v>4650</v>
      </c>
      <c r="F1611" t="s">
        <v>537</v>
      </c>
      <c r="G1611" t="s">
        <v>470</v>
      </c>
      <c r="H1611" t="s">
        <v>475</v>
      </c>
      <c r="I1611">
        <v>1000000</v>
      </c>
    </row>
    <row r="1612" spans="1:9">
      <c r="A1612" s="90" t="s">
        <v>216</v>
      </c>
      <c r="B1612" s="87">
        <v>46171</v>
      </c>
      <c r="C1612" t="s">
        <v>4651</v>
      </c>
      <c r="D1612" t="s">
        <v>1529</v>
      </c>
      <c r="E1612" t="s">
        <v>4652</v>
      </c>
      <c r="F1612" t="s">
        <v>490</v>
      </c>
      <c r="G1612" t="s">
        <v>470</v>
      </c>
      <c r="H1612" t="s">
        <v>540</v>
      </c>
      <c r="I1612">
        <v>64879.1</v>
      </c>
    </row>
    <row r="1613" spans="1:9">
      <c r="A1613" s="90" t="s">
        <v>216</v>
      </c>
      <c r="B1613" s="87">
        <v>46171</v>
      </c>
      <c r="C1613" t="s">
        <v>4653</v>
      </c>
      <c r="D1613" t="s">
        <v>1529</v>
      </c>
      <c r="E1613" t="s">
        <v>4654</v>
      </c>
      <c r="F1613" t="s">
        <v>490</v>
      </c>
      <c r="G1613" t="s">
        <v>470</v>
      </c>
      <c r="H1613" t="s">
        <v>540</v>
      </c>
      <c r="I1613">
        <v>87197.65</v>
      </c>
    </row>
    <row r="1614" spans="1:9">
      <c r="A1614" s="90" t="s">
        <v>216</v>
      </c>
      <c r="B1614" s="87">
        <v>46171</v>
      </c>
      <c r="C1614" t="s">
        <v>4655</v>
      </c>
      <c r="D1614" t="s">
        <v>1529</v>
      </c>
      <c r="E1614" t="s">
        <v>4656</v>
      </c>
      <c r="F1614" t="s">
        <v>490</v>
      </c>
      <c r="G1614" t="s">
        <v>470</v>
      </c>
      <c r="H1614" t="s">
        <v>540</v>
      </c>
      <c r="I1614">
        <v>87773.5</v>
      </c>
    </row>
    <row r="1615" spans="1:9">
      <c r="A1615" s="90" t="s">
        <v>216</v>
      </c>
      <c r="B1615" s="87">
        <v>46171</v>
      </c>
      <c r="C1615" t="s">
        <v>4657</v>
      </c>
      <c r="D1615" t="s">
        <v>1529</v>
      </c>
      <c r="E1615" t="s">
        <v>4658</v>
      </c>
      <c r="F1615" t="s">
        <v>490</v>
      </c>
      <c r="G1615" t="s">
        <v>470</v>
      </c>
      <c r="H1615" t="s">
        <v>540</v>
      </c>
      <c r="I1615">
        <v>66624.100000000006</v>
      </c>
    </row>
    <row r="1616" spans="1:9">
      <c r="A1616" s="90" t="s">
        <v>216</v>
      </c>
      <c r="B1616" s="87">
        <v>46171</v>
      </c>
      <c r="C1616" t="s">
        <v>4659</v>
      </c>
      <c r="D1616" t="s">
        <v>1529</v>
      </c>
      <c r="E1616" t="s">
        <v>4660</v>
      </c>
      <c r="F1616" t="s">
        <v>490</v>
      </c>
      <c r="G1616" t="s">
        <v>470</v>
      </c>
      <c r="H1616" t="s">
        <v>540</v>
      </c>
      <c r="I1616">
        <v>84859.35</v>
      </c>
    </row>
    <row r="1617" spans="1:9">
      <c r="A1617" s="90" t="s">
        <v>216</v>
      </c>
      <c r="B1617" s="87">
        <v>46171</v>
      </c>
      <c r="C1617" t="s">
        <v>4661</v>
      </c>
      <c r="D1617" t="s">
        <v>1529</v>
      </c>
      <c r="E1617" t="s">
        <v>4662</v>
      </c>
      <c r="F1617" t="s">
        <v>490</v>
      </c>
      <c r="G1617" t="s">
        <v>470</v>
      </c>
      <c r="H1617" t="s">
        <v>540</v>
      </c>
      <c r="I1617">
        <v>86569.45</v>
      </c>
    </row>
    <row r="1618" spans="1:9">
      <c r="A1618" s="90" t="s">
        <v>216</v>
      </c>
      <c r="B1618" s="87">
        <v>46171</v>
      </c>
      <c r="C1618" t="s">
        <v>4663</v>
      </c>
      <c r="D1618" t="s">
        <v>1529</v>
      </c>
      <c r="E1618" t="s">
        <v>4664</v>
      </c>
      <c r="F1618" t="s">
        <v>490</v>
      </c>
      <c r="G1618" t="s">
        <v>470</v>
      </c>
      <c r="H1618" t="s">
        <v>540</v>
      </c>
      <c r="I1618">
        <v>66310</v>
      </c>
    </row>
    <row r="1619" spans="1:9">
      <c r="A1619" s="90" t="s">
        <v>216</v>
      </c>
      <c r="B1619" s="87">
        <v>46171</v>
      </c>
      <c r="C1619" t="s">
        <v>4665</v>
      </c>
      <c r="D1619" t="s">
        <v>1529</v>
      </c>
      <c r="E1619" t="s">
        <v>4666</v>
      </c>
      <c r="F1619" t="s">
        <v>490</v>
      </c>
      <c r="G1619" t="s">
        <v>470</v>
      </c>
      <c r="H1619" t="s">
        <v>540</v>
      </c>
      <c r="I1619">
        <v>65856.3</v>
      </c>
    </row>
    <row r="1620" spans="1:9">
      <c r="A1620" s="90" t="s">
        <v>216</v>
      </c>
      <c r="B1620" s="87">
        <v>46171</v>
      </c>
      <c r="C1620" t="s">
        <v>4667</v>
      </c>
      <c r="D1620" t="s">
        <v>1529</v>
      </c>
      <c r="E1620" t="s">
        <v>4668</v>
      </c>
      <c r="F1620" t="s">
        <v>490</v>
      </c>
      <c r="G1620" t="s">
        <v>470</v>
      </c>
      <c r="H1620" t="s">
        <v>540</v>
      </c>
      <c r="I1620">
        <v>66467.05</v>
      </c>
    </row>
    <row r="1621" spans="1:9">
      <c r="A1621" s="90" t="s">
        <v>216</v>
      </c>
      <c r="B1621" s="87">
        <v>46171</v>
      </c>
      <c r="C1621" t="s">
        <v>4669</v>
      </c>
      <c r="D1621" t="s">
        <v>1529</v>
      </c>
      <c r="E1621" t="s">
        <v>4670</v>
      </c>
      <c r="F1621" t="s">
        <v>490</v>
      </c>
      <c r="G1621" t="s">
        <v>470</v>
      </c>
      <c r="H1621" t="s">
        <v>540</v>
      </c>
      <c r="I1621">
        <v>65716.7</v>
      </c>
    </row>
    <row r="1622" spans="1:9">
      <c r="A1622" s="90" t="s">
        <v>216</v>
      </c>
      <c r="B1622" s="87">
        <v>46171</v>
      </c>
      <c r="C1622" t="s">
        <v>4671</v>
      </c>
      <c r="D1622" t="s">
        <v>1529</v>
      </c>
      <c r="E1622" t="s">
        <v>4672</v>
      </c>
      <c r="F1622" t="s">
        <v>490</v>
      </c>
      <c r="G1622" t="s">
        <v>470</v>
      </c>
      <c r="H1622" t="s">
        <v>540</v>
      </c>
      <c r="I1622">
        <v>87092.95</v>
      </c>
    </row>
    <row r="1623" spans="1:9">
      <c r="A1623" s="90" t="s">
        <v>216</v>
      </c>
      <c r="B1623" s="87">
        <v>46171</v>
      </c>
      <c r="C1623" t="s">
        <v>4673</v>
      </c>
      <c r="D1623" t="s">
        <v>1529</v>
      </c>
      <c r="E1623" t="s">
        <v>4674</v>
      </c>
      <c r="F1623" t="s">
        <v>490</v>
      </c>
      <c r="G1623" t="s">
        <v>470</v>
      </c>
      <c r="H1623" t="s">
        <v>540</v>
      </c>
      <c r="I1623">
        <v>84213.7</v>
      </c>
    </row>
    <row r="1624" spans="1:9">
      <c r="A1624" s="90" t="s">
        <v>216</v>
      </c>
      <c r="B1624" s="87">
        <v>46171</v>
      </c>
      <c r="C1624" t="s">
        <v>4675</v>
      </c>
      <c r="D1624" t="s">
        <v>1529</v>
      </c>
      <c r="E1624" t="s">
        <v>4676</v>
      </c>
      <c r="F1624" t="s">
        <v>490</v>
      </c>
      <c r="G1624" t="s">
        <v>470</v>
      </c>
      <c r="H1624" t="s">
        <v>540</v>
      </c>
      <c r="I1624">
        <v>87581.55</v>
      </c>
    </row>
    <row r="1625" spans="1:9">
      <c r="A1625" s="90" t="s">
        <v>216</v>
      </c>
      <c r="B1625" s="87">
        <v>46171</v>
      </c>
      <c r="C1625" t="s">
        <v>4677</v>
      </c>
      <c r="D1625" t="s">
        <v>1529</v>
      </c>
      <c r="E1625" t="s">
        <v>4678</v>
      </c>
      <c r="F1625" t="s">
        <v>490</v>
      </c>
      <c r="G1625" t="s">
        <v>470</v>
      </c>
      <c r="H1625" t="s">
        <v>540</v>
      </c>
      <c r="I1625">
        <v>87424.5</v>
      </c>
    </row>
    <row r="1626" spans="1:9">
      <c r="A1626" s="90" t="s">
        <v>216</v>
      </c>
      <c r="B1626" s="87">
        <v>46171</v>
      </c>
      <c r="C1626" t="s">
        <v>4679</v>
      </c>
      <c r="D1626" t="s">
        <v>1529</v>
      </c>
      <c r="E1626" t="s">
        <v>4680</v>
      </c>
      <c r="F1626" t="s">
        <v>490</v>
      </c>
      <c r="G1626" t="s">
        <v>470</v>
      </c>
      <c r="H1626" t="s">
        <v>540</v>
      </c>
      <c r="I1626">
        <v>86621.8</v>
      </c>
    </row>
    <row r="1627" spans="1:9">
      <c r="A1627" s="90" t="s">
        <v>216</v>
      </c>
      <c r="B1627" s="87">
        <v>46171</v>
      </c>
      <c r="C1627" t="s">
        <v>4681</v>
      </c>
      <c r="D1627" t="s">
        <v>1529</v>
      </c>
      <c r="E1627" t="s">
        <v>4682</v>
      </c>
      <c r="F1627" t="s">
        <v>490</v>
      </c>
      <c r="G1627" t="s">
        <v>470</v>
      </c>
      <c r="H1627" t="s">
        <v>540</v>
      </c>
      <c r="I1627">
        <v>87092.95</v>
      </c>
    </row>
    <row r="1628" spans="1:9">
      <c r="A1628" s="90" t="s">
        <v>216</v>
      </c>
      <c r="B1628" s="87">
        <v>46171</v>
      </c>
      <c r="C1628" t="s">
        <v>4683</v>
      </c>
      <c r="D1628" t="s">
        <v>1529</v>
      </c>
      <c r="E1628" t="s">
        <v>4684</v>
      </c>
      <c r="F1628" t="s">
        <v>490</v>
      </c>
      <c r="G1628" t="s">
        <v>470</v>
      </c>
      <c r="H1628" t="s">
        <v>540</v>
      </c>
      <c r="I1628">
        <v>86150.65</v>
      </c>
    </row>
    <row r="1629" spans="1:9">
      <c r="A1629" s="90" t="s">
        <v>216</v>
      </c>
      <c r="B1629" s="87">
        <v>46171</v>
      </c>
      <c r="C1629" t="s">
        <v>4685</v>
      </c>
      <c r="D1629" t="s">
        <v>1529</v>
      </c>
      <c r="E1629" t="s">
        <v>4686</v>
      </c>
      <c r="F1629" t="s">
        <v>490</v>
      </c>
      <c r="G1629" t="s">
        <v>470</v>
      </c>
      <c r="H1629" t="s">
        <v>540</v>
      </c>
      <c r="I1629">
        <v>86045.95</v>
      </c>
    </row>
    <row r="1630" spans="1:9">
      <c r="A1630" s="90" t="s">
        <v>216</v>
      </c>
      <c r="B1630" s="87">
        <v>46171</v>
      </c>
      <c r="C1630" t="s">
        <v>4687</v>
      </c>
      <c r="D1630" t="s">
        <v>1529</v>
      </c>
      <c r="E1630" t="s">
        <v>4688</v>
      </c>
      <c r="F1630" t="s">
        <v>490</v>
      </c>
      <c r="G1630" t="s">
        <v>470</v>
      </c>
      <c r="H1630" t="s">
        <v>540</v>
      </c>
      <c r="I1630">
        <v>85854</v>
      </c>
    </row>
    <row r="1631" spans="1:9">
      <c r="A1631" s="90" t="s">
        <v>216</v>
      </c>
      <c r="B1631" s="87">
        <v>46171</v>
      </c>
      <c r="C1631" t="s">
        <v>4689</v>
      </c>
      <c r="D1631" t="s">
        <v>1529</v>
      </c>
      <c r="E1631" t="s">
        <v>4690</v>
      </c>
      <c r="F1631" t="s">
        <v>490</v>
      </c>
      <c r="G1631" t="s">
        <v>470</v>
      </c>
      <c r="H1631" t="s">
        <v>540</v>
      </c>
      <c r="I1631">
        <v>87197.65</v>
      </c>
    </row>
    <row r="1632" spans="1:9">
      <c r="A1632" s="90" t="s">
        <v>216</v>
      </c>
      <c r="B1632" s="87">
        <v>46171</v>
      </c>
      <c r="C1632" t="s">
        <v>4691</v>
      </c>
      <c r="D1632" t="s">
        <v>1529</v>
      </c>
      <c r="E1632" t="s">
        <v>4692</v>
      </c>
      <c r="F1632" t="s">
        <v>490</v>
      </c>
      <c r="G1632" t="s">
        <v>470</v>
      </c>
      <c r="H1632" t="s">
        <v>540</v>
      </c>
      <c r="I1632">
        <v>82172.05</v>
      </c>
    </row>
    <row r="1633" spans="1:9">
      <c r="A1633" s="90" t="s">
        <v>216</v>
      </c>
      <c r="B1633" s="87">
        <v>46171</v>
      </c>
      <c r="C1633" t="s">
        <v>4693</v>
      </c>
      <c r="D1633" t="s">
        <v>1529</v>
      </c>
      <c r="E1633" t="s">
        <v>4694</v>
      </c>
      <c r="F1633" t="s">
        <v>490</v>
      </c>
      <c r="G1633" t="s">
        <v>470</v>
      </c>
      <c r="H1633" t="s">
        <v>540</v>
      </c>
      <c r="I1633">
        <v>87529.2</v>
      </c>
    </row>
    <row r="1634" spans="1:9">
      <c r="A1634" s="90" t="s">
        <v>216</v>
      </c>
      <c r="B1634" s="87">
        <v>46171</v>
      </c>
      <c r="C1634" t="s">
        <v>4695</v>
      </c>
      <c r="D1634" t="s">
        <v>1529</v>
      </c>
      <c r="E1634" t="s">
        <v>4696</v>
      </c>
      <c r="F1634" t="s">
        <v>490</v>
      </c>
      <c r="G1634" t="s">
        <v>470</v>
      </c>
      <c r="H1634" t="s">
        <v>540</v>
      </c>
      <c r="I1634">
        <v>83951.95</v>
      </c>
    </row>
    <row r="1635" spans="1:9">
      <c r="A1635" s="90" t="s">
        <v>216</v>
      </c>
      <c r="B1635" s="87">
        <v>46171</v>
      </c>
      <c r="C1635" t="s">
        <v>4697</v>
      </c>
      <c r="D1635" t="s">
        <v>1529</v>
      </c>
      <c r="E1635" t="s">
        <v>4698</v>
      </c>
      <c r="F1635" t="s">
        <v>490</v>
      </c>
      <c r="G1635" t="s">
        <v>470</v>
      </c>
      <c r="H1635" t="s">
        <v>540</v>
      </c>
      <c r="I1635">
        <v>85086.2</v>
      </c>
    </row>
    <row r="1636" spans="1:9">
      <c r="A1636" s="90" t="s">
        <v>216</v>
      </c>
      <c r="B1636" s="87">
        <v>46171</v>
      </c>
      <c r="C1636" t="s">
        <v>4699</v>
      </c>
      <c r="D1636" t="s">
        <v>1529</v>
      </c>
      <c r="E1636" t="s">
        <v>4700</v>
      </c>
      <c r="F1636" t="s">
        <v>490</v>
      </c>
      <c r="G1636" t="s">
        <v>470</v>
      </c>
      <c r="H1636" t="s">
        <v>540</v>
      </c>
      <c r="I1636">
        <v>85784.2</v>
      </c>
    </row>
    <row r="1637" spans="1:9">
      <c r="A1637" s="90" t="s">
        <v>216</v>
      </c>
      <c r="B1637" s="87">
        <v>46171</v>
      </c>
      <c r="C1637" t="s">
        <v>4701</v>
      </c>
      <c r="D1637" t="s">
        <v>1529</v>
      </c>
      <c r="E1637" t="s">
        <v>4702</v>
      </c>
      <c r="F1637" t="s">
        <v>490</v>
      </c>
      <c r="G1637" t="s">
        <v>470</v>
      </c>
      <c r="H1637" t="s">
        <v>540</v>
      </c>
      <c r="I1637">
        <v>87407.05</v>
      </c>
    </row>
    <row r="1638" spans="1:9">
      <c r="A1638" s="90" t="s">
        <v>216</v>
      </c>
      <c r="B1638" s="87">
        <v>46171</v>
      </c>
      <c r="C1638" t="s">
        <v>4703</v>
      </c>
      <c r="D1638" t="s">
        <v>1529</v>
      </c>
      <c r="E1638" t="s">
        <v>4704</v>
      </c>
      <c r="F1638" t="s">
        <v>490</v>
      </c>
      <c r="G1638" t="s">
        <v>470</v>
      </c>
      <c r="H1638" t="s">
        <v>540</v>
      </c>
      <c r="I1638">
        <v>85958.7</v>
      </c>
    </row>
    <row r="1639" spans="1:9">
      <c r="A1639" s="90" t="s">
        <v>216</v>
      </c>
      <c r="B1639" s="87">
        <v>46171</v>
      </c>
      <c r="C1639" t="s">
        <v>4705</v>
      </c>
      <c r="D1639" t="s">
        <v>1529</v>
      </c>
      <c r="E1639" t="s">
        <v>4706</v>
      </c>
      <c r="F1639" t="s">
        <v>490</v>
      </c>
      <c r="G1639" t="s">
        <v>470</v>
      </c>
      <c r="H1639" t="s">
        <v>540</v>
      </c>
      <c r="I1639">
        <v>86150.65</v>
      </c>
    </row>
    <row r="1640" spans="1:9">
      <c r="A1640" s="90" t="s">
        <v>216</v>
      </c>
      <c r="B1640" s="87">
        <v>46171</v>
      </c>
      <c r="C1640" t="s">
        <v>4707</v>
      </c>
      <c r="D1640" t="s">
        <v>1529</v>
      </c>
      <c r="E1640" t="s">
        <v>4708</v>
      </c>
      <c r="F1640" t="s">
        <v>490</v>
      </c>
      <c r="G1640" t="s">
        <v>470</v>
      </c>
      <c r="H1640" t="s">
        <v>540</v>
      </c>
      <c r="I1640">
        <v>81962.649999999994</v>
      </c>
    </row>
    <row r="1641" spans="1:9">
      <c r="A1641" s="90" t="s">
        <v>216</v>
      </c>
      <c r="B1641" s="87">
        <v>46171</v>
      </c>
      <c r="C1641" t="s">
        <v>4709</v>
      </c>
      <c r="D1641" t="s">
        <v>1529</v>
      </c>
      <c r="E1641" t="s">
        <v>4710</v>
      </c>
      <c r="F1641" t="s">
        <v>490</v>
      </c>
      <c r="G1641" t="s">
        <v>470</v>
      </c>
      <c r="H1641" t="s">
        <v>540</v>
      </c>
      <c r="I1641">
        <v>85923.8</v>
      </c>
    </row>
    <row r="1642" spans="1:9">
      <c r="A1642" s="90" t="s">
        <v>216</v>
      </c>
      <c r="B1642" s="87">
        <v>46171</v>
      </c>
      <c r="C1642" t="s">
        <v>4711</v>
      </c>
      <c r="D1642" t="s">
        <v>1529</v>
      </c>
      <c r="E1642" t="s">
        <v>4712</v>
      </c>
      <c r="F1642" t="s">
        <v>490</v>
      </c>
      <c r="G1642" t="s">
        <v>470</v>
      </c>
      <c r="H1642" t="s">
        <v>540</v>
      </c>
      <c r="I1642">
        <v>86272.8</v>
      </c>
    </row>
    <row r="1643" spans="1:9">
      <c r="A1643" s="90" t="s">
        <v>216</v>
      </c>
      <c r="B1643" s="87">
        <v>46171</v>
      </c>
      <c r="C1643" t="s">
        <v>4713</v>
      </c>
      <c r="D1643" t="s">
        <v>1529</v>
      </c>
      <c r="E1643" t="s">
        <v>4714</v>
      </c>
      <c r="F1643" t="s">
        <v>490</v>
      </c>
      <c r="G1643" t="s">
        <v>470</v>
      </c>
      <c r="H1643" t="s">
        <v>540</v>
      </c>
      <c r="I1643">
        <v>83742.55</v>
      </c>
    </row>
    <row r="1644" spans="1:9">
      <c r="A1644" s="90" t="s">
        <v>216</v>
      </c>
      <c r="B1644" s="87">
        <v>46171</v>
      </c>
      <c r="C1644" t="s">
        <v>4715</v>
      </c>
      <c r="D1644" t="s">
        <v>1529</v>
      </c>
      <c r="E1644" t="s">
        <v>4716</v>
      </c>
      <c r="F1644" t="s">
        <v>490</v>
      </c>
      <c r="G1644" t="s">
        <v>470</v>
      </c>
      <c r="H1644" t="s">
        <v>540</v>
      </c>
      <c r="I1644">
        <v>85644.6</v>
      </c>
    </row>
    <row r="1645" spans="1:9">
      <c r="A1645" s="90" t="s">
        <v>216</v>
      </c>
      <c r="B1645" s="87">
        <v>46171</v>
      </c>
      <c r="C1645" t="s">
        <v>4717</v>
      </c>
      <c r="D1645" t="s">
        <v>1529</v>
      </c>
      <c r="E1645" t="s">
        <v>4718</v>
      </c>
      <c r="F1645" t="s">
        <v>490</v>
      </c>
      <c r="G1645" t="s">
        <v>470</v>
      </c>
      <c r="H1645" t="s">
        <v>540</v>
      </c>
      <c r="I1645">
        <v>85871.45</v>
      </c>
    </row>
    <row r="1646" spans="1:9">
      <c r="A1646" s="90" t="s">
        <v>216</v>
      </c>
      <c r="B1646" s="87">
        <v>46171</v>
      </c>
      <c r="C1646" t="s">
        <v>4719</v>
      </c>
      <c r="D1646" t="s">
        <v>1529</v>
      </c>
      <c r="E1646" t="s">
        <v>4720</v>
      </c>
      <c r="F1646" t="s">
        <v>490</v>
      </c>
      <c r="G1646" t="s">
        <v>470</v>
      </c>
      <c r="H1646" t="s">
        <v>540</v>
      </c>
      <c r="I1646">
        <v>65612</v>
      </c>
    </row>
    <row r="1647" spans="1:9">
      <c r="A1647" s="90" t="s">
        <v>216</v>
      </c>
      <c r="B1647" s="87">
        <v>46171</v>
      </c>
      <c r="C1647" t="s">
        <v>4721</v>
      </c>
      <c r="D1647" t="s">
        <v>1529</v>
      </c>
      <c r="E1647" t="s">
        <v>4722</v>
      </c>
      <c r="F1647" t="s">
        <v>490</v>
      </c>
      <c r="G1647" t="s">
        <v>470</v>
      </c>
      <c r="H1647" t="s">
        <v>540</v>
      </c>
      <c r="I1647">
        <v>85976.15</v>
      </c>
    </row>
    <row r="1648" spans="1:9">
      <c r="A1648" s="90" t="s">
        <v>216</v>
      </c>
      <c r="B1648" s="87">
        <v>46171</v>
      </c>
      <c r="C1648" t="s">
        <v>4723</v>
      </c>
      <c r="D1648" t="s">
        <v>1529</v>
      </c>
      <c r="E1648" t="s">
        <v>4724</v>
      </c>
      <c r="F1648" t="s">
        <v>490</v>
      </c>
      <c r="G1648" t="s">
        <v>470</v>
      </c>
      <c r="H1648" t="s">
        <v>540</v>
      </c>
      <c r="I1648">
        <v>85313.05</v>
      </c>
    </row>
    <row r="1649" spans="1:9">
      <c r="A1649" s="90" t="s">
        <v>216</v>
      </c>
      <c r="B1649" s="87">
        <v>46171</v>
      </c>
      <c r="C1649" t="s">
        <v>4725</v>
      </c>
      <c r="D1649" t="s">
        <v>1529</v>
      </c>
      <c r="E1649" t="s">
        <v>4726</v>
      </c>
      <c r="F1649" t="s">
        <v>490</v>
      </c>
      <c r="G1649" t="s">
        <v>470</v>
      </c>
      <c r="H1649" t="s">
        <v>540</v>
      </c>
      <c r="I1649">
        <v>84475.45</v>
      </c>
    </row>
    <row r="1650" spans="1:9">
      <c r="A1650" s="90" t="s">
        <v>216</v>
      </c>
      <c r="B1650" s="87">
        <v>46171</v>
      </c>
      <c r="C1650" t="s">
        <v>4727</v>
      </c>
      <c r="D1650" t="s">
        <v>1529</v>
      </c>
      <c r="E1650" t="s">
        <v>4728</v>
      </c>
      <c r="F1650" t="s">
        <v>490</v>
      </c>
      <c r="G1650" t="s">
        <v>470</v>
      </c>
      <c r="H1650" t="s">
        <v>540</v>
      </c>
      <c r="I1650">
        <v>86377.5</v>
      </c>
    </row>
    <row r="1651" spans="1:9">
      <c r="A1651" s="90" t="s">
        <v>216</v>
      </c>
      <c r="B1651" s="87">
        <v>46171</v>
      </c>
      <c r="C1651" t="s">
        <v>4729</v>
      </c>
      <c r="D1651" t="s">
        <v>1529</v>
      </c>
      <c r="E1651" t="s">
        <v>4730</v>
      </c>
      <c r="F1651" t="s">
        <v>490</v>
      </c>
      <c r="G1651" t="s">
        <v>470</v>
      </c>
      <c r="H1651" t="s">
        <v>540</v>
      </c>
      <c r="I1651">
        <v>87058.05</v>
      </c>
    </row>
    <row r="1652" spans="1:9">
      <c r="A1652" s="90" t="s">
        <v>216</v>
      </c>
      <c r="B1652" s="87">
        <v>46171</v>
      </c>
      <c r="C1652" t="s">
        <v>4731</v>
      </c>
      <c r="D1652" t="s">
        <v>1529</v>
      </c>
      <c r="E1652" t="s">
        <v>4732</v>
      </c>
      <c r="F1652" t="s">
        <v>490</v>
      </c>
      <c r="G1652" t="s">
        <v>470</v>
      </c>
      <c r="H1652" t="s">
        <v>540</v>
      </c>
      <c r="I1652">
        <v>87337.25</v>
      </c>
    </row>
    <row r="1653" spans="1:9">
      <c r="A1653" s="90" t="s">
        <v>216</v>
      </c>
      <c r="B1653" s="87">
        <v>46171</v>
      </c>
      <c r="C1653" t="s">
        <v>4733</v>
      </c>
      <c r="D1653" t="s">
        <v>1529</v>
      </c>
      <c r="E1653" t="s">
        <v>4734</v>
      </c>
      <c r="F1653" t="s">
        <v>490</v>
      </c>
      <c r="G1653" t="s">
        <v>470</v>
      </c>
      <c r="H1653" t="s">
        <v>540</v>
      </c>
      <c r="I1653">
        <v>35423.5</v>
      </c>
    </row>
    <row r="1654" spans="1:9">
      <c r="A1654" s="90" t="s">
        <v>216</v>
      </c>
      <c r="B1654" s="87">
        <v>46171</v>
      </c>
      <c r="C1654" t="s">
        <v>524</v>
      </c>
      <c r="D1654" t="s">
        <v>477</v>
      </c>
      <c r="E1654" t="s">
        <v>4647</v>
      </c>
      <c r="F1654" t="s">
        <v>1117</v>
      </c>
      <c r="G1654" t="s">
        <v>470</v>
      </c>
      <c r="H1654" t="s">
        <v>516</v>
      </c>
      <c r="I1654">
        <v>11867.66</v>
      </c>
    </row>
    <row r="1655" spans="1:9">
      <c r="A1655" s="90" t="s">
        <v>216</v>
      </c>
      <c r="B1655" s="87">
        <v>46171</v>
      </c>
      <c r="C1655" t="s">
        <v>524</v>
      </c>
      <c r="D1655" t="s">
        <v>477</v>
      </c>
      <c r="E1655" t="s">
        <v>4647</v>
      </c>
      <c r="F1655" t="s">
        <v>1117</v>
      </c>
      <c r="G1655" t="s">
        <v>470</v>
      </c>
      <c r="H1655" t="s">
        <v>516</v>
      </c>
      <c r="I1655">
        <v>11625.81</v>
      </c>
    </row>
    <row r="1656" spans="1:9">
      <c r="A1656" s="90" t="s">
        <v>216</v>
      </c>
      <c r="B1656" s="87">
        <v>46171</v>
      </c>
      <c r="C1656" t="s">
        <v>524</v>
      </c>
      <c r="D1656" t="s">
        <v>477</v>
      </c>
      <c r="E1656" t="s">
        <v>4647</v>
      </c>
      <c r="F1656" t="s">
        <v>1117</v>
      </c>
      <c r="G1656" t="s">
        <v>470</v>
      </c>
      <c r="H1656" t="s">
        <v>516</v>
      </c>
      <c r="I1656">
        <v>393.07</v>
      </c>
    </row>
    <row r="1657" spans="1:9">
      <c r="A1657" s="90" t="s">
        <v>51</v>
      </c>
      <c r="B1657" s="87">
        <v>46147</v>
      </c>
      <c r="C1657" t="s">
        <v>4817</v>
      </c>
      <c r="D1657" t="s">
        <v>1570</v>
      </c>
      <c r="E1657" t="s">
        <v>4818</v>
      </c>
      <c r="F1657" t="s">
        <v>490</v>
      </c>
      <c r="G1657" t="s">
        <v>470</v>
      </c>
      <c r="H1657" t="s">
        <v>540</v>
      </c>
      <c r="I1657">
        <v>81616.67</v>
      </c>
    </row>
    <row r="1658" spans="1:9">
      <c r="A1658" s="90" t="s">
        <v>51</v>
      </c>
      <c r="B1658" s="87">
        <v>46147</v>
      </c>
      <c r="C1658" t="s">
        <v>4819</v>
      </c>
      <c r="D1658" t="s">
        <v>1570</v>
      </c>
      <c r="E1658" t="s">
        <v>4820</v>
      </c>
      <c r="F1658" t="s">
        <v>490</v>
      </c>
      <c r="G1658" t="s">
        <v>470</v>
      </c>
      <c r="H1658" t="s">
        <v>540</v>
      </c>
      <c r="I1658">
        <v>78536.67</v>
      </c>
    </row>
    <row r="1659" spans="1:9">
      <c r="A1659" s="90" t="s">
        <v>51</v>
      </c>
      <c r="B1659" s="87">
        <v>46147</v>
      </c>
      <c r="C1659" t="s">
        <v>4821</v>
      </c>
      <c r="D1659" t="s">
        <v>1570</v>
      </c>
      <c r="E1659" t="s">
        <v>4822</v>
      </c>
      <c r="F1659" t="s">
        <v>490</v>
      </c>
      <c r="G1659" t="s">
        <v>470</v>
      </c>
      <c r="H1659" t="s">
        <v>540</v>
      </c>
      <c r="I1659">
        <v>63761.67</v>
      </c>
    </row>
    <row r="1660" spans="1:9">
      <c r="A1660" s="90" t="s">
        <v>51</v>
      </c>
      <c r="B1660" s="87">
        <v>46147</v>
      </c>
      <c r="C1660" t="s">
        <v>4823</v>
      </c>
      <c r="D1660" t="s">
        <v>1570</v>
      </c>
      <c r="E1660" t="s">
        <v>4824</v>
      </c>
      <c r="F1660" t="s">
        <v>490</v>
      </c>
      <c r="G1660" t="s">
        <v>470</v>
      </c>
      <c r="H1660" t="s">
        <v>540</v>
      </c>
      <c r="I1660">
        <v>18596.669999999998</v>
      </c>
    </row>
    <row r="1661" spans="1:9">
      <c r="A1661" s="90" t="s">
        <v>51</v>
      </c>
      <c r="B1661" s="87">
        <v>46147</v>
      </c>
      <c r="C1661" t="s">
        <v>4825</v>
      </c>
      <c r="D1661" t="s">
        <v>1570</v>
      </c>
      <c r="E1661" t="s">
        <v>4826</v>
      </c>
      <c r="F1661" t="s">
        <v>490</v>
      </c>
      <c r="G1661" t="s">
        <v>470</v>
      </c>
      <c r="H1661" t="s">
        <v>540</v>
      </c>
      <c r="I1661">
        <v>78893.33</v>
      </c>
    </row>
    <row r="1662" spans="1:9">
      <c r="A1662" s="90" t="s">
        <v>51</v>
      </c>
      <c r="B1662" s="87">
        <v>46147</v>
      </c>
      <c r="C1662" t="s">
        <v>4825</v>
      </c>
      <c r="D1662" t="s">
        <v>1570</v>
      </c>
      <c r="E1662" t="s">
        <v>4826</v>
      </c>
      <c r="F1662" t="s">
        <v>490</v>
      </c>
      <c r="G1662" t="s">
        <v>470</v>
      </c>
      <c r="H1662" t="s">
        <v>540</v>
      </c>
      <c r="I1662">
        <v>0.03</v>
      </c>
    </row>
    <row r="1663" spans="1:9">
      <c r="A1663" s="90" t="s">
        <v>51</v>
      </c>
      <c r="B1663" s="87">
        <v>46147</v>
      </c>
      <c r="C1663" t="s">
        <v>4827</v>
      </c>
      <c r="D1663" t="s">
        <v>1570</v>
      </c>
      <c r="E1663" t="s">
        <v>4828</v>
      </c>
      <c r="F1663" t="s">
        <v>490</v>
      </c>
      <c r="G1663" t="s">
        <v>470</v>
      </c>
      <c r="H1663" t="s">
        <v>540</v>
      </c>
      <c r="I1663">
        <v>83776.67</v>
      </c>
    </row>
    <row r="1664" spans="1:9">
      <c r="A1664" s="90" t="s">
        <v>51</v>
      </c>
      <c r="B1664" s="87">
        <v>46147</v>
      </c>
      <c r="C1664" t="s">
        <v>4829</v>
      </c>
      <c r="D1664" t="s">
        <v>1570</v>
      </c>
      <c r="E1664" t="s">
        <v>4622</v>
      </c>
      <c r="F1664" t="s">
        <v>490</v>
      </c>
      <c r="G1664" t="s">
        <v>470</v>
      </c>
      <c r="H1664" t="s">
        <v>540</v>
      </c>
      <c r="I1664">
        <v>75411.67</v>
      </c>
    </row>
    <row r="1665" spans="1:9">
      <c r="A1665" s="90" t="s">
        <v>51</v>
      </c>
      <c r="B1665" s="87">
        <v>46171</v>
      </c>
      <c r="C1665" t="s">
        <v>524</v>
      </c>
      <c r="D1665" t="s">
        <v>477</v>
      </c>
      <c r="E1665" t="s">
        <v>4647</v>
      </c>
      <c r="F1665" t="s">
        <v>1117</v>
      </c>
      <c r="G1665" t="s">
        <v>470</v>
      </c>
      <c r="H1665" t="s">
        <v>516</v>
      </c>
      <c r="I1665">
        <v>19766.37</v>
      </c>
    </row>
    <row r="1666" spans="1:9">
      <c r="A1666" s="90" t="s">
        <v>51</v>
      </c>
      <c r="B1666" s="87">
        <v>46171</v>
      </c>
      <c r="C1666" t="s">
        <v>524</v>
      </c>
      <c r="D1666" t="s">
        <v>477</v>
      </c>
      <c r="E1666" t="s">
        <v>4647</v>
      </c>
      <c r="F1666" t="s">
        <v>1117</v>
      </c>
      <c r="G1666" t="s">
        <v>470</v>
      </c>
      <c r="H1666" t="s">
        <v>516</v>
      </c>
      <c r="I1666">
        <v>2048.84</v>
      </c>
    </row>
    <row r="1667" spans="1:9">
      <c r="A1667" s="90" t="s">
        <v>51</v>
      </c>
      <c r="B1667" s="87">
        <v>46171</v>
      </c>
      <c r="C1667" t="s">
        <v>524</v>
      </c>
      <c r="D1667" t="s">
        <v>477</v>
      </c>
      <c r="E1667" t="s">
        <v>4647</v>
      </c>
      <c r="F1667" t="s">
        <v>1117</v>
      </c>
      <c r="G1667" t="s">
        <v>470</v>
      </c>
      <c r="H1667" t="s">
        <v>516</v>
      </c>
      <c r="I1667">
        <v>10266.379999999999</v>
      </c>
    </row>
    <row r="1668" spans="1:9">
      <c r="A1668" s="90" t="s">
        <v>51</v>
      </c>
      <c r="B1668" s="87">
        <v>46171</v>
      </c>
      <c r="C1668" t="s">
        <v>524</v>
      </c>
      <c r="D1668" t="s">
        <v>477</v>
      </c>
      <c r="E1668" t="s">
        <v>4647</v>
      </c>
      <c r="F1668" t="s">
        <v>1117</v>
      </c>
      <c r="G1668" t="s">
        <v>470</v>
      </c>
      <c r="H1668" t="s">
        <v>516</v>
      </c>
      <c r="I1668">
        <v>329.87</v>
      </c>
    </row>
    <row r="1669" spans="1:9">
      <c r="A1669" s="90" t="s">
        <v>51</v>
      </c>
      <c r="B1669" s="87">
        <v>46171</v>
      </c>
      <c r="C1669" t="s">
        <v>524</v>
      </c>
      <c r="D1669" t="s">
        <v>477</v>
      </c>
      <c r="E1669" t="s">
        <v>4647</v>
      </c>
      <c r="F1669" t="s">
        <v>1117</v>
      </c>
      <c r="G1669" t="s">
        <v>470</v>
      </c>
      <c r="H1669" t="s">
        <v>516</v>
      </c>
      <c r="I1669">
        <v>2307.11</v>
      </c>
    </row>
    <row r="1670" spans="1:9">
      <c r="A1670" s="108" t="s">
        <v>54</v>
      </c>
      <c r="B1670"/>
      <c r="I1670" s="109">
        <f>SUBTOTAL(109,BD_REC_FIN[ValorPagoR])</f>
        <v>214264462.1899994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82"/>
  <sheetViews>
    <sheetView showGridLines="0" workbookViewId="0"/>
  </sheetViews>
  <sheetFormatPr defaultRowHeight="15"/>
  <cols>
    <col min="1" max="1" width="11.5" style="90" bestFit="1" customWidth="1"/>
    <col min="2" max="2" width="12" style="87" bestFit="1" customWidth="1"/>
    <col min="3" max="3" width="255.625" bestFit="1" customWidth="1"/>
    <col min="4" max="4" width="77.75" bestFit="1" customWidth="1"/>
    <col min="5" max="5" width="84.5" bestFit="1" customWidth="1"/>
    <col min="6" max="6" width="23.25" bestFit="1" customWidth="1"/>
    <col min="7" max="7" width="54.625" bestFit="1" customWidth="1"/>
    <col min="8" max="8" width="10.875" bestFit="1" customWidth="1"/>
    <col min="9" max="9" width="22.625" bestFit="1" customWidth="1"/>
    <col min="10" max="10" width="19.625" bestFit="1" customWidth="1"/>
  </cols>
  <sheetData>
    <row r="1" spans="1:10">
      <c r="A1" s="90" t="s">
        <v>34</v>
      </c>
      <c r="B1" s="87" t="s">
        <v>499</v>
      </c>
      <c r="C1" t="s">
        <v>500</v>
      </c>
      <c r="D1" t="s">
        <v>2260</v>
      </c>
      <c r="E1" t="s">
        <v>501</v>
      </c>
      <c r="F1" t="s">
        <v>502</v>
      </c>
      <c r="G1" t="s">
        <v>503</v>
      </c>
      <c r="H1" t="s">
        <v>504</v>
      </c>
      <c r="I1" t="s">
        <v>505</v>
      </c>
      <c r="J1" t="s">
        <v>506</v>
      </c>
    </row>
    <row r="2" spans="1:10">
      <c r="A2" s="90" t="s">
        <v>355</v>
      </c>
      <c r="B2" s="87">
        <v>45716</v>
      </c>
      <c r="C2" t="s">
        <v>2109</v>
      </c>
      <c r="D2" t="s">
        <v>2110</v>
      </c>
      <c r="E2" t="s">
        <v>467</v>
      </c>
      <c r="F2" t="s">
        <v>2111</v>
      </c>
      <c r="G2" t="s">
        <v>2112</v>
      </c>
      <c r="H2" t="s">
        <v>470</v>
      </c>
      <c r="I2" t="s">
        <v>482</v>
      </c>
      <c r="J2">
        <v>9999.99</v>
      </c>
    </row>
    <row r="3" spans="1:10">
      <c r="A3" s="90" t="s">
        <v>355</v>
      </c>
      <c r="B3" s="87">
        <v>45716</v>
      </c>
      <c r="C3" t="s">
        <v>2109</v>
      </c>
      <c r="D3" t="s">
        <v>2110</v>
      </c>
      <c r="E3" t="s">
        <v>467</v>
      </c>
      <c r="F3" t="s">
        <v>2111</v>
      </c>
      <c r="G3" t="s">
        <v>2112</v>
      </c>
      <c r="H3" t="s">
        <v>470</v>
      </c>
      <c r="I3" t="s">
        <v>482</v>
      </c>
      <c r="J3">
        <v>3000</v>
      </c>
    </row>
    <row r="4" spans="1:10">
      <c r="A4" s="90" t="s">
        <v>355</v>
      </c>
      <c r="B4" s="87">
        <v>45721</v>
      </c>
      <c r="C4" t="s">
        <v>2109</v>
      </c>
      <c r="D4" t="s">
        <v>2110</v>
      </c>
      <c r="E4" t="s">
        <v>467</v>
      </c>
      <c r="F4" t="s">
        <v>2111</v>
      </c>
      <c r="G4" t="s">
        <v>2112</v>
      </c>
      <c r="H4" t="s">
        <v>470</v>
      </c>
      <c r="I4" t="s">
        <v>482</v>
      </c>
      <c r="J4">
        <v>2360</v>
      </c>
    </row>
    <row r="5" spans="1:10">
      <c r="A5" s="90" t="s">
        <v>355</v>
      </c>
      <c r="B5" s="87">
        <v>45740</v>
      </c>
      <c r="C5" t="s">
        <v>2113</v>
      </c>
      <c r="D5" t="s">
        <v>2110</v>
      </c>
      <c r="E5" t="s">
        <v>480</v>
      </c>
      <c r="F5" t="s">
        <v>2114</v>
      </c>
      <c r="G5" t="s">
        <v>2115</v>
      </c>
      <c r="H5" t="s">
        <v>470</v>
      </c>
      <c r="I5" t="s">
        <v>475</v>
      </c>
      <c r="J5">
        <v>475</v>
      </c>
    </row>
    <row r="6" spans="1:10">
      <c r="A6" s="90" t="s">
        <v>355</v>
      </c>
      <c r="B6" s="87">
        <v>45740</v>
      </c>
      <c r="C6" t="s">
        <v>2113</v>
      </c>
      <c r="D6" t="s">
        <v>2110</v>
      </c>
      <c r="E6" t="s">
        <v>480</v>
      </c>
      <c r="F6" t="s">
        <v>2114</v>
      </c>
      <c r="G6" t="s">
        <v>71</v>
      </c>
      <c r="H6" t="s">
        <v>470</v>
      </c>
      <c r="I6" t="s">
        <v>475</v>
      </c>
      <c r="J6">
        <v>4.0999999999999996</v>
      </c>
    </row>
    <row r="7" spans="1:10">
      <c r="A7" s="90" t="s">
        <v>355</v>
      </c>
      <c r="B7" s="87">
        <v>45740</v>
      </c>
      <c r="C7" t="s">
        <v>2109</v>
      </c>
      <c r="D7" t="s">
        <v>2110</v>
      </c>
      <c r="E7" t="s">
        <v>467</v>
      </c>
      <c r="F7" t="s">
        <v>2111</v>
      </c>
      <c r="G7" t="s">
        <v>2112</v>
      </c>
      <c r="H7" t="s">
        <v>470</v>
      </c>
      <c r="I7" t="s">
        <v>482</v>
      </c>
      <c r="J7">
        <v>7896.01</v>
      </c>
    </row>
    <row r="8" spans="1:10">
      <c r="A8" s="90" t="s">
        <v>355</v>
      </c>
      <c r="B8" s="87">
        <v>45790</v>
      </c>
      <c r="C8" t="s">
        <v>511</v>
      </c>
      <c r="D8" t="s">
        <v>2110</v>
      </c>
      <c r="E8" t="s">
        <v>512</v>
      </c>
      <c r="F8" t="s">
        <v>706</v>
      </c>
      <c r="G8" t="s">
        <v>474</v>
      </c>
      <c r="H8" t="s">
        <v>470</v>
      </c>
      <c r="I8" t="s">
        <v>475</v>
      </c>
      <c r="J8">
        <v>972.4</v>
      </c>
    </row>
    <row r="9" spans="1:10">
      <c r="A9" s="90" t="s">
        <v>355</v>
      </c>
      <c r="B9" s="87">
        <v>45791</v>
      </c>
      <c r="C9" t="s">
        <v>2116</v>
      </c>
      <c r="D9" t="s">
        <v>2110</v>
      </c>
      <c r="E9" t="s">
        <v>2117</v>
      </c>
      <c r="F9" t="s">
        <v>2118</v>
      </c>
      <c r="G9" t="s">
        <v>2112</v>
      </c>
      <c r="H9" t="s">
        <v>470</v>
      </c>
      <c r="I9" t="s">
        <v>475</v>
      </c>
      <c r="J9">
        <v>152538.6</v>
      </c>
    </row>
    <row r="10" spans="1:10">
      <c r="A10" s="90" t="s">
        <v>355</v>
      </c>
      <c r="B10" s="87">
        <v>45791</v>
      </c>
      <c r="C10" t="s">
        <v>2119</v>
      </c>
      <c r="D10" t="s">
        <v>2110</v>
      </c>
      <c r="E10" t="s">
        <v>2117</v>
      </c>
      <c r="F10" t="s">
        <v>2118</v>
      </c>
      <c r="G10" t="s">
        <v>2112</v>
      </c>
      <c r="H10" t="s">
        <v>470</v>
      </c>
      <c r="I10" t="s">
        <v>475</v>
      </c>
      <c r="J10">
        <v>57725.03</v>
      </c>
    </row>
    <row r="11" spans="1:10">
      <c r="A11" s="90" t="s">
        <v>355</v>
      </c>
      <c r="B11" s="87">
        <v>45796</v>
      </c>
      <c r="C11" t="s">
        <v>2120</v>
      </c>
      <c r="D11" t="s">
        <v>2110</v>
      </c>
      <c r="E11" t="s">
        <v>2121</v>
      </c>
      <c r="F11" t="s">
        <v>2122</v>
      </c>
      <c r="G11" t="s">
        <v>57</v>
      </c>
      <c r="H11" t="s">
        <v>2123</v>
      </c>
      <c r="I11" t="s">
        <v>475</v>
      </c>
      <c r="J11">
        <v>31827.5</v>
      </c>
    </row>
    <row r="12" spans="1:10">
      <c r="A12" s="90" t="s">
        <v>355</v>
      </c>
      <c r="B12" s="87">
        <v>45798</v>
      </c>
      <c r="C12" t="s">
        <v>2124</v>
      </c>
      <c r="D12" t="s">
        <v>2110</v>
      </c>
      <c r="E12" t="s">
        <v>480</v>
      </c>
      <c r="F12" t="s">
        <v>2118</v>
      </c>
      <c r="G12" t="s">
        <v>2125</v>
      </c>
      <c r="H12" t="s">
        <v>470</v>
      </c>
      <c r="I12" t="s">
        <v>487</v>
      </c>
      <c r="J12">
        <v>9822</v>
      </c>
    </row>
    <row r="13" spans="1:10">
      <c r="A13" s="90" t="s">
        <v>355</v>
      </c>
      <c r="B13" s="87">
        <v>45798</v>
      </c>
      <c r="C13" t="s">
        <v>2126</v>
      </c>
      <c r="D13" t="s">
        <v>2110</v>
      </c>
      <c r="E13" t="s">
        <v>480</v>
      </c>
      <c r="F13" t="s">
        <v>2127</v>
      </c>
      <c r="G13" t="s">
        <v>2125</v>
      </c>
      <c r="H13" t="s">
        <v>470</v>
      </c>
      <c r="I13" t="s">
        <v>487</v>
      </c>
      <c r="J13">
        <v>7614</v>
      </c>
    </row>
    <row r="14" spans="1:10">
      <c r="A14" s="90" t="s">
        <v>355</v>
      </c>
      <c r="B14" s="87">
        <v>45798</v>
      </c>
      <c r="C14" t="s">
        <v>2128</v>
      </c>
      <c r="D14" t="s">
        <v>2110</v>
      </c>
      <c r="E14" t="s">
        <v>480</v>
      </c>
      <c r="F14" t="s">
        <v>2118</v>
      </c>
      <c r="G14" t="s">
        <v>2125</v>
      </c>
      <c r="H14" t="s">
        <v>470</v>
      </c>
      <c r="I14" t="s">
        <v>487</v>
      </c>
      <c r="J14">
        <v>1824.09</v>
      </c>
    </row>
    <row r="15" spans="1:10">
      <c r="A15" s="90" t="s">
        <v>355</v>
      </c>
      <c r="B15" s="87">
        <v>45805</v>
      </c>
      <c r="C15" t="s">
        <v>2129</v>
      </c>
      <c r="D15" t="s">
        <v>2110</v>
      </c>
      <c r="E15" t="s">
        <v>480</v>
      </c>
      <c r="F15" t="s">
        <v>706</v>
      </c>
      <c r="G15" t="s">
        <v>2115</v>
      </c>
      <c r="H15" t="s">
        <v>470</v>
      </c>
      <c r="I15" t="s">
        <v>475</v>
      </c>
      <c r="J15">
        <v>6000</v>
      </c>
    </row>
    <row r="16" spans="1:10">
      <c r="A16" s="90" t="s">
        <v>355</v>
      </c>
      <c r="B16" s="87">
        <v>45805</v>
      </c>
      <c r="C16" t="s">
        <v>2129</v>
      </c>
      <c r="D16" t="s">
        <v>2110</v>
      </c>
      <c r="E16" t="s">
        <v>480</v>
      </c>
      <c r="F16" t="s">
        <v>706</v>
      </c>
      <c r="G16" t="s">
        <v>71</v>
      </c>
      <c r="H16" t="s">
        <v>470</v>
      </c>
      <c r="I16" t="s">
        <v>475</v>
      </c>
      <c r="J16">
        <v>5.7</v>
      </c>
    </row>
    <row r="17" spans="1:10">
      <c r="A17" s="90" t="s">
        <v>355</v>
      </c>
      <c r="B17" s="87">
        <v>45807</v>
      </c>
      <c r="C17" t="s">
        <v>2130</v>
      </c>
      <c r="D17" t="s">
        <v>2110</v>
      </c>
      <c r="E17" t="s">
        <v>2121</v>
      </c>
      <c r="F17" t="s">
        <v>2122</v>
      </c>
      <c r="G17" t="s">
        <v>57</v>
      </c>
      <c r="H17" t="s">
        <v>2123</v>
      </c>
      <c r="I17" t="s">
        <v>475</v>
      </c>
      <c r="J17">
        <v>397.84</v>
      </c>
    </row>
    <row r="18" spans="1:10">
      <c r="A18" s="90" t="s">
        <v>355</v>
      </c>
      <c r="B18" s="87">
        <v>45813</v>
      </c>
      <c r="C18" t="s">
        <v>2131</v>
      </c>
      <c r="D18" t="s">
        <v>2110</v>
      </c>
      <c r="E18" t="s">
        <v>493</v>
      </c>
      <c r="F18" t="s">
        <v>2132</v>
      </c>
      <c r="G18" t="s">
        <v>192</v>
      </c>
      <c r="H18" t="s">
        <v>470</v>
      </c>
      <c r="I18" t="s">
        <v>487</v>
      </c>
      <c r="J18">
        <v>3028.75</v>
      </c>
    </row>
    <row r="19" spans="1:10">
      <c r="A19" s="90" t="s">
        <v>355</v>
      </c>
      <c r="B19" s="87">
        <v>45826</v>
      </c>
      <c r="C19" t="s">
        <v>2133</v>
      </c>
      <c r="D19" t="s">
        <v>2110</v>
      </c>
      <c r="E19" t="s">
        <v>2134</v>
      </c>
      <c r="F19" t="s">
        <v>2135</v>
      </c>
      <c r="G19" t="s">
        <v>194</v>
      </c>
      <c r="H19" t="s">
        <v>2123</v>
      </c>
      <c r="I19" t="s">
        <v>796</v>
      </c>
      <c r="J19">
        <v>923.59</v>
      </c>
    </row>
    <row r="20" spans="1:10">
      <c r="A20" s="90" t="s">
        <v>355</v>
      </c>
      <c r="B20" s="87">
        <v>45834</v>
      </c>
      <c r="C20" t="s">
        <v>2136</v>
      </c>
      <c r="D20" t="s">
        <v>2110</v>
      </c>
      <c r="E20" t="s">
        <v>2137</v>
      </c>
      <c r="F20" t="s">
        <v>2138</v>
      </c>
      <c r="G20" t="s">
        <v>2125</v>
      </c>
      <c r="H20" t="s">
        <v>470</v>
      </c>
      <c r="I20" t="s">
        <v>487</v>
      </c>
      <c r="J20">
        <v>8194.52</v>
      </c>
    </row>
    <row r="21" spans="1:10">
      <c r="A21" s="90" t="s">
        <v>355</v>
      </c>
      <c r="B21" s="87">
        <v>45834</v>
      </c>
      <c r="C21" t="s">
        <v>2139</v>
      </c>
      <c r="D21" t="s">
        <v>2110</v>
      </c>
      <c r="E21" t="s">
        <v>473</v>
      </c>
      <c r="F21" t="s">
        <v>2138</v>
      </c>
      <c r="G21" t="s">
        <v>2112</v>
      </c>
      <c r="H21" t="s">
        <v>470</v>
      </c>
      <c r="I21" t="s">
        <v>487</v>
      </c>
      <c r="J21">
        <v>111453.33</v>
      </c>
    </row>
    <row r="22" spans="1:10">
      <c r="A22" s="90" t="s">
        <v>355</v>
      </c>
      <c r="B22" s="87">
        <v>45838</v>
      </c>
      <c r="C22" t="s">
        <v>2140</v>
      </c>
      <c r="D22" t="s">
        <v>2110</v>
      </c>
      <c r="E22" t="s">
        <v>473</v>
      </c>
      <c r="F22" t="s">
        <v>2141</v>
      </c>
      <c r="G22" t="s">
        <v>2112</v>
      </c>
      <c r="H22" t="s">
        <v>470</v>
      </c>
      <c r="I22" t="s">
        <v>487</v>
      </c>
      <c r="J22">
        <v>69030</v>
      </c>
    </row>
    <row r="23" spans="1:10">
      <c r="A23" s="90" t="s">
        <v>355</v>
      </c>
      <c r="B23" s="87">
        <v>45839</v>
      </c>
      <c r="C23" t="s">
        <v>2142</v>
      </c>
      <c r="D23" t="s">
        <v>2110</v>
      </c>
      <c r="E23" t="s">
        <v>2137</v>
      </c>
      <c r="F23" t="s">
        <v>2138</v>
      </c>
      <c r="G23" t="s">
        <v>2125</v>
      </c>
      <c r="H23" t="s">
        <v>470</v>
      </c>
      <c r="I23" t="s">
        <v>487</v>
      </c>
      <c r="J23">
        <v>3580.61</v>
      </c>
    </row>
    <row r="24" spans="1:10">
      <c r="A24" s="90" t="s">
        <v>355</v>
      </c>
      <c r="B24" s="87">
        <v>45840</v>
      </c>
      <c r="C24" t="s">
        <v>2143</v>
      </c>
      <c r="D24" t="s">
        <v>2110</v>
      </c>
      <c r="E24" t="s">
        <v>2144</v>
      </c>
      <c r="F24" t="s">
        <v>2141</v>
      </c>
      <c r="G24" t="s">
        <v>2125</v>
      </c>
      <c r="H24" t="s">
        <v>470</v>
      </c>
      <c r="I24" t="s">
        <v>487</v>
      </c>
      <c r="J24">
        <v>7121.98</v>
      </c>
    </row>
    <row r="25" spans="1:10">
      <c r="A25" s="90" t="s">
        <v>355</v>
      </c>
      <c r="B25" s="87">
        <v>45840</v>
      </c>
      <c r="C25" t="s">
        <v>2145</v>
      </c>
      <c r="D25" t="s">
        <v>2110</v>
      </c>
      <c r="E25" t="s">
        <v>480</v>
      </c>
      <c r="F25" t="s">
        <v>2146</v>
      </c>
      <c r="G25" t="s">
        <v>2115</v>
      </c>
      <c r="H25" t="s">
        <v>470</v>
      </c>
      <c r="I25" t="s">
        <v>475</v>
      </c>
      <c r="J25">
        <v>4750.67</v>
      </c>
    </row>
    <row r="26" spans="1:10">
      <c r="A26" s="90" t="s">
        <v>355</v>
      </c>
      <c r="B26" s="87">
        <v>45840</v>
      </c>
      <c r="C26" t="s">
        <v>2147</v>
      </c>
      <c r="D26" t="s">
        <v>2110</v>
      </c>
      <c r="E26" t="s">
        <v>2148</v>
      </c>
      <c r="F26" t="s">
        <v>2149</v>
      </c>
      <c r="G26" t="s">
        <v>2125</v>
      </c>
      <c r="H26" t="s">
        <v>470</v>
      </c>
      <c r="I26" t="s">
        <v>475</v>
      </c>
      <c r="J26">
        <v>4753.8</v>
      </c>
    </row>
    <row r="27" spans="1:10">
      <c r="A27" s="90" t="s">
        <v>355</v>
      </c>
      <c r="B27" s="87">
        <v>45840</v>
      </c>
      <c r="C27" t="s">
        <v>2150</v>
      </c>
      <c r="D27" t="s">
        <v>2110</v>
      </c>
      <c r="E27" t="s">
        <v>2151</v>
      </c>
      <c r="F27" t="s">
        <v>2149</v>
      </c>
      <c r="G27" t="s">
        <v>2112</v>
      </c>
      <c r="H27" t="s">
        <v>470</v>
      </c>
      <c r="I27" t="s">
        <v>487</v>
      </c>
      <c r="J27">
        <v>65823.33</v>
      </c>
    </row>
    <row r="28" spans="1:10">
      <c r="A28" s="90" t="s">
        <v>355</v>
      </c>
      <c r="B28" s="87">
        <v>45842</v>
      </c>
      <c r="C28" t="s">
        <v>2152</v>
      </c>
      <c r="D28" t="s">
        <v>2110</v>
      </c>
      <c r="E28" t="s">
        <v>493</v>
      </c>
      <c r="F28" t="s">
        <v>2153</v>
      </c>
      <c r="G28" t="s">
        <v>192</v>
      </c>
      <c r="H28" t="s">
        <v>470</v>
      </c>
      <c r="I28" t="s">
        <v>487</v>
      </c>
      <c r="J28">
        <v>1125.1500000000001</v>
      </c>
    </row>
    <row r="29" spans="1:10">
      <c r="A29" s="90" t="s">
        <v>355</v>
      </c>
      <c r="B29" s="87">
        <v>45842</v>
      </c>
      <c r="C29" t="s">
        <v>2152</v>
      </c>
      <c r="D29" t="s">
        <v>2110</v>
      </c>
      <c r="E29" t="s">
        <v>493</v>
      </c>
      <c r="F29" t="s">
        <v>2153</v>
      </c>
      <c r="G29" t="s">
        <v>192</v>
      </c>
      <c r="H29" t="s">
        <v>470</v>
      </c>
      <c r="I29" t="s">
        <v>487</v>
      </c>
      <c r="J29">
        <v>9096.0300000000007</v>
      </c>
    </row>
    <row r="30" spans="1:10">
      <c r="A30" s="90" t="s">
        <v>355</v>
      </c>
      <c r="B30" s="87">
        <v>45845</v>
      </c>
      <c r="C30" t="s">
        <v>2154</v>
      </c>
      <c r="D30" t="s">
        <v>2110</v>
      </c>
      <c r="E30" t="s">
        <v>2148</v>
      </c>
      <c r="F30" t="s">
        <v>2149</v>
      </c>
      <c r="G30" t="s">
        <v>2125</v>
      </c>
      <c r="H30" t="s">
        <v>470</v>
      </c>
      <c r="I30" t="s">
        <v>475</v>
      </c>
      <c r="J30">
        <v>2037.34</v>
      </c>
    </row>
    <row r="31" spans="1:10">
      <c r="A31" s="90" t="s">
        <v>355</v>
      </c>
      <c r="B31" s="87">
        <v>45845</v>
      </c>
      <c r="C31" t="s">
        <v>2155</v>
      </c>
      <c r="D31" t="s">
        <v>2110</v>
      </c>
      <c r="E31" t="s">
        <v>2144</v>
      </c>
      <c r="F31" t="s">
        <v>2156</v>
      </c>
      <c r="G31" t="s">
        <v>2125</v>
      </c>
      <c r="H31" t="s">
        <v>470</v>
      </c>
      <c r="I31" t="s">
        <v>487</v>
      </c>
      <c r="J31">
        <v>7256.11</v>
      </c>
    </row>
    <row r="32" spans="1:10">
      <c r="A32" s="90" t="s">
        <v>355</v>
      </c>
      <c r="B32" s="87">
        <v>45845</v>
      </c>
      <c r="C32" t="s">
        <v>2157</v>
      </c>
      <c r="D32" t="s">
        <v>2110</v>
      </c>
      <c r="E32" t="s">
        <v>473</v>
      </c>
      <c r="F32" t="s">
        <v>2156</v>
      </c>
      <c r="G32" t="s">
        <v>2112</v>
      </c>
      <c r="H32" t="s">
        <v>470</v>
      </c>
      <c r="I32" t="s">
        <v>487</v>
      </c>
      <c r="J32">
        <v>70330</v>
      </c>
    </row>
    <row r="33" spans="1:10">
      <c r="A33" s="90" t="s">
        <v>355</v>
      </c>
      <c r="B33" s="87">
        <v>45846</v>
      </c>
      <c r="C33" t="s">
        <v>2158</v>
      </c>
      <c r="D33" t="s">
        <v>2110</v>
      </c>
      <c r="E33" t="s">
        <v>473</v>
      </c>
      <c r="F33" t="s">
        <v>2159</v>
      </c>
      <c r="G33" t="s">
        <v>2112</v>
      </c>
      <c r="H33" t="s">
        <v>470</v>
      </c>
      <c r="I33" t="s">
        <v>487</v>
      </c>
      <c r="J33">
        <v>72843.33</v>
      </c>
    </row>
    <row r="34" spans="1:10">
      <c r="A34" s="90" t="s">
        <v>355</v>
      </c>
      <c r="B34" s="87">
        <v>45847</v>
      </c>
      <c r="C34" t="s">
        <v>2160</v>
      </c>
      <c r="D34" t="s">
        <v>2110</v>
      </c>
      <c r="E34" t="s">
        <v>2148</v>
      </c>
      <c r="F34" t="s">
        <v>2159</v>
      </c>
      <c r="G34" t="s">
        <v>2125</v>
      </c>
      <c r="H34" t="s">
        <v>470</v>
      </c>
      <c r="I34" t="s">
        <v>487</v>
      </c>
      <c r="J34">
        <v>7524.36</v>
      </c>
    </row>
    <row r="35" spans="1:10">
      <c r="A35" s="90" t="s">
        <v>355</v>
      </c>
      <c r="B35" s="87">
        <v>45847</v>
      </c>
      <c r="C35" t="s">
        <v>2161</v>
      </c>
      <c r="D35" t="s">
        <v>2110</v>
      </c>
      <c r="E35" t="s">
        <v>1667</v>
      </c>
      <c r="F35" t="s">
        <v>2162</v>
      </c>
      <c r="G35" t="s">
        <v>2115</v>
      </c>
      <c r="H35" t="s">
        <v>470</v>
      </c>
      <c r="I35" t="s">
        <v>475</v>
      </c>
      <c r="J35">
        <v>2096.67</v>
      </c>
    </row>
    <row r="36" spans="1:10">
      <c r="A36" s="90" t="s">
        <v>355</v>
      </c>
      <c r="B36" s="87">
        <v>45847</v>
      </c>
      <c r="C36" t="s">
        <v>2163</v>
      </c>
      <c r="D36" t="s">
        <v>2110</v>
      </c>
      <c r="E36" t="s">
        <v>1667</v>
      </c>
      <c r="F36" t="s">
        <v>2164</v>
      </c>
      <c r="G36" t="s">
        <v>2115</v>
      </c>
      <c r="H36" t="s">
        <v>470</v>
      </c>
      <c r="I36" t="s">
        <v>475</v>
      </c>
      <c r="J36">
        <v>250.4</v>
      </c>
    </row>
    <row r="37" spans="1:10">
      <c r="A37" s="90" t="s">
        <v>355</v>
      </c>
      <c r="B37" s="87">
        <v>45847</v>
      </c>
      <c r="C37" t="s">
        <v>2165</v>
      </c>
      <c r="D37" t="s">
        <v>2110</v>
      </c>
      <c r="E37" t="s">
        <v>473</v>
      </c>
      <c r="F37" t="s">
        <v>2166</v>
      </c>
      <c r="G37" t="s">
        <v>2112</v>
      </c>
      <c r="H37" t="s">
        <v>470</v>
      </c>
      <c r="I37" t="s">
        <v>487</v>
      </c>
      <c r="J37">
        <v>69030</v>
      </c>
    </row>
    <row r="38" spans="1:10">
      <c r="A38" s="90" t="s">
        <v>355</v>
      </c>
      <c r="B38" s="87">
        <v>45852</v>
      </c>
      <c r="C38" t="s">
        <v>2167</v>
      </c>
      <c r="D38" t="s">
        <v>2110</v>
      </c>
      <c r="E38" t="s">
        <v>2144</v>
      </c>
      <c r="F38" t="s">
        <v>2166</v>
      </c>
      <c r="G38" t="s">
        <v>2125</v>
      </c>
      <c r="H38" t="s">
        <v>470</v>
      </c>
      <c r="I38" t="s">
        <v>487</v>
      </c>
      <c r="J38">
        <v>7072</v>
      </c>
    </row>
    <row r="39" spans="1:10">
      <c r="A39" s="90" t="s">
        <v>355</v>
      </c>
      <c r="B39" s="87">
        <v>45852</v>
      </c>
      <c r="C39" t="s">
        <v>2168</v>
      </c>
      <c r="D39" t="s">
        <v>2110</v>
      </c>
      <c r="E39" t="s">
        <v>2148</v>
      </c>
      <c r="F39" t="s">
        <v>2169</v>
      </c>
      <c r="G39" t="s">
        <v>2125</v>
      </c>
      <c r="H39" t="s">
        <v>470</v>
      </c>
      <c r="I39" t="s">
        <v>475</v>
      </c>
      <c r="J39">
        <v>7064</v>
      </c>
    </row>
    <row r="40" spans="1:10">
      <c r="A40" s="90" t="s">
        <v>355</v>
      </c>
      <c r="B40" s="87">
        <v>45852</v>
      </c>
      <c r="C40" t="s">
        <v>2170</v>
      </c>
      <c r="D40" t="s">
        <v>2110</v>
      </c>
      <c r="E40" t="s">
        <v>473</v>
      </c>
      <c r="F40" t="s">
        <v>2169</v>
      </c>
      <c r="G40" t="s">
        <v>2112</v>
      </c>
      <c r="H40" t="s">
        <v>470</v>
      </c>
      <c r="I40" t="s">
        <v>487</v>
      </c>
      <c r="J40">
        <v>68943.33</v>
      </c>
    </row>
    <row r="41" spans="1:10">
      <c r="A41" s="90" t="s">
        <v>355</v>
      </c>
      <c r="B41" s="87">
        <v>45852</v>
      </c>
      <c r="C41" t="s">
        <v>2171</v>
      </c>
      <c r="D41" t="s">
        <v>2110</v>
      </c>
      <c r="E41" t="s">
        <v>1667</v>
      </c>
      <c r="F41" t="s">
        <v>2172</v>
      </c>
      <c r="G41" t="s">
        <v>2115</v>
      </c>
      <c r="H41" t="s">
        <v>470</v>
      </c>
      <c r="I41" t="s">
        <v>475</v>
      </c>
      <c r="J41">
        <v>3198</v>
      </c>
    </row>
    <row r="42" spans="1:10">
      <c r="A42" s="90" t="s">
        <v>355</v>
      </c>
      <c r="B42" s="87">
        <v>45854</v>
      </c>
      <c r="C42" t="s">
        <v>2173</v>
      </c>
      <c r="D42" t="s">
        <v>2110</v>
      </c>
      <c r="E42" t="s">
        <v>473</v>
      </c>
      <c r="F42" t="s">
        <v>2174</v>
      </c>
      <c r="G42" t="s">
        <v>2112</v>
      </c>
      <c r="H42" t="s">
        <v>470</v>
      </c>
      <c r="I42" t="s">
        <v>487</v>
      </c>
      <c r="J42">
        <v>71933.33</v>
      </c>
    </row>
    <row r="43" spans="1:10">
      <c r="A43" s="90" t="s">
        <v>355</v>
      </c>
      <c r="B43" s="87">
        <v>45856</v>
      </c>
      <c r="C43" t="s">
        <v>2175</v>
      </c>
      <c r="D43" t="s">
        <v>2110</v>
      </c>
      <c r="E43" t="s">
        <v>2144</v>
      </c>
      <c r="F43" t="s">
        <v>2174</v>
      </c>
      <c r="G43" t="s">
        <v>2125</v>
      </c>
      <c r="H43" t="s">
        <v>470</v>
      </c>
      <c r="I43" t="s">
        <v>487</v>
      </c>
      <c r="J43">
        <v>7340</v>
      </c>
    </row>
    <row r="44" spans="1:10">
      <c r="A44" s="90" t="s">
        <v>355</v>
      </c>
      <c r="B44" s="87">
        <v>45856</v>
      </c>
      <c r="C44" t="s">
        <v>2176</v>
      </c>
      <c r="D44" t="s">
        <v>2110</v>
      </c>
      <c r="E44" t="s">
        <v>473</v>
      </c>
      <c r="F44" t="s">
        <v>2177</v>
      </c>
      <c r="G44" t="s">
        <v>2112</v>
      </c>
      <c r="H44" t="s">
        <v>470</v>
      </c>
      <c r="I44" t="s">
        <v>487</v>
      </c>
      <c r="J44">
        <v>71586.67</v>
      </c>
    </row>
    <row r="45" spans="1:10">
      <c r="A45" s="90" t="s">
        <v>355</v>
      </c>
      <c r="B45" s="87">
        <v>45859</v>
      </c>
      <c r="C45" t="s">
        <v>2178</v>
      </c>
      <c r="D45" t="s">
        <v>2110</v>
      </c>
      <c r="E45" t="s">
        <v>2148</v>
      </c>
      <c r="F45" t="s">
        <v>2177</v>
      </c>
      <c r="G45" t="s">
        <v>2125</v>
      </c>
      <c r="H45" t="s">
        <v>470</v>
      </c>
      <c r="I45" t="s">
        <v>487</v>
      </c>
      <c r="J45">
        <v>7308</v>
      </c>
    </row>
    <row r="46" spans="1:10">
      <c r="A46" s="90" t="s">
        <v>355</v>
      </c>
      <c r="B46" s="87">
        <v>45859</v>
      </c>
      <c r="C46" t="s">
        <v>2179</v>
      </c>
      <c r="D46" t="s">
        <v>2110</v>
      </c>
      <c r="E46" t="s">
        <v>473</v>
      </c>
      <c r="F46" t="s">
        <v>2180</v>
      </c>
      <c r="G46" t="s">
        <v>2112</v>
      </c>
      <c r="H46" t="s">
        <v>470</v>
      </c>
      <c r="I46" t="s">
        <v>487</v>
      </c>
      <c r="J46">
        <v>69030</v>
      </c>
    </row>
    <row r="47" spans="1:10">
      <c r="A47" s="90" t="s">
        <v>355</v>
      </c>
      <c r="B47" s="87">
        <v>45861</v>
      </c>
      <c r="C47" t="s">
        <v>2181</v>
      </c>
      <c r="D47" t="s">
        <v>2110</v>
      </c>
      <c r="E47" t="s">
        <v>2144</v>
      </c>
      <c r="F47" t="s">
        <v>2180</v>
      </c>
      <c r="G47" t="s">
        <v>2125</v>
      </c>
      <c r="H47" t="s">
        <v>470</v>
      </c>
      <c r="I47" t="s">
        <v>487</v>
      </c>
      <c r="J47">
        <v>7072</v>
      </c>
    </row>
    <row r="48" spans="1:10">
      <c r="A48" s="90" t="s">
        <v>355</v>
      </c>
      <c r="B48" s="87">
        <v>45861</v>
      </c>
      <c r="C48" t="s">
        <v>2182</v>
      </c>
      <c r="D48" t="s">
        <v>2110</v>
      </c>
      <c r="E48" t="s">
        <v>473</v>
      </c>
      <c r="F48" t="s">
        <v>2183</v>
      </c>
      <c r="G48" t="s">
        <v>2112</v>
      </c>
      <c r="H48" t="s">
        <v>470</v>
      </c>
      <c r="I48" t="s">
        <v>487</v>
      </c>
      <c r="J48">
        <v>53100</v>
      </c>
    </row>
    <row r="49" spans="1:10">
      <c r="A49" s="90" t="s">
        <v>355</v>
      </c>
      <c r="B49" s="87">
        <v>45861</v>
      </c>
      <c r="C49" t="s">
        <v>2184</v>
      </c>
      <c r="D49" t="s">
        <v>2110</v>
      </c>
      <c r="E49" t="s">
        <v>1667</v>
      </c>
      <c r="F49" t="s">
        <v>2185</v>
      </c>
      <c r="G49" t="s">
        <v>2115</v>
      </c>
      <c r="H49" t="s">
        <v>470</v>
      </c>
      <c r="I49" t="s">
        <v>475</v>
      </c>
      <c r="J49">
        <v>3212.33</v>
      </c>
    </row>
    <row r="50" spans="1:10">
      <c r="A50" s="90" t="s">
        <v>355</v>
      </c>
      <c r="B50" s="87">
        <v>45861</v>
      </c>
      <c r="C50" t="s">
        <v>2184</v>
      </c>
      <c r="D50" t="s">
        <v>2110</v>
      </c>
      <c r="E50" t="s">
        <v>1667</v>
      </c>
      <c r="F50" t="s">
        <v>2185</v>
      </c>
      <c r="G50" t="s">
        <v>71</v>
      </c>
      <c r="H50" t="s">
        <v>470</v>
      </c>
      <c r="I50" t="s">
        <v>475</v>
      </c>
      <c r="J50">
        <v>595.54</v>
      </c>
    </row>
    <row r="51" spans="1:10">
      <c r="A51" s="90" t="s">
        <v>355</v>
      </c>
      <c r="B51" s="87">
        <v>45862</v>
      </c>
      <c r="C51" t="s">
        <v>2186</v>
      </c>
      <c r="D51" t="s">
        <v>2110</v>
      </c>
      <c r="E51" t="s">
        <v>2148</v>
      </c>
      <c r="F51" t="s">
        <v>2183</v>
      </c>
      <c r="G51" t="s">
        <v>2125</v>
      </c>
      <c r="H51" t="s">
        <v>470</v>
      </c>
      <c r="I51" t="s">
        <v>475</v>
      </c>
      <c r="J51">
        <v>7072</v>
      </c>
    </row>
    <row r="52" spans="1:10">
      <c r="A52" s="90" t="s">
        <v>355</v>
      </c>
      <c r="B52" s="87">
        <v>45863</v>
      </c>
      <c r="C52" t="s">
        <v>2187</v>
      </c>
      <c r="D52" t="s">
        <v>2110</v>
      </c>
      <c r="E52" t="s">
        <v>473</v>
      </c>
      <c r="F52" t="s">
        <v>2188</v>
      </c>
      <c r="G52" t="s">
        <v>2112</v>
      </c>
      <c r="H52" t="s">
        <v>470</v>
      </c>
      <c r="I52" t="s">
        <v>487</v>
      </c>
      <c r="J52">
        <v>47766.67</v>
      </c>
    </row>
    <row r="53" spans="1:10">
      <c r="A53" s="90" t="s">
        <v>355</v>
      </c>
      <c r="B53" s="87">
        <v>45863</v>
      </c>
      <c r="C53" t="s">
        <v>2189</v>
      </c>
      <c r="D53" t="s">
        <v>2110</v>
      </c>
      <c r="E53" t="s">
        <v>2121</v>
      </c>
      <c r="F53" t="s">
        <v>2190</v>
      </c>
      <c r="G53" t="s">
        <v>57</v>
      </c>
      <c r="H53" t="s">
        <v>2123</v>
      </c>
      <c r="I53" t="s">
        <v>475</v>
      </c>
      <c r="J53">
        <v>53486.11</v>
      </c>
    </row>
    <row r="54" spans="1:10">
      <c r="A54" s="90" t="s">
        <v>355</v>
      </c>
      <c r="B54" s="87">
        <v>45866</v>
      </c>
      <c r="C54" t="s">
        <v>2191</v>
      </c>
      <c r="D54" t="s">
        <v>2110</v>
      </c>
      <c r="E54" t="s">
        <v>2144</v>
      </c>
      <c r="F54" t="s">
        <v>2188</v>
      </c>
      <c r="G54" t="s">
        <v>2125</v>
      </c>
      <c r="H54" t="s">
        <v>470</v>
      </c>
      <c r="I54" t="s">
        <v>487</v>
      </c>
      <c r="J54">
        <v>6432</v>
      </c>
    </row>
    <row r="55" spans="1:10">
      <c r="A55" s="90" t="s">
        <v>355</v>
      </c>
      <c r="B55" s="87">
        <v>45866</v>
      </c>
      <c r="C55" t="s">
        <v>2192</v>
      </c>
      <c r="D55" t="s">
        <v>2110</v>
      </c>
      <c r="E55" t="s">
        <v>1667</v>
      </c>
      <c r="F55" t="s">
        <v>2188</v>
      </c>
      <c r="G55" t="s">
        <v>2115</v>
      </c>
      <c r="H55" t="s">
        <v>470</v>
      </c>
      <c r="I55" t="s">
        <v>482</v>
      </c>
      <c r="J55">
        <v>1057.33</v>
      </c>
    </row>
    <row r="56" spans="1:10">
      <c r="A56" s="90" t="s">
        <v>355</v>
      </c>
      <c r="B56" s="87">
        <v>45866</v>
      </c>
      <c r="C56" t="s">
        <v>2192</v>
      </c>
      <c r="D56" t="s">
        <v>2110</v>
      </c>
      <c r="E56" t="s">
        <v>1667</v>
      </c>
      <c r="F56" t="s">
        <v>2188</v>
      </c>
      <c r="G56" t="s">
        <v>2115</v>
      </c>
      <c r="H56" t="s">
        <v>470</v>
      </c>
      <c r="I56" t="s">
        <v>482</v>
      </c>
      <c r="J56">
        <v>976.67</v>
      </c>
    </row>
    <row r="57" spans="1:10">
      <c r="A57" s="90" t="s">
        <v>355</v>
      </c>
      <c r="B57" s="87">
        <v>45866</v>
      </c>
      <c r="C57" t="s">
        <v>2193</v>
      </c>
      <c r="D57" t="s">
        <v>2110</v>
      </c>
      <c r="E57" t="s">
        <v>2144</v>
      </c>
      <c r="F57" t="s">
        <v>2188</v>
      </c>
      <c r="G57" t="s">
        <v>2125</v>
      </c>
      <c r="H57" t="s">
        <v>470</v>
      </c>
      <c r="I57" t="s">
        <v>487</v>
      </c>
      <c r="J57">
        <v>1204.75</v>
      </c>
    </row>
    <row r="58" spans="1:10">
      <c r="A58" s="90" t="s">
        <v>355</v>
      </c>
      <c r="B58" s="87">
        <v>45867</v>
      </c>
      <c r="C58" t="s">
        <v>2194</v>
      </c>
      <c r="D58" t="s">
        <v>2110</v>
      </c>
      <c r="E58" t="s">
        <v>2148</v>
      </c>
      <c r="F58" t="s">
        <v>2195</v>
      </c>
      <c r="G58" t="s">
        <v>2125</v>
      </c>
      <c r="H58" t="s">
        <v>470</v>
      </c>
      <c r="I58" t="s">
        <v>487</v>
      </c>
      <c r="J58">
        <v>5200</v>
      </c>
    </row>
    <row r="59" spans="1:10">
      <c r="A59" s="90" t="s">
        <v>355</v>
      </c>
      <c r="B59" s="87">
        <v>45869</v>
      </c>
      <c r="C59" t="s">
        <v>2196</v>
      </c>
      <c r="D59" t="s">
        <v>2110</v>
      </c>
      <c r="E59" t="s">
        <v>473</v>
      </c>
      <c r="F59" t="s">
        <v>2195</v>
      </c>
      <c r="G59" t="s">
        <v>2112</v>
      </c>
      <c r="H59" t="s">
        <v>470</v>
      </c>
      <c r="I59" t="s">
        <v>487</v>
      </c>
      <c r="J59">
        <v>22616.67</v>
      </c>
    </row>
    <row r="60" spans="1:10">
      <c r="A60" s="90" t="s">
        <v>355</v>
      </c>
      <c r="B60" s="87">
        <v>45888</v>
      </c>
      <c r="C60" t="s">
        <v>2197</v>
      </c>
      <c r="D60" t="s">
        <v>2110</v>
      </c>
      <c r="E60" t="s">
        <v>2198</v>
      </c>
      <c r="F60" t="s">
        <v>2199</v>
      </c>
      <c r="G60" t="s">
        <v>2112</v>
      </c>
      <c r="H60" t="s">
        <v>470</v>
      </c>
      <c r="I60" t="s">
        <v>487</v>
      </c>
      <c r="J60">
        <v>498290</v>
      </c>
    </row>
    <row r="61" spans="1:10">
      <c r="A61" s="90" t="s">
        <v>355</v>
      </c>
      <c r="B61" s="87">
        <v>45912</v>
      </c>
      <c r="C61" t="s">
        <v>2200</v>
      </c>
      <c r="D61" t="s">
        <v>2110</v>
      </c>
      <c r="E61" t="s">
        <v>2151</v>
      </c>
      <c r="F61" t="s">
        <v>2149</v>
      </c>
      <c r="G61" t="s">
        <v>2112</v>
      </c>
      <c r="H61" t="s">
        <v>470</v>
      </c>
      <c r="I61" t="s">
        <v>475</v>
      </c>
      <c r="J61">
        <v>759.5</v>
      </c>
    </row>
    <row r="62" spans="1:10">
      <c r="A62" s="90" t="s">
        <v>355</v>
      </c>
      <c r="B62" s="87">
        <v>45912</v>
      </c>
      <c r="C62" t="s">
        <v>2201</v>
      </c>
      <c r="D62" t="s">
        <v>2110</v>
      </c>
      <c r="E62" t="s">
        <v>473</v>
      </c>
      <c r="F62" t="s">
        <v>2202</v>
      </c>
      <c r="G62" t="s">
        <v>2112</v>
      </c>
      <c r="H62" t="s">
        <v>470</v>
      </c>
      <c r="I62" t="s">
        <v>487</v>
      </c>
      <c r="J62">
        <v>5372.39</v>
      </c>
    </row>
    <row r="63" spans="1:10">
      <c r="A63" s="90" t="s">
        <v>355</v>
      </c>
      <c r="B63" s="87">
        <v>45912</v>
      </c>
      <c r="C63" t="s">
        <v>2201</v>
      </c>
      <c r="D63" t="s">
        <v>2110</v>
      </c>
      <c r="E63" t="s">
        <v>473</v>
      </c>
      <c r="F63" t="s">
        <v>2202</v>
      </c>
      <c r="G63" t="s">
        <v>2112</v>
      </c>
      <c r="H63" t="s">
        <v>470</v>
      </c>
      <c r="I63" t="s">
        <v>487</v>
      </c>
      <c r="J63">
        <v>3954.06</v>
      </c>
    </row>
    <row r="64" spans="1:10">
      <c r="A64" s="90" t="s">
        <v>355</v>
      </c>
      <c r="B64" s="87">
        <v>45912</v>
      </c>
      <c r="C64" t="s">
        <v>2201</v>
      </c>
      <c r="D64" t="s">
        <v>2110</v>
      </c>
      <c r="E64" t="s">
        <v>473</v>
      </c>
      <c r="F64" t="s">
        <v>2202</v>
      </c>
      <c r="G64" t="s">
        <v>2112</v>
      </c>
      <c r="H64" t="s">
        <v>470</v>
      </c>
      <c r="I64" t="s">
        <v>487</v>
      </c>
      <c r="J64">
        <v>1064.05</v>
      </c>
    </row>
    <row r="65" spans="1:10">
      <c r="A65" s="90" t="s">
        <v>355</v>
      </c>
      <c r="B65" s="87">
        <v>45916</v>
      </c>
      <c r="C65" t="s">
        <v>2203</v>
      </c>
      <c r="D65" t="s">
        <v>2110</v>
      </c>
      <c r="E65" t="s">
        <v>2204</v>
      </c>
      <c r="F65" t="s">
        <v>369</v>
      </c>
      <c r="G65" t="s">
        <v>2112</v>
      </c>
      <c r="H65" t="s">
        <v>470</v>
      </c>
      <c r="I65" t="s">
        <v>487</v>
      </c>
      <c r="J65">
        <v>424553.33</v>
      </c>
    </row>
    <row r="66" spans="1:10">
      <c r="A66" s="90" t="s">
        <v>355</v>
      </c>
      <c r="B66" s="87">
        <v>45916</v>
      </c>
      <c r="C66" t="s">
        <v>2205</v>
      </c>
      <c r="D66" t="s">
        <v>2110</v>
      </c>
      <c r="E66" t="s">
        <v>2204</v>
      </c>
      <c r="F66" t="s">
        <v>2206</v>
      </c>
      <c r="G66" t="s">
        <v>2112</v>
      </c>
      <c r="H66" t="s">
        <v>470</v>
      </c>
      <c r="I66" t="s">
        <v>487</v>
      </c>
      <c r="J66">
        <v>218780</v>
      </c>
    </row>
    <row r="67" spans="1:10">
      <c r="A67" s="90" t="s">
        <v>355</v>
      </c>
      <c r="B67" s="87">
        <v>45924</v>
      </c>
      <c r="C67" t="s">
        <v>2207</v>
      </c>
      <c r="D67" t="s">
        <v>2110</v>
      </c>
      <c r="E67" t="s">
        <v>1667</v>
      </c>
      <c r="F67" t="s">
        <v>2208</v>
      </c>
      <c r="G67" t="s">
        <v>2115</v>
      </c>
      <c r="H67" t="s">
        <v>470</v>
      </c>
      <c r="I67" t="s">
        <v>475</v>
      </c>
      <c r="J67">
        <v>3700</v>
      </c>
    </row>
    <row r="68" spans="1:10">
      <c r="A68" s="90" t="s">
        <v>355</v>
      </c>
      <c r="B68" s="87">
        <v>45924</v>
      </c>
      <c r="C68" t="s">
        <v>2207</v>
      </c>
      <c r="D68" t="s">
        <v>2110</v>
      </c>
      <c r="E68" t="s">
        <v>1667</v>
      </c>
      <c r="F68" t="s">
        <v>2208</v>
      </c>
      <c r="G68" t="s">
        <v>78</v>
      </c>
      <c r="H68" t="s">
        <v>470</v>
      </c>
      <c r="I68" t="s">
        <v>475</v>
      </c>
      <c r="J68">
        <v>0.78</v>
      </c>
    </row>
    <row r="69" spans="1:10">
      <c r="A69" s="90" t="s">
        <v>355</v>
      </c>
      <c r="B69" s="87">
        <v>45930</v>
      </c>
      <c r="C69" t="s">
        <v>2209</v>
      </c>
      <c r="D69" t="s">
        <v>2110</v>
      </c>
      <c r="E69" t="s">
        <v>2210</v>
      </c>
      <c r="F69" t="s">
        <v>478</v>
      </c>
      <c r="G69" t="s">
        <v>2112</v>
      </c>
      <c r="H69" t="s">
        <v>470</v>
      </c>
      <c r="I69" t="s">
        <v>475</v>
      </c>
      <c r="J69">
        <v>23507.68</v>
      </c>
    </row>
    <row r="70" spans="1:10">
      <c r="A70" s="90" t="s">
        <v>355</v>
      </c>
      <c r="B70" s="87">
        <v>45943</v>
      </c>
      <c r="C70" t="s">
        <v>2211</v>
      </c>
      <c r="D70" t="s">
        <v>2110</v>
      </c>
      <c r="E70" t="s">
        <v>785</v>
      </c>
      <c r="F70" t="s">
        <v>2212</v>
      </c>
      <c r="G70" t="s">
        <v>2213</v>
      </c>
      <c r="H70" t="s">
        <v>470</v>
      </c>
      <c r="I70" t="s">
        <v>475</v>
      </c>
      <c r="J70">
        <v>1453</v>
      </c>
    </row>
    <row r="71" spans="1:10">
      <c r="A71" s="90" t="s">
        <v>355</v>
      </c>
      <c r="B71" s="87">
        <v>45957</v>
      </c>
      <c r="C71" t="s">
        <v>2214</v>
      </c>
      <c r="D71" t="s">
        <v>2110</v>
      </c>
      <c r="E71" t="s">
        <v>2215</v>
      </c>
      <c r="F71" t="s">
        <v>2216</v>
      </c>
      <c r="G71" t="s">
        <v>285</v>
      </c>
      <c r="H71" t="s">
        <v>2123</v>
      </c>
      <c r="I71" t="s">
        <v>471</v>
      </c>
      <c r="J71">
        <v>186</v>
      </c>
    </row>
    <row r="72" spans="1:10">
      <c r="A72" s="90" t="s">
        <v>355</v>
      </c>
      <c r="B72" s="87">
        <v>45961</v>
      </c>
      <c r="C72" t="s">
        <v>2217</v>
      </c>
      <c r="D72" t="s">
        <v>2110</v>
      </c>
      <c r="E72" t="s">
        <v>480</v>
      </c>
      <c r="F72" t="s">
        <v>481</v>
      </c>
      <c r="G72" t="s">
        <v>2115</v>
      </c>
      <c r="H72" t="s">
        <v>470</v>
      </c>
      <c r="I72" t="s">
        <v>482</v>
      </c>
      <c r="J72">
        <v>1841.67</v>
      </c>
    </row>
    <row r="73" spans="1:10">
      <c r="A73" s="90" t="s">
        <v>355</v>
      </c>
      <c r="B73" s="87">
        <v>45978</v>
      </c>
      <c r="C73" t="s">
        <v>517</v>
      </c>
      <c r="D73" t="s">
        <v>2110</v>
      </c>
      <c r="E73" t="s">
        <v>512</v>
      </c>
      <c r="F73" t="s">
        <v>968</v>
      </c>
      <c r="G73" t="s">
        <v>474</v>
      </c>
      <c r="H73" t="s">
        <v>470</v>
      </c>
      <c r="I73" t="s">
        <v>475</v>
      </c>
      <c r="J73">
        <v>35022.92</v>
      </c>
    </row>
    <row r="74" spans="1:10">
      <c r="A74" s="90" t="s">
        <v>355</v>
      </c>
      <c r="B74" s="87">
        <v>45995</v>
      </c>
      <c r="C74" t="s">
        <v>2218</v>
      </c>
      <c r="D74" t="s">
        <v>2110</v>
      </c>
      <c r="E74" t="s">
        <v>2219</v>
      </c>
      <c r="F74" t="s">
        <v>2220</v>
      </c>
      <c r="G74" t="s">
        <v>285</v>
      </c>
      <c r="H74" t="s">
        <v>2123</v>
      </c>
      <c r="I74" t="s">
        <v>475</v>
      </c>
      <c r="J74">
        <v>65</v>
      </c>
    </row>
    <row r="75" spans="1:10">
      <c r="A75" s="90" t="s">
        <v>355</v>
      </c>
      <c r="B75" s="87">
        <v>45999</v>
      </c>
      <c r="C75" t="s">
        <v>2221</v>
      </c>
      <c r="D75" t="s">
        <v>2110</v>
      </c>
      <c r="E75" t="s">
        <v>2222</v>
      </c>
      <c r="F75" t="s">
        <v>2223</v>
      </c>
      <c r="G75" t="s">
        <v>345</v>
      </c>
      <c r="H75" t="s">
        <v>2123</v>
      </c>
      <c r="I75" t="s">
        <v>487</v>
      </c>
      <c r="J75">
        <v>3932</v>
      </c>
    </row>
    <row r="76" spans="1:10">
      <c r="A76" s="90" t="s">
        <v>355</v>
      </c>
      <c r="B76" s="87">
        <v>46003</v>
      </c>
      <c r="C76" t="s">
        <v>2224</v>
      </c>
      <c r="D76" t="s">
        <v>2110</v>
      </c>
      <c r="E76" t="s">
        <v>2225</v>
      </c>
      <c r="F76" t="s">
        <v>2226</v>
      </c>
      <c r="G76" t="s">
        <v>345</v>
      </c>
      <c r="H76" t="s">
        <v>2123</v>
      </c>
      <c r="I76" t="s">
        <v>487</v>
      </c>
      <c r="J76">
        <v>885.15</v>
      </c>
    </row>
    <row r="77" spans="1:10">
      <c r="A77" s="90" t="s">
        <v>355</v>
      </c>
      <c r="B77" s="87">
        <v>46007</v>
      </c>
      <c r="C77" t="s">
        <v>2227</v>
      </c>
      <c r="D77" t="s">
        <v>2110</v>
      </c>
      <c r="E77" t="s">
        <v>2228</v>
      </c>
      <c r="F77" t="s">
        <v>2229</v>
      </c>
      <c r="G77" t="s">
        <v>285</v>
      </c>
      <c r="H77" t="s">
        <v>2123</v>
      </c>
      <c r="I77" t="s">
        <v>487</v>
      </c>
      <c r="J77">
        <v>490</v>
      </c>
    </row>
    <row r="78" spans="1:10">
      <c r="A78" s="90" t="s">
        <v>355</v>
      </c>
      <c r="B78" s="87">
        <v>46009</v>
      </c>
      <c r="C78" t="s">
        <v>2230</v>
      </c>
      <c r="D78" t="s">
        <v>2110</v>
      </c>
      <c r="E78" t="s">
        <v>2219</v>
      </c>
      <c r="F78" t="s">
        <v>2231</v>
      </c>
      <c r="G78" t="s">
        <v>285</v>
      </c>
      <c r="H78" t="s">
        <v>2123</v>
      </c>
      <c r="I78" t="s">
        <v>487</v>
      </c>
      <c r="J78">
        <v>160.99</v>
      </c>
    </row>
    <row r="79" spans="1:10">
      <c r="A79" s="90" t="s">
        <v>355</v>
      </c>
      <c r="B79" s="87">
        <v>46010</v>
      </c>
      <c r="C79" t="s">
        <v>2232</v>
      </c>
      <c r="D79" t="s">
        <v>2110</v>
      </c>
      <c r="E79" t="s">
        <v>2222</v>
      </c>
      <c r="F79" t="s">
        <v>2233</v>
      </c>
      <c r="G79" t="s">
        <v>345</v>
      </c>
      <c r="H79" t="s">
        <v>2123</v>
      </c>
      <c r="I79" t="s">
        <v>487</v>
      </c>
      <c r="J79">
        <v>920</v>
      </c>
    </row>
    <row r="80" spans="1:10">
      <c r="A80" s="90" t="s">
        <v>355</v>
      </c>
      <c r="B80" s="87">
        <v>46036</v>
      </c>
      <c r="C80" t="s">
        <v>2234</v>
      </c>
      <c r="D80" t="s">
        <v>2110</v>
      </c>
      <c r="E80" t="s">
        <v>2215</v>
      </c>
      <c r="F80" t="s">
        <v>2235</v>
      </c>
      <c r="G80" t="s">
        <v>285</v>
      </c>
      <c r="H80" t="s">
        <v>2123</v>
      </c>
      <c r="I80" t="s">
        <v>487</v>
      </c>
      <c r="J80">
        <v>534</v>
      </c>
    </row>
    <row r="81" spans="1:10">
      <c r="A81" s="90" t="s">
        <v>355</v>
      </c>
      <c r="B81" s="87">
        <v>46036</v>
      </c>
      <c r="C81" t="s">
        <v>2236</v>
      </c>
      <c r="D81" t="s">
        <v>2110</v>
      </c>
      <c r="E81" t="s">
        <v>2237</v>
      </c>
      <c r="F81" t="s">
        <v>2238</v>
      </c>
      <c r="G81" t="s">
        <v>285</v>
      </c>
      <c r="H81" t="s">
        <v>2123</v>
      </c>
      <c r="I81" t="s">
        <v>487</v>
      </c>
      <c r="J81">
        <v>18</v>
      </c>
    </row>
    <row r="82" spans="1:10">
      <c r="A82" s="90" t="s">
        <v>355</v>
      </c>
      <c r="B82" s="87">
        <v>46036</v>
      </c>
      <c r="C82" t="s">
        <v>2239</v>
      </c>
      <c r="D82" t="s">
        <v>2110</v>
      </c>
      <c r="E82" t="s">
        <v>2215</v>
      </c>
      <c r="F82" t="s">
        <v>2240</v>
      </c>
      <c r="G82" t="s">
        <v>285</v>
      </c>
      <c r="H82" t="s">
        <v>2123</v>
      </c>
      <c r="I82" t="s">
        <v>487</v>
      </c>
      <c r="J82">
        <v>26</v>
      </c>
    </row>
    <row r="83" spans="1:10">
      <c r="A83" s="90" t="s">
        <v>355</v>
      </c>
      <c r="B83" s="87">
        <v>46037</v>
      </c>
      <c r="C83" t="s">
        <v>2241</v>
      </c>
      <c r="D83" t="s">
        <v>2110</v>
      </c>
      <c r="E83" t="s">
        <v>2237</v>
      </c>
      <c r="F83" t="s">
        <v>2242</v>
      </c>
      <c r="G83" t="s">
        <v>285</v>
      </c>
      <c r="H83" t="s">
        <v>2123</v>
      </c>
      <c r="I83" t="s">
        <v>487</v>
      </c>
      <c r="J83">
        <v>97.02</v>
      </c>
    </row>
    <row r="84" spans="1:10">
      <c r="A84" s="90" t="s">
        <v>355</v>
      </c>
      <c r="B84" s="87">
        <v>46038</v>
      </c>
      <c r="C84" t="s">
        <v>483</v>
      </c>
      <c r="D84" t="s">
        <v>2110</v>
      </c>
      <c r="E84" t="s">
        <v>484</v>
      </c>
      <c r="F84" t="s">
        <v>485</v>
      </c>
      <c r="G84" t="s">
        <v>285</v>
      </c>
      <c r="H84" t="s">
        <v>2123</v>
      </c>
      <c r="I84" t="s">
        <v>487</v>
      </c>
      <c r="J84">
        <v>20000</v>
      </c>
    </row>
    <row r="85" spans="1:10">
      <c r="A85" s="90" t="s">
        <v>355</v>
      </c>
      <c r="B85" s="87">
        <v>46038</v>
      </c>
      <c r="C85" t="s">
        <v>483</v>
      </c>
      <c r="D85" t="s">
        <v>2110</v>
      </c>
      <c r="E85" t="s">
        <v>484</v>
      </c>
      <c r="F85" t="s">
        <v>485</v>
      </c>
      <c r="G85" t="s">
        <v>285</v>
      </c>
      <c r="H85" t="s">
        <v>2123</v>
      </c>
      <c r="I85" t="s">
        <v>475</v>
      </c>
      <c r="J85">
        <v>6000</v>
      </c>
    </row>
    <row r="86" spans="1:10">
      <c r="A86" s="90" t="s">
        <v>355</v>
      </c>
      <c r="B86" s="87">
        <v>46056</v>
      </c>
      <c r="C86" t="s">
        <v>2243</v>
      </c>
      <c r="D86" t="s">
        <v>2110</v>
      </c>
      <c r="E86" t="s">
        <v>2244</v>
      </c>
      <c r="F86" t="s">
        <v>2245</v>
      </c>
      <c r="G86" t="s">
        <v>437</v>
      </c>
      <c r="H86" t="s">
        <v>2123</v>
      </c>
      <c r="I86" t="s">
        <v>487</v>
      </c>
      <c r="J86">
        <v>129</v>
      </c>
    </row>
    <row r="87" spans="1:10">
      <c r="A87" s="90" t="s">
        <v>355</v>
      </c>
      <c r="B87" s="87">
        <v>46056</v>
      </c>
      <c r="C87" t="s">
        <v>2246</v>
      </c>
      <c r="D87" t="s">
        <v>2110</v>
      </c>
      <c r="E87" t="s">
        <v>2247</v>
      </c>
      <c r="F87" t="s">
        <v>2248</v>
      </c>
      <c r="G87" t="s">
        <v>219</v>
      </c>
      <c r="H87" t="s">
        <v>2123</v>
      </c>
      <c r="I87" t="s">
        <v>487</v>
      </c>
      <c r="J87">
        <v>9165.06</v>
      </c>
    </row>
    <row r="88" spans="1:10">
      <c r="A88" s="90" t="s">
        <v>355</v>
      </c>
      <c r="B88" s="87">
        <v>46071</v>
      </c>
      <c r="C88" t="s">
        <v>492</v>
      </c>
      <c r="D88" t="s">
        <v>2110</v>
      </c>
      <c r="E88" t="s">
        <v>493</v>
      </c>
      <c r="F88" t="s">
        <v>494</v>
      </c>
      <c r="G88" t="s">
        <v>436</v>
      </c>
      <c r="H88" t="s">
        <v>470</v>
      </c>
      <c r="I88" t="s">
        <v>475</v>
      </c>
      <c r="J88">
        <v>6200</v>
      </c>
    </row>
    <row r="89" spans="1:10">
      <c r="A89" s="90" t="s">
        <v>355</v>
      </c>
      <c r="B89" s="87">
        <v>46080</v>
      </c>
      <c r="C89" t="s">
        <v>497</v>
      </c>
      <c r="D89" t="s">
        <v>2110</v>
      </c>
      <c r="E89" t="s">
        <v>484</v>
      </c>
      <c r="F89" t="s">
        <v>498</v>
      </c>
      <c r="G89" t="s">
        <v>285</v>
      </c>
      <c r="H89" t="s">
        <v>2123</v>
      </c>
      <c r="I89" t="s">
        <v>487</v>
      </c>
      <c r="J89">
        <v>678</v>
      </c>
    </row>
    <row r="90" spans="1:10">
      <c r="A90" s="90" t="s">
        <v>355</v>
      </c>
      <c r="B90" s="87">
        <v>46080</v>
      </c>
      <c r="C90" t="s">
        <v>2249</v>
      </c>
      <c r="D90" t="s">
        <v>2110</v>
      </c>
      <c r="E90" t="s">
        <v>484</v>
      </c>
      <c r="F90" t="s">
        <v>498</v>
      </c>
      <c r="G90" t="s">
        <v>285</v>
      </c>
      <c r="H90" t="s">
        <v>2123</v>
      </c>
      <c r="I90" t="s">
        <v>487</v>
      </c>
      <c r="J90">
        <v>1322</v>
      </c>
    </row>
    <row r="91" spans="1:10">
      <c r="A91" s="90" t="s">
        <v>355</v>
      </c>
      <c r="B91" s="87">
        <v>46083</v>
      </c>
      <c r="C91" t="s">
        <v>2250</v>
      </c>
      <c r="D91" t="s">
        <v>2110</v>
      </c>
      <c r="E91" t="s">
        <v>477</v>
      </c>
      <c r="F91" t="s">
        <v>1121</v>
      </c>
      <c r="G91" t="s">
        <v>57</v>
      </c>
      <c r="H91" t="s">
        <v>470</v>
      </c>
      <c r="I91" t="s">
        <v>471</v>
      </c>
      <c r="J91">
        <v>337.5</v>
      </c>
    </row>
    <row r="92" spans="1:10">
      <c r="A92" s="90" t="s">
        <v>355</v>
      </c>
      <c r="B92" s="87">
        <v>46093</v>
      </c>
      <c r="C92" t="s">
        <v>2251</v>
      </c>
      <c r="D92" t="s">
        <v>2110</v>
      </c>
      <c r="E92" t="s">
        <v>2252</v>
      </c>
      <c r="F92" t="s">
        <v>2253</v>
      </c>
      <c r="G92" t="s">
        <v>57</v>
      </c>
      <c r="H92" t="s">
        <v>2123</v>
      </c>
      <c r="I92" t="s">
        <v>487</v>
      </c>
      <c r="J92">
        <v>337.5</v>
      </c>
    </row>
    <row r="93" spans="1:10">
      <c r="A93" s="90" t="s">
        <v>355</v>
      </c>
      <c r="B93" s="87">
        <v>46107</v>
      </c>
      <c r="C93" t="s">
        <v>2254</v>
      </c>
      <c r="D93" t="s">
        <v>2110</v>
      </c>
      <c r="E93" t="s">
        <v>493</v>
      </c>
      <c r="F93" t="s">
        <v>2255</v>
      </c>
      <c r="G93" t="s">
        <v>436</v>
      </c>
      <c r="H93" t="s">
        <v>470</v>
      </c>
      <c r="I93" t="s">
        <v>487</v>
      </c>
      <c r="J93">
        <v>4576.6000000000004</v>
      </c>
    </row>
    <row r="94" spans="1:10">
      <c r="A94" s="90" t="s">
        <v>355</v>
      </c>
      <c r="B94" s="87">
        <v>46111</v>
      </c>
      <c r="C94" t="s">
        <v>2256</v>
      </c>
      <c r="D94" t="s">
        <v>2110</v>
      </c>
      <c r="E94" t="s">
        <v>2148</v>
      </c>
      <c r="F94" t="s">
        <v>2257</v>
      </c>
      <c r="G94" t="s">
        <v>2125</v>
      </c>
      <c r="H94" t="s">
        <v>470</v>
      </c>
      <c r="I94" t="s">
        <v>487</v>
      </c>
      <c r="J94">
        <v>912.56</v>
      </c>
    </row>
    <row r="95" spans="1:10">
      <c r="A95" s="90" t="s">
        <v>355</v>
      </c>
      <c r="B95" s="87">
        <v>46111</v>
      </c>
      <c r="C95" t="s">
        <v>2258</v>
      </c>
      <c r="D95" t="s">
        <v>2110</v>
      </c>
      <c r="E95" t="s">
        <v>2148</v>
      </c>
      <c r="F95" t="s">
        <v>2259</v>
      </c>
      <c r="G95" t="s">
        <v>2125</v>
      </c>
      <c r="H95" t="s">
        <v>470</v>
      </c>
      <c r="I95" t="s">
        <v>487</v>
      </c>
      <c r="J95">
        <v>1887.44</v>
      </c>
    </row>
    <row r="96" spans="1:10">
      <c r="A96" s="90" t="s">
        <v>355</v>
      </c>
      <c r="B96" s="87">
        <v>46112</v>
      </c>
      <c r="C96" t="s">
        <v>1127</v>
      </c>
      <c r="D96" t="s">
        <v>2110</v>
      </c>
      <c r="E96" t="s">
        <v>493</v>
      </c>
      <c r="F96" t="s">
        <v>434</v>
      </c>
      <c r="G96" t="s">
        <v>192</v>
      </c>
      <c r="H96" t="s">
        <v>470</v>
      </c>
      <c r="I96" t="s">
        <v>475</v>
      </c>
      <c r="J96">
        <v>2354.37</v>
      </c>
    </row>
    <row r="97" spans="1:10">
      <c r="A97" s="90" t="s">
        <v>355</v>
      </c>
      <c r="B97" s="87">
        <v>46112</v>
      </c>
      <c r="C97" t="s">
        <v>1257</v>
      </c>
      <c r="D97" t="s">
        <v>2110</v>
      </c>
      <c r="E97" t="s">
        <v>493</v>
      </c>
      <c r="F97" t="s">
        <v>452</v>
      </c>
      <c r="G97" t="s">
        <v>192</v>
      </c>
      <c r="H97" t="s">
        <v>470</v>
      </c>
      <c r="I97" t="s">
        <v>475</v>
      </c>
      <c r="J97">
        <v>19031.16</v>
      </c>
    </row>
    <row r="98" spans="1:10">
      <c r="A98" s="90" t="s">
        <v>355</v>
      </c>
      <c r="B98" s="87">
        <v>46112</v>
      </c>
      <c r="C98" t="s">
        <v>1258</v>
      </c>
      <c r="D98" t="s">
        <v>2110</v>
      </c>
      <c r="E98" t="s">
        <v>493</v>
      </c>
      <c r="F98" t="s">
        <v>449</v>
      </c>
      <c r="G98" t="s">
        <v>436</v>
      </c>
      <c r="H98" t="s">
        <v>470</v>
      </c>
      <c r="I98" t="s">
        <v>475</v>
      </c>
      <c r="J98">
        <v>17112</v>
      </c>
    </row>
    <row r="99" spans="1:10">
      <c r="A99" s="90" t="s">
        <v>355</v>
      </c>
      <c r="B99" s="87">
        <v>46134</v>
      </c>
      <c r="C99" t="s">
        <v>1274</v>
      </c>
      <c r="D99" t="s">
        <v>2110</v>
      </c>
      <c r="E99" t="s">
        <v>977</v>
      </c>
      <c r="F99" t="s">
        <v>1275</v>
      </c>
      <c r="G99" t="s">
        <v>192</v>
      </c>
      <c r="H99" t="s">
        <v>470</v>
      </c>
      <c r="I99" t="s">
        <v>487</v>
      </c>
      <c r="J99">
        <v>2717.15</v>
      </c>
    </row>
    <row r="100" spans="1:10">
      <c r="A100" s="90" t="s">
        <v>216</v>
      </c>
      <c r="B100" s="87">
        <v>45659</v>
      </c>
      <c r="C100" t="s">
        <v>2261</v>
      </c>
      <c r="D100" t="s">
        <v>2110</v>
      </c>
      <c r="E100" t="s">
        <v>2262</v>
      </c>
      <c r="F100" t="s">
        <v>2263</v>
      </c>
      <c r="G100" t="s">
        <v>73</v>
      </c>
      <c r="H100" t="s">
        <v>2264</v>
      </c>
      <c r="I100" t="s">
        <v>796</v>
      </c>
      <c r="J100">
        <v>588.79999999999995</v>
      </c>
    </row>
    <row r="101" spans="1:10">
      <c r="A101" s="90" t="s">
        <v>216</v>
      </c>
      <c r="B101" s="87">
        <v>45659</v>
      </c>
      <c r="C101" t="s">
        <v>2265</v>
      </c>
      <c r="D101" t="s">
        <v>2110</v>
      </c>
      <c r="E101" t="s">
        <v>477</v>
      </c>
      <c r="F101" t="s">
        <v>2266</v>
      </c>
      <c r="G101" t="s">
        <v>218</v>
      </c>
      <c r="H101" t="s">
        <v>470</v>
      </c>
      <c r="I101" t="s">
        <v>471</v>
      </c>
      <c r="J101">
        <v>250</v>
      </c>
    </row>
    <row r="102" spans="1:10">
      <c r="A102" s="90" t="s">
        <v>216</v>
      </c>
      <c r="B102" s="87">
        <v>45659</v>
      </c>
      <c r="C102" t="s">
        <v>2267</v>
      </c>
      <c r="D102" t="s">
        <v>2110</v>
      </c>
      <c r="E102" t="s">
        <v>477</v>
      </c>
      <c r="F102" t="s">
        <v>2268</v>
      </c>
      <c r="G102" t="s">
        <v>2269</v>
      </c>
      <c r="H102" t="s">
        <v>2270</v>
      </c>
      <c r="I102" t="s">
        <v>471</v>
      </c>
      <c r="J102">
        <v>750</v>
      </c>
    </row>
    <row r="103" spans="1:10">
      <c r="A103" s="90" t="s">
        <v>216</v>
      </c>
      <c r="B103" s="87">
        <v>45659</v>
      </c>
      <c r="C103" t="s">
        <v>2267</v>
      </c>
      <c r="D103" t="s">
        <v>2110</v>
      </c>
      <c r="E103" t="s">
        <v>477</v>
      </c>
      <c r="F103" t="s">
        <v>2268</v>
      </c>
      <c r="G103" t="s">
        <v>2269</v>
      </c>
      <c r="H103" t="s">
        <v>2270</v>
      </c>
      <c r="I103" t="s">
        <v>471</v>
      </c>
      <c r="J103">
        <v>1125</v>
      </c>
    </row>
    <row r="104" spans="1:10">
      <c r="A104" s="90" t="s">
        <v>216</v>
      </c>
      <c r="B104" s="87">
        <v>45659</v>
      </c>
      <c r="C104" t="s">
        <v>2267</v>
      </c>
      <c r="D104" t="s">
        <v>2110</v>
      </c>
      <c r="E104" t="s">
        <v>477</v>
      </c>
      <c r="F104" t="s">
        <v>2268</v>
      </c>
      <c r="G104" t="s">
        <v>2269</v>
      </c>
      <c r="H104" t="s">
        <v>2270</v>
      </c>
      <c r="I104" t="s">
        <v>471</v>
      </c>
      <c r="J104">
        <v>1200</v>
      </c>
    </row>
    <row r="105" spans="1:10">
      <c r="A105" s="90" t="s">
        <v>216</v>
      </c>
      <c r="B105" s="87">
        <v>45659</v>
      </c>
      <c r="C105" t="s">
        <v>2267</v>
      </c>
      <c r="D105" t="s">
        <v>2110</v>
      </c>
      <c r="E105" t="s">
        <v>477</v>
      </c>
      <c r="F105" t="s">
        <v>2268</v>
      </c>
      <c r="G105" t="s">
        <v>2271</v>
      </c>
      <c r="H105" t="s">
        <v>2270</v>
      </c>
      <c r="I105" t="s">
        <v>471</v>
      </c>
      <c r="J105">
        <v>159.11000000000001</v>
      </c>
    </row>
    <row r="106" spans="1:10">
      <c r="A106" s="90" t="s">
        <v>216</v>
      </c>
      <c r="B106" s="87">
        <v>45659</v>
      </c>
      <c r="C106" t="s">
        <v>2272</v>
      </c>
      <c r="D106" t="s">
        <v>2110</v>
      </c>
      <c r="E106" t="s">
        <v>477</v>
      </c>
      <c r="F106" t="s">
        <v>2273</v>
      </c>
      <c r="G106" t="s">
        <v>2269</v>
      </c>
      <c r="H106" t="s">
        <v>2274</v>
      </c>
      <c r="I106" t="s">
        <v>471</v>
      </c>
      <c r="J106">
        <v>10125</v>
      </c>
    </row>
    <row r="107" spans="1:10">
      <c r="A107" s="90" t="s">
        <v>216</v>
      </c>
      <c r="B107" s="87">
        <v>45659</v>
      </c>
      <c r="C107" t="s">
        <v>2272</v>
      </c>
      <c r="D107" t="s">
        <v>2110</v>
      </c>
      <c r="E107" t="s">
        <v>477</v>
      </c>
      <c r="F107" t="s">
        <v>2273</v>
      </c>
      <c r="G107" t="s">
        <v>2271</v>
      </c>
      <c r="H107" t="s">
        <v>2274</v>
      </c>
      <c r="I107" t="s">
        <v>471</v>
      </c>
      <c r="J107">
        <v>1288.08</v>
      </c>
    </row>
    <row r="108" spans="1:10">
      <c r="A108" s="90" t="s">
        <v>216</v>
      </c>
      <c r="B108" s="87">
        <v>45659</v>
      </c>
      <c r="C108" t="s">
        <v>2275</v>
      </c>
      <c r="D108" t="s">
        <v>2110</v>
      </c>
      <c r="E108" t="s">
        <v>477</v>
      </c>
      <c r="F108" t="s">
        <v>509</v>
      </c>
      <c r="G108" t="s">
        <v>74</v>
      </c>
      <c r="H108" t="s">
        <v>470</v>
      </c>
      <c r="I108" t="s">
        <v>471</v>
      </c>
      <c r="J108">
        <v>15</v>
      </c>
    </row>
    <row r="109" spans="1:10">
      <c r="A109" s="90" t="s">
        <v>216</v>
      </c>
      <c r="B109" s="87">
        <v>45659</v>
      </c>
      <c r="C109" t="s">
        <v>511</v>
      </c>
      <c r="D109" t="s">
        <v>2110</v>
      </c>
      <c r="E109" t="s">
        <v>512</v>
      </c>
      <c r="F109" t="s">
        <v>509</v>
      </c>
      <c r="G109" t="s">
        <v>474</v>
      </c>
      <c r="H109" t="s">
        <v>470</v>
      </c>
      <c r="I109" t="s">
        <v>475</v>
      </c>
      <c r="J109">
        <v>853.8</v>
      </c>
    </row>
    <row r="110" spans="1:10">
      <c r="A110" s="90" t="s">
        <v>216</v>
      </c>
      <c r="B110" s="87">
        <v>45663</v>
      </c>
      <c r="C110" t="s">
        <v>2275</v>
      </c>
      <c r="D110" t="s">
        <v>2110</v>
      </c>
      <c r="E110" t="s">
        <v>477</v>
      </c>
      <c r="F110" t="s">
        <v>509</v>
      </c>
      <c r="G110" t="s">
        <v>74</v>
      </c>
      <c r="H110" t="s">
        <v>470</v>
      </c>
      <c r="I110" t="s">
        <v>471</v>
      </c>
      <c r="J110">
        <v>5</v>
      </c>
    </row>
    <row r="111" spans="1:10">
      <c r="A111" s="90" t="s">
        <v>216</v>
      </c>
      <c r="B111" s="87">
        <v>45663</v>
      </c>
      <c r="C111" t="s">
        <v>2276</v>
      </c>
      <c r="D111" t="s">
        <v>2110</v>
      </c>
      <c r="E111" t="s">
        <v>2277</v>
      </c>
      <c r="F111" t="s">
        <v>2278</v>
      </c>
      <c r="G111" t="s">
        <v>65</v>
      </c>
      <c r="H111" t="s">
        <v>2279</v>
      </c>
      <c r="I111" t="s">
        <v>796</v>
      </c>
      <c r="J111">
        <v>183.78</v>
      </c>
    </row>
    <row r="112" spans="1:10">
      <c r="A112" s="90" t="s">
        <v>216</v>
      </c>
      <c r="B112" s="87">
        <v>45663</v>
      </c>
      <c r="C112" t="s">
        <v>511</v>
      </c>
      <c r="D112" t="s">
        <v>2110</v>
      </c>
      <c r="E112" t="s">
        <v>512</v>
      </c>
      <c r="F112" t="s">
        <v>509</v>
      </c>
      <c r="G112" t="s">
        <v>474</v>
      </c>
      <c r="H112" t="s">
        <v>470</v>
      </c>
      <c r="I112" t="s">
        <v>475</v>
      </c>
      <c r="J112">
        <v>188.78</v>
      </c>
    </row>
    <row r="113" spans="1:10">
      <c r="A113" s="90" t="s">
        <v>216</v>
      </c>
      <c r="B113" s="87">
        <v>45664</v>
      </c>
      <c r="C113" t="s">
        <v>2280</v>
      </c>
      <c r="D113" t="s">
        <v>2110</v>
      </c>
      <c r="E113" t="s">
        <v>2247</v>
      </c>
      <c r="F113" t="s">
        <v>2281</v>
      </c>
      <c r="G113" t="s">
        <v>2213</v>
      </c>
      <c r="H113" t="s">
        <v>470</v>
      </c>
      <c r="I113" t="s">
        <v>475</v>
      </c>
      <c r="J113">
        <v>7118.89</v>
      </c>
    </row>
    <row r="114" spans="1:10">
      <c r="A114" s="90" t="s">
        <v>216</v>
      </c>
      <c r="B114" s="87">
        <v>45664</v>
      </c>
      <c r="C114" t="s">
        <v>511</v>
      </c>
      <c r="D114" t="s">
        <v>2110</v>
      </c>
      <c r="E114" t="s">
        <v>512</v>
      </c>
      <c r="F114" t="s">
        <v>509</v>
      </c>
      <c r="G114" t="s">
        <v>474</v>
      </c>
      <c r="H114" t="s">
        <v>470</v>
      </c>
      <c r="I114" t="s">
        <v>475</v>
      </c>
      <c r="J114">
        <v>7118.89</v>
      </c>
    </row>
    <row r="115" spans="1:10">
      <c r="A115" s="90" t="s">
        <v>216</v>
      </c>
      <c r="B115" s="87">
        <v>45666</v>
      </c>
      <c r="C115" t="s">
        <v>2282</v>
      </c>
      <c r="D115" t="s">
        <v>2110</v>
      </c>
      <c r="E115" t="s">
        <v>2283</v>
      </c>
      <c r="F115" t="s">
        <v>2284</v>
      </c>
      <c r="G115" t="s">
        <v>77</v>
      </c>
      <c r="H115" t="s">
        <v>2285</v>
      </c>
      <c r="I115" t="s">
        <v>487</v>
      </c>
      <c r="J115">
        <v>2250</v>
      </c>
    </row>
    <row r="116" spans="1:10">
      <c r="A116" s="90" t="s">
        <v>216</v>
      </c>
      <c r="B116" s="87">
        <v>45666</v>
      </c>
      <c r="C116" t="s">
        <v>2275</v>
      </c>
      <c r="D116" t="s">
        <v>2110</v>
      </c>
      <c r="E116" t="s">
        <v>477</v>
      </c>
      <c r="F116" t="s">
        <v>509</v>
      </c>
      <c r="G116" t="s">
        <v>74</v>
      </c>
      <c r="H116" t="s">
        <v>470</v>
      </c>
      <c r="I116" t="s">
        <v>471</v>
      </c>
      <c r="J116">
        <v>10</v>
      </c>
    </row>
    <row r="117" spans="1:10">
      <c r="A117" s="90" t="s">
        <v>216</v>
      </c>
      <c r="B117" s="87">
        <v>45666</v>
      </c>
      <c r="C117" t="s">
        <v>511</v>
      </c>
      <c r="D117" t="s">
        <v>2110</v>
      </c>
      <c r="E117" t="s">
        <v>512</v>
      </c>
      <c r="F117" t="s">
        <v>509</v>
      </c>
      <c r="G117" t="s">
        <v>474</v>
      </c>
      <c r="H117" t="s">
        <v>470</v>
      </c>
      <c r="I117" t="s">
        <v>475</v>
      </c>
      <c r="J117">
        <v>2260</v>
      </c>
    </row>
    <row r="118" spans="1:10">
      <c r="A118" s="90" t="s">
        <v>216</v>
      </c>
      <c r="B118" s="87">
        <v>45667</v>
      </c>
      <c r="C118" t="s">
        <v>2286</v>
      </c>
      <c r="D118" t="s">
        <v>2110</v>
      </c>
      <c r="E118" t="s">
        <v>2287</v>
      </c>
      <c r="F118" t="s">
        <v>2288</v>
      </c>
      <c r="G118" t="s">
        <v>63</v>
      </c>
      <c r="H118" t="s">
        <v>2264</v>
      </c>
      <c r="I118" t="s">
        <v>796</v>
      </c>
      <c r="J118">
        <v>821.95</v>
      </c>
    </row>
    <row r="119" spans="1:10">
      <c r="A119" s="90" t="s">
        <v>216</v>
      </c>
      <c r="B119" s="87">
        <v>45667</v>
      </c>
      <c r="C119" t="s">
        <v>2289</v>
      </c>
      <c r="D119" t="s">
        <v>2110</v>
      </c>
      <c r="E119" t="s">
        <v>2290</v>
      </c>
      <c r="F119" t="s">
        <v>2291</v>
      </c>
      <c r="G119" t="s">
        <v>2115</v>
      </c>
      <c r="H119" t="s">
        <v>470</v>
      </c>
      <c r="I119" t="s">
        <v>796</v>
      </c>
      <c r="J119">
        <v>55.38</v>
      </c>
    </row>
    <row r="120" spans="1:10">
      <c r="A120" s="90" t="s">
        <v>216</v>
      </c>
      <c r="B120" s="87">
        <v>45667</v>
      </c>
      <c r="C120" t="s">
        <v>2289</v>
      </c>
      <c r="D120" t="s">
        <v>2110</v>
      </c>
      <c r="E120" t="s">
        <v>2290</v>
      </c>
      <c r="F120" t="s">
        <v>2291</v>
      </c>
      <c r="G120" t="s">
        <v>2115</v>
      </c>
      <c r="H120" t="s">
        <v>470</v>
      </c>
      <c r="I120" t="s">
        <v>796</v>
      </c>
      <c r="J120">
        <v>300</v>
      </c>
    </row>
    <row r="121" spans="1:10">
      <c r="A121" s="90" t="s">
        <v>216</v>
      </c>
      <c r="B121" s="87">
        <v>45667</v>
      </c>
      <c r="C121" t="s">
        <v>2289</v>
      </c>
      <c r="D121" t="s">
        <v>2110</v>
      </c>
      <c r="E121" t="s">
        <v>2290</v>
      </c>
      <c r="F121" t="s">
        <v>2291</v>
      </c>
      <c r="G121" t="s">
        <v>223</v>
      </c>
      <c r="H121" t="s">
        <v>470</v>
      </c>
      <c r="I121" t="s">
        <v>796</v>
      </c>
      <c r="J121">
        <v>1792.22</v>
      </c>
    </row>
    <row r="122" spans="1:10">
      <c r="A122" s="90" t="s">
        <v>216</v>
      </c>
      <c r="B122" s="87">
        <v>45667</v>
      </c>
      <c r="C122" t="s">
        <v>2292</v>
      </c>
      <c r="D122" t="s">
        <v>2110</v>
      </c>
      <c r="E122" t="s">
        <v>477</v>
      </c>
      <c r="F122" t="s">
        <v>509</v>
      </c>
      <c r="G122" t="s">
        <v>74</v>
      </c>
      <c r="H122" t="s">
        <v>470</v>
      </c>
      <c r="I122" t="s">
        <v>471</v>
      </c>
      <c r="J122">
        <v>95</v>
      </c>
    </row>
    <row r="123" spans="1:10">
      <c r="A123" s="90" t="s">
        <v>216</v>
      </c>
      <c r="B123" s="87">
        <v>45667</v>
      </c>
      <c r="C123" t="s">
        <v>2293</v>
      </c>
      <c r="D123" t="s">
        <v>2110</v>
      </c>
      <c r="E123" t="s">
        <v>477</v>
      </c>
      <c r="F123" t="s">
        <v>509</v>
      </c>
      <c r="G123" t="s">
        <v>74</v>
      </c>
      <c r="H123" t="s">
        <v>470</v>
      </c>
      <c r="I123" t="s">
        <v>471</v>
      </c>
      <c r="J123">
        <v>204.1</v>
      </c>
    </row>
    <row r="124" spans="1:10">
      <c r="A124" s="90" t="s">
        <v>216</v>
      </c>
      <c r="B124" s="87">
        <v>45667</v>
      </c>
      <c r="C124" t="s">
        <v>2294</v>
      </c>
      <c r="D124" t="s">
        <v>2110</v>
      </c>
      <c r="E124" t="s">
        <v>477</v>
      </c>
      <c r="F124" t="s">
        <v>509</v>
      </c>
      <c r="G124" t="s">
        <v>2295</v>
      </c>
      <c r="H124" t="s">
        <v>470</v>
      </c>
      <c r="I124" t="s">
        <v>471</v>
      </c>
      <c r="J124">
        <v>2508.92</v>
      </c>
    </row>
    <row r="125" spans="1:10">
      <c r="A125" s="90" t="s">
        <v>216</v>
      </c>
      <c r="B125" s="87">
        <v>45667</v>
      </c>
      <c r="C125" t="s">
        <v>2296</v>
      </c>
      <c r="D125" t="s">
        <v>2110</v>
      </c>
      <c r="E125" t="s">
        <v>477</v>
      </c>
      <c r="F125" t="s">
        <v>514</v>
      </c>
      <c r="G125" t="s">
        <v>225</v>
      </c>
      <c r="H125" t="s">
        <v>470</v>
      </c>
      <c r="I125" t="s">
        <v>471</v>
      </c>
      <c r="J125">
        <v>31600</v>
      </c>
    </row>
    <row r="126" spans="1:10">
      <c r="A126" s="90" t="s">
        <v>216</v>
      </c>
      <c r="B126" s="87">
        <v>45667</v>
      </c>
      <c r="C126" t="s">
        <v>2297</v>
      </c>
      <c r="D126" t="s">
        <v>2110</v>
      </c>
      <c r="E126" t="s">
        <v>477</v>
      </c>
      <c r="F126" t="s">
        <v>514</v>
      </c>
      <c r="G126" t="s">
        <v>66</v>
      </c>
      <c r="H126" t="s">
        <v>470</v>
      </c>
      <c r="I126" t="s">
        <v>471</v>
      </c>
      <c r="J126">
        <v>33519.980000000003</v>
      </c>
    </row>
    <row r="127" spans="1:10">
      <c r="A127" s="90" t="s">
        <v>216</v>
      </c>
      <c r="B127" s="87">
        <v>45667</v>
      </c>
      <c r="C127" t="s">
        <v>2298</v>
      </c>
      <c r="D127" t="s">
        <v>2110</v>
      </c>
      <c r="E127" t="s">
        <v>477</v>
      </c>
      <c r="F127" t="s">
        <v>514</v>
      </c>
      <c r="G127" t="s">
        <v>225</v>
      </c>
      <c r="H127" t="s">
        <v>470</v>
      </c>
      <c r="I127" t="s">
        <v>471</v>
      </c>
      <c r="J127">
        <v>5000</v>
      </c>
    </row>
    <row r="128" spans="1:10">
      <c r="A128" s="90" t="s">
        <v>216</v>
      </c>
      <c r="B128" s="87">
        <v>45667</v>
      </c>
      <c r="C128" t="s">
        <v>517</v>
      </c>
      <c r="D128" t="s">
        <v>2110</v>
      </c>
      <c r="E128" t="s">
        <v>512</v>
      </c>
      <c r="F128" t="s">
        <v>518</v>
      </c>
      <c r="G128" t="s">
        <v>474</v>
      </c>
      <c r="H128" t="s">
        <v>470</v>
      </c>
      <c r="I128" t="s">
        <v>475</v>
      </c>
      <c r="J128">
        <v>1754102.45</v>
      </c>
    </row>
    <row r="129" spans="1:10">
      <c r="A129" s="90" t="s">
        <v>216</v>
      </c>
      <c r="B129" s="87">
        <v>45670</v>
      </c>
      <c r="C129" t="s">
        <v>519</v>
      </c>
      <c r="D129" t="s">
        <v>2110</v>
      </c>
      <c r="E129" t="s">
        <v>512</v>
      </c>
      <c r="F129" t="s">
        <v>509</v>
      </c>
      <c r="G129" t="s">
        <v>474</v>
      </c>
      <c r="H129" t="s">
        <v>470</v>
      </c>
      <c r="I129" t="s">
        <v>475</v>
      </c>
      <c r="J129">
        <v>1754000</v>
      </c>
    </row>
    <row r="130" spans="1:10">
      <c r="A130" s="90" t="s">
        <v>216</v>
      </c>
      <c r="B130" s="87">
        <v>45670</v>
      </c>
      <c r="C130" t="s">
        <v>517</v>
      </c>
      <c r="D130" t="s">
        <v>2110</v>
      </c>
      <c r="E130" t="s">
        <v>512</v>
      </c>
      <c r="F130" t="s">
        <v>509</v>
      </c>
      <c r="G130" t="s">
        <v>474</v>
      </c>
      <c r="H130" t="s">
        <v>470</v>
      </c>
      <c r="I130" t="s">
        <v>475</v>
      </c>
      <c r="J130">
        <v>1754000</v>
      </c>
    </row>
    <row r="131" spans="1:10">
      <c r="A131" s="90" t="s">
        <v>216</v>
      </c>
      <c r="B131" s="87">
        <v>45673</v>
      </c>
      <c r="C131" t="s">
        <v>2299</v>
      </c>
      <c r="D131" t="s">
        <v>2110</v>
      </c>
      <c r="E131" t="s">
        <v>2300</v>
      </c>
      <c r="F131" t="s">
        <v>509</v>
      </c>
      <c r="G131" t="s">
        <v>70</v>
      </c>
      <c r="H131" t="s">
        <v>470</v>
      </c>
      <c r="I131" t="s">
        <v>796</v>
      </c>
      <c r="J131">
        <v>56</v>
      </c>
    </row>
    <row r="132" spans="1:10">
      <c r="A132" s="90" t="s">
        <v>216</v>
      </c>
      <c r="B132" s="87">
        <v>45673</v>
      </c>
      <c r="C132" t="s">
        <v>2301</v>
      </c>
      <c r="D132" t="s">
        <v>2110</v>
      </c>
      <c r="E132" t="s">
        <v>2287</v>
      </c>
      <c r="F132" t="s">
        <v>509</v>
      </c>
      <c r="G132" t="s">
        <v>77</v>
      </c>
      <c r="H132" t="s">
        <v>2285</v>
      </c>
      <c r="I132" t="s">
        <v>487</v>
      </c>
      <c r="J132">
        <v>3375</v>
      </c>
    </row>
    <row r="133" spans="1:10">
      <c r="A133" s="90" t="s">
        <v>216</v>
      </c>
      <c r="B133" s="87">
        <v>45673</v>
      </c>
      <c r="C133" t="s">
        <v>511</v>
      </c>
      <c r="D133" t="s">
        <v>2110</v>
      </c>
      <c r="E133" t="s">
        <v>512</v>
      </c>
      <c r="F133" t="s">
        <v>509</v>
      </c>
      <c r="G133" t="s">
        <v>474</v>
      </c>
      <c r="H133" t="s">
        <v>470</v>
      </c>
      <c r="I133" t="s">
        <v>475</v>
      </c>
      <c r="J133">
        <v>108.66</v>
      </c>
    </row>
    <row r="134" spans="1:10">
      <c r="A134" s="90" t="s">
        <v>216</v>
      </c>
      <c r="B134" s="87">
        <v>45673</v>
      </c>
      <c r="C134" t="s">
        <v>511</v>
      </c>
      <c r="D134" t="s">
        <v>2110</v>
      </c>
      <c r="E134" t="s">
        <v>512</v>
      </c>
      <c r="F134" t="s">
        <v>509</v>
      </c>
      <c r="G134" t="s">
        <v>474</v>
      </c>
      <c r="H134" t="s">
        <v>470</v>
      </c>
      <c r="I134" t="s">
        <v>475</v>
      </c>
      <c r="J134">
        <v>42164.17</v>
      </c>
    </row>
    <row r="135" spans="1:10">
      <c r="A135" s="90" t="s">
        <v>216</v>
      </c>
      <c r="B135" s="87">
        <v>45673</v>
      </c>
      <c r="C135" t="s">
        <v>2302</v>
      </c>
      <c r="D135" t="s">
        <v>2110</v>
      </c>
      <c r="E135" t="s">
        <v>2303</v>
      </c>
      <c r="F135" t="s">
        <v>531</v>
      </c>
      <c r="G135" t="s">
        <v>2112</v>
      </c>
      <c r="H135" t="s">
        <v>470</v>
      </c>
      <c r="I135" t="s">
        <v>475</v>
      </c>
      <c r="J135">
        <v>38841.83</v>
      </c>
    </row>
    <row r="136" spans="1:10">
      <c r="A136" s="90" t="s">
        <v>216</v>
      </c>
      <c r="B136" s="87">
        <v>45674</v>
      </c>
      <c r="C136" t="s">
        <v>2304</v>
      </c>
      <c r="D136" t="s">
        <v>2110</v>
      </c>
      <c r="E136" t="s">
        <v>2277</v>
      </c>
      <c r="F136" t="s">
        <v>2305</v>
      </c>
      <c r="G136" t="s">
        <v>226</v>
      </c>
      <c r="H136" t="s">
        <v>2279</v>
      </c>
      <c r="I136" t="s">
        <v>796</v>
      </c>
      <c r="J136">
        <v>134.94</v>
      </c>
    </row>
    <row r="137" spans="1:10">
      <c r="A137" s="90" t="s">
        <v>216</v>
      </c>
      <c r="B137" s="87">
        <v>45674</v>
      </c>
      <c r="C137" t="s">
        <v>520</v>
      </c>
      <c r="D137" t="s">
        <v>2110</v>
      </c>
      <c r="E137" t="s">
        <v>512</v>
      </c>
      <c r="F137" t="s">
        <v>509</v>
      </c>
      <c r="G137" t="s">
        <v>474</v>
      </c>
      <c r="H137" t="s">
        <v>470</v>
      </c>
      <c r="I137" t="s">
        <v>475</v>
      </c>
      <c r="J137">
        <v>134.94</v>
      </c>
    </row>
    <row r="138" spans="1:10">
      <c r="A138" s="90" t="s">
        <v>216</v>
      </c>
      <c r="B138" s="87">
        <v>45677</v>
      </c>
      <c r="C138" t="s">
        <v>2306</v>
      </c>
      <c r="D138" t="s">
        <v>2110</v>
      </c>
      <c r="E138" t="s">
        <v>2300</v>
      </c>
      <c r="F138" t="s">
        <v>509</v>
      </c>
      <c r="G138" t="s">
        <v>220</v>
      </c>
      <c r="H138" t="s">
        <v>2307</v>
      </c>
      <c r="I138" t="s">
        <v>796</v>
      </c>
      <c r="J138">
        <v>2870.05</v>
      </c>
    </row>
    <row r="139" spans="1:10">
      <c r="A139" s="90" t="s">
        <v>216</v>
      </c>
      <c r="B139" s="87">
        <v>45677</v>
      </c>
      <c r="C139" t="s">
        <v>2308</v>
      </c>
      <c r="D139" t="s">
        <v>2110</v>
      </c>
      <c r="E139" t="s">
        <v>535</v>
      </c>
      <c r="F139" t="s">
        <v>2309</v>
      </c>
      <c r="G139" t="s">
        <v>537</v>
      </c>
      <c r="H139" t="s">
        <v>470</v>
      </c>
      <c r="I139" t="s">
        <v>475</v>
      </c>
      <c r="J139">
        <v>1500000</v>
      </c>
    </row>
    <row r="140" spans="1:10">
      <c r="A140" s="90" t="s">
        <v>216</v>
      </c>
      <c r="B140" s="87">
        <v>45677</v>
      </c>
      <c r="C140" t="s">
        <v>511</v>
      </c>
      <c r="D140" t="s">
        <v>2110</v>
      </c>
      <c r="E140" t="s">
        <v>512</v>
      </c>
      <c r="F140" t="s">
        <v>509</v>
      </c>
      <c r="G140" t="s">
        <v>474</v>
      </c>
      <c r="H140" t="s">
        <v>470</v>
      </c>
      <c r="I140" t="s">
        <v>475</v>
      </c>
      <c r="J140">
        <v>1566072.28</v>
      </c>
    </row>
    <row r="141" spans="1:10">
      <c r="A141" s="90" t="s">
        <v>216</v>
      </c>
      <c r="B141" s="87">
        <v>45677</v>
      </c>
      <c r="C141" t="s">
        <v>2310</v>
      </c>
      <c r="D141" t="s">
        <v>2110</v>
      </c>
      <c r="E141" t="s">
        <v>477</v>
      </c>
      <c r="F141" t="s">
        <v>2311</v>
      </c>
      <c r="G141" t="s">
        <v>515</v>
      </c>
      <c r="H141" t="s">
        <v>2312</v>
      </c>
      <c r="I141" t="s">
        <v>471</v>
      </c>
      <c r="J141">
        <v>55555.56</v>
      </c>
    </row>
    <row r="142" spans="1:10">
      <c r="A142" s="90" t="s">
        <v>216</v>
      </c>
      <c r="B142" s="87">
        <v>45677</v>
      </c>
      <c r="C142" t="s">
        <v>2310</v>
      </c>
      <c r="D142" t="s">
        <v>2110</v>
      </c>
      <c r="E142" t="s">
        <v>477</v>
      </c>
      <c r="F142" t="s">
        <v>2311</v>
      </c>
      <c r="G142" t="s">
        <v>69</v>
      </c>
      <c r="H142" t="s">
        <v>2312</v>
      </c>
      <c r="I142" t="s">
        <v>471</v>
      </c>
      <c r="J142">
        <v>7646.67</v>
      </c>
    </row>
    <row r="143" spans="1:10">
      <c r="A143" s="90" t="s">
        <v>216</v>
      </c>
      <c r="B143" s="87">
        <v>45678</v>
      </c>
      <c r="C143" t="s">
        <v>2313</v>
      </c>
      <c r="D143" t="s">
        <v>2110</v>
      </c>
      <c r="E143" t="s">
        <v>1756</v>
      </c>
      <c r="F143" t="s">
        <v>2314</v>
      </c>
      <c r="G143" t="s">
        <v>59</v>
      </c>
      <c r="H143" t="s">
        <v>470</v>
      </c>
      <c r="I143" t="s">
        <v>796</v>
      </c>
      <c r="J143">
        <v>25.24</v>
      </c>
    </row>
    <row r="144" spans="1:10">
      <c r="A144" s="90" t="s">
        <v>216</v>
      </c>
      <c r="B144" s="87">
        <v>45678</v>
      </c>
      <c r="C144" t="s">
        <v>511</v>
      </c>
      <c r="D144" t="s">
        <v>2110</v>
      </c>
      <c r="E144" t="s">
        <v>512</v>
      </c>
      <c r="F144" t="s">
        <v>509</v>
      </c>
      <c r="G144" t="s">
        <v>474</v>
      </c>
      <c r="H144" t="s">
        <v>470</v>
      </c>
      <c r="I144" t="s">
        <v>475</v>
      </c>
      <c r="J144">
        <v>25.24</v>
      </c>
    </row>
    <row r="145" spans="1:10">
      <c r="A145" s="90" t="s">
        <v>216</v>
      </c>
      <c r="B145" s="87">
        <v>45680</v>
      </c>
      <c r="C145" t="s">
        <v>2315</v>
      </c>
      <c r="D145" t="s">
        <v>2110</v>
      </c>
      <c r="E145" t="s">
        <v>2316</v>
      </c>
      <c r="F145" t="s">
        <v>509</v>
      </c>
      <c r="G145" t="s">
        <v>217</v>
      </c>
      <c r="H145" t="s">
        <v>2264</v>
      </c>
      <c r="I145" t="s">
        <v>796</v>
      </c>
      <c r="J145">
        <v>103.74</v>
      </c>
    </row>
    <row r="146" spans="1:10">
      <c r="A146" s="90" t="s">
        <v>216</v>
      </c>
      <c r="B146" s="87">
        <v>45680</v>
      </c>
      <c r="C146" t="s">
        <v>2317</v>
      </c>
      <c r="D146" t="s">
        <v>2110</v>
      </c>
      <c r="E146" t="s">
        <v>2318</v>
      </c>
      <c r="F146" t="s">
        <v>2314</v>
      </c>
      <c r="G146" t="s">
        <v>64</v>
      </c>
      <c r="H146" t="s">
        <v>2279</v>
      </c>
      <c r="I146" t="s">
        <v>487</v>
      </c>
      <c r="J146">
        <v>863.64</v>
      </c>
    </row>
    <row r="147" spans="1:10">
      <c r="A147" s="90" t="s">
        <v>216</v>
      </c>
      <c r="B147" s="87">
        <v>45680</v>
      </c>
      <c r="C147" t="s">
        <v>511</v>
      </c>
      <c r="D147" t="s">
        <v>2110</v>
      </c>
      <c r="E147" t="s">
        <v>512</v>
      </c>
      <c r="F147" t="s">
        <v>509</v>
      </c>
      <c r="G147" t="s">
        <v>474</v>
      </c>
      <c r="H147" t="s">
        <v>470</v>
      </c>
      <c r="I147" t="s">
        <v>475</v>
      </c>
      <c r="J147">
        <v>967.38</v>
      </c>
    </row>
    <row r="148" spans="1:10">
      <c r="A148" s="90" t="s">
        <v>216</v>
      </c>
      <c r="B148" s="87">
        <v>45681</v>
      </c>
      <c r="C148" t="s">
        <v>2319</v>
      </c>
      <c r="D148" t="s">
        <v>2110</v>
      </c>
      <c r="E148" t="s">
        <v>477</v>
      </c>
      <c r="F148" t="s">
        <v>509</v>
      </c>
      <c r="G148" t="s">
        <v>224</v>
      </c>
      <c r="H148" t="s">
        <v>470</v>
      </c>
      <c r="I148" t="s">
        <v>471</v>
      </c>
      <c r="J148">
        <v>100</v>
      </c>
    </row>
    <row r="149" spans="1:10">
      <c r="A149" s="90" t="s">
        <v>216</v>
      </c>
      <c r="B149" s="87">
        <v>45681</v>
      </c>
      <c r="C149" t="s">
        <v>2320</v>
      </c>
      <c r="D149" t="s">
        <v>2110</v>
      </c>
      <c r="E149" t="s">
        <v>477</v>
      </c>
      <c r="F149" t="s">
        <v>509</v>
      </c>
      <c r="G149" t="s">
        <v>224</v>
      </c>
      <c r="H149" t="s">
        <v>470</v>
      </c>
      <c r="I149" t="s">
        <v>471</v>
      </c>
      <c r="J149">
        <v>550</v>
      </c>
    </row>
    <row r="150" spans="1:10">
      <c r="A150" s="90" t="s">
        <v>216</v>
      </c>
      <c r="B150" s="87">
        <v>45681</v>
      </c>
      <c r="C150" t="s">
        <v>517</v>
      </c>
      <c r="D150" t="s">
        <v>2110</v>
      </c>
      <c r="E150" t="s">
        <v>512</v>
      </c>
      <c r="F150" t="s">
        <v>509</v>
      </c>
      <c r="G150" t="s">
        <v>474</v>
      </c>
      <c r="H150" t="s">
        <v>470</v>
      </c>
      <c r="I150" t="s">
        <v>475</v>
      </c>
      <c r="J150">
        <v>617973.04</v>
      </c>
    </row>
    <row r="151" spans="1:10">
      <c r="A151" s="90" t="s">
        <v>216</v>
      </c>
      <c r="B151" s="87">
        <v>45684</v>
      </c>
      <c r="C151" t="s">
        <v>2321</v>
      </c>
      <c r="D151" t="s">
        <v>2110</v>
      </c>
      <c r="E151" t="s">
        <v>2322</v>
      </c>
      <c r="F151" t="s">
        <v>2323</v>
      </c>
      <c r="G151" t="s">
        <v>182</v>
      </c>
      <c r="H151" t="s">
        <v>470</v>
      </c>
      <c r="I151" t="s">
        <v>487</v>
      </c>
      <c r="J151">
        <v>30</v>
      </c>
    </row>
    <row r="152" spans="1:10">
      <c r="A152" s="90" t="s">
        <v>216</v>
      </c>
      <c r="B152" s="87">
        <v>45684</v>
      </c>
      <c r="C152" t="s">
        <v>2324</v>
      </c>
      <c r="D152" t="s">
        <v>2110</v>
      </c>
      <c r="E152" t="s">
        <v>477</v>
      </c>
      <c r="F152" t="s">
        <v>2325</v>
      </c>
      <c r="G152" t="s">
        <v>515</v>
      </c>
      <c r="H152" t="s">
        <v>2326</v>
      </c>
      <c r="I152" t="s">
        <v>471</v>
      </c>
      <c r="J152">
        <v>33666.57</v>
      </c>
    </row>
    <row r="153" spans="1:10">
      <c r="A153" s="90" t="s">
        <v>216</v>
      </c>
      <c r="B153" s="87">
        <v>45684</v>
      </c>
      <c r="C153" t="s">
        <v>2324</v>
      </c>
      <c r="D153" t="s">
        <v>2110</v>
      </c>
      <c r="E153" t="s">
        <v>477</v>
      </c>
      <c r="F153" t="s">
        <v>2325</v>
      </c>
      <c r="G153" t="s">
        <v>69</v>
      </c>
      <c r="H153" t="s">
        <v>2326</v>
      </c>
      <c r="I153" t="s">
        <v>471</v>
      </c>
      <c r="J153">
        <v>9253.94</v>
      </c>
    </row>
    <row r="154" spans="1:10">
      <c r="A154" s="90" t="s">
        <v>216</v>
      </c>
      <c r="B154" s="87">
        <v>45684</v>
      </c>
      <c r="C154" t="s">
        <v>2275</v>
      </c>
      <c r="D154" t="s">
        <v>2110</v>
      </c>
      <c r="E154" t="s">
        <v>477</v>
      </c>
      <c r="F154" t="s">
        <v>509</v>
      </c>
      <c r="G154" t="s">
        <v>74</v>
      </c>
      <c r="H154" t="s">
        <v>470</v>
      </c>
      <c r="I154" t="s">
        <v>471</v>
      </c>
      <c r="J154">
        <v>6.5</v>
      </c>
    </row>
    <row r="155" spans="1:10">
      <c r="A155" s="90" t="s">
        <v>216</v>
      </c>
      <c r="B155" s="87">
        <v>45684</v>
      </c>
      <c r="C155" t="s">
        <v>511</v>
      </c>
      <c r="D155" t="s">
        <v>2110</v>
      </c>
      <c r="E155" t="s">
        <v>512</v>
      </c>
      <c r="F155" t="s">
        <v>509</v>
      </c>
      <c r="G155" t="s">
        <v>474</v>
      </c>
      <c r="H155" t="s">
        <v>470</v>
      </c>
      <c r="I155" t="s">
        <v>475</v>
      </c>
      <c r="J155">
        <v>42957.01</v>
      </c>
    </row>
    <row r="156" spans="1:10">
      <c r="A156" s="90" t="s">
        <v>216</v>
      </c>
      <c r="B156" s="87">
        <v>45685</v>
      </c>
      <c r="C156" t="s">
        <v>2327</v>
      </c>
      <c r="D156" t="s">
        <v>2110</v>
      </c>
      <c r="E156" t="s">
        <v>477</v>
      </c>
      <c r="F156" t="s">
        <v>509</v>
      </c>
      <c r="G156" t="s">
        <v>66</v>
      </c>
      <c r="H156" t="s">
        <v>470</v>
      </c>
      <c r="I156" t="s">
        <v>471</v>
      </c>
      <c r="J156">
        <v>183.81</v>
      </c>
    </row>
    <row r="157" spans="1:10">
      <c r="A157" s="90" t="s">
        <v>216</v>
      </c>
      <c r="B157" s="87">
        <v>45685</v>
      </c>
      <c r="C157" t="s">
        <v>2327</v>
      </c>
      <c r="D157" t="s">
        <v>2110</v>
      </c>
      <c r="E157" t="s">
        <v>477</v>
      </c>
      <c r="F157" t="s">
        <v>509</v>
      </c>
      <c r="G157" t="s">
        <v>221</v>
      </c>
      <c r="H157" t="s">
        <v>470</v>
      </c>
      <c r="I157" t="s">
        <v>471</v>
      </c>
      <c r="J157">
        <v>14511.14</v>
      </c>
    </row>
    <row r="158" spans="1:10">
      <c r="A158" s="90" t="s">
        <v>216</v>
      </c>
      <c r="B158" s="87">
        <v>45685</v>
      </c>
      <c r="C158" t="s">
        <v>2328</v>
      </c>
      <c r="D158" t="s">
        <v>2110</v>
      </c>
      <c r="E158" t="s">
        <v>2303</v>
      </c>
      <c r="F158" t="s">
        <v>523</v>
      </c>
      <c r="G158" t="s">
        <v>2112</v>
      </c>
      <c r="H158" t="s">
        <v>470</v>
      </c>
      <c r="I158" t="s">
        <v>475</v>
      </c>
      <c r="J158">
        <v>32667.66</v>
      </c>
    </row>
    <row r="159" spans="1:10">
      <c r="A159" s="90" t="s">
        <v>216</v>
      </c>
      <c r="B159" s="87">
        <v>45685</v>
      </c>
      <c r="C159" t="s">
        <v>2329</v>
      </c>
      <c r="D159" t="s">
        <v>2110</v>
      </c>
      <c r="E159" t="s">
        <v>2303</v>
      </c>
      <c r="F159" t="s">
        <v>533</v>
      </c>
      <c r="G159" t="s">
        <v>2112</v>
      </c>
      <c r="H159" t="s">
        <v>470</v>
      </c>
      <c r="I159" t="s">
        <v>475</v>
      </c>
      <c r="J159">
        <v>19869.43</v>
      </c>
    </row>
    <row r="160" spans="1:10">
      <c r="A160" s="90" t="s">
        <v>216</v>
      </c>
      <c r="B160" s="87">
        <v>45685</v>
      </c>
      <c r="C160" t="s">
        <v>2330</v>
      </c>
      <c r="D160" t="s">
        <v>2110</v>
      </c>
      <c r="E160" t="s">
        <v>2300</v>
      </c>
      <c r="F160" t="s">
        <v>509</v>
      </c>
      <c r="G160" t="s">
        <v>70</v>
      </c>
      <c r="H160" t="s">
        <v>470</v>
      </c>
      <c r="I160" t="s">
        <v>796</v>
      </c>
      <c r="J160">
        <v>56</v>
      </c>
    </row>
    <row r="161" spans="1:10">
      <c r="A161" s="90" t="s">
        <v>216</v>
      </c>
      <c r="B161" s="87">
        <v>45685</v>
      </c>
      <c r="C161" t="s">
        <v>511</v>
      </c>
      <c r="D161" t="s">
        <v>2110</v>
      </c>
      <c r="E161" t="s">
        <v>512</v>
      </c>
      <c r="F161" t="s">
        <v>509</v>
      </c>
      <c r="G161" t="s">
        <v>474</v>
      </c>
      <c r="H161" t="s">
        <v>470</v>
      </c>
      <c r="I161" t="s">
        <v>475</v>
      </c>
      <c r="J161">
        <v>575021.88</v>
      </c>
    </row>
    <row r="162" spans="1:10">
      <c r="A162" s="90" t="s">
        <v>216</v>
      </c>
      <c r="B162" s="87">
        <v>45685</v>
      </c>
      <c r="C162" t="s">
        <v>511</v>
      </c>
      <c r="D162" t="s">
        <v>2110</v>
      </c>
      <c r="E162" t="s">
        <v>512</v>
      </c>
      <c r="F162" t="s">
        <v>509</v>
      </c>
      <c r="G162" t="s">
        <v>474</v>
      </c>
      <c r="H162" t="s">
        <v>470</v>
      </c>
      <c r="I162" t="s">
        <v>475</v>
      </c>
      <c r="J162">
        <v>492266.16</v>
      </c>
    </row>
    <row r="163" spans="1:10">
      <c r="A163" s="90" t="s">
        <v>216</v>
      </c>
      <c r="B163" s="87">
        <v>45685</v>
      </c>
      <c r="C163" t="s">
        <v>2331</v>
      </c>
      <c r="D163" t="s">
        <v>2110</v>
      </c>
      <c r="E163" t="s">
        <v>535</v>
      </c>
      <c r="F163" t="s">
        <v>2332</v>
      </c>
      <c r="G163" t="s">
        <v>537</v>
      </c>
      <c r="H163" t="s">
        <v>470</v>
      </c>
      <c r="I163" t="s">
        <v>475</v>
      </c>
      <c r="J163">
        <v>1000000</v>
      </c>
    </row>
    <row r="164" spans="1:10">
      <c r="A164" s="90" t="s">
        <v>216</v>
      </c>
      <c r="B164" s="87">
        <v>45686</v>
      </c>
      <c r="C164" t="s">
        <v>2333</v>
      </c>
      <c r="D164" t="s">
        <v>2110</v>
      </c>
      <c r="E164" t="s">
        <v>2334</v>
      </c>
      <c r="G164" t="s">
        <v>219</v>
      </c>
      <c r="H164" t="s">
        <v>470</v>
      </c>
      <c r="I164" t="s">
        <v>796</v>
      </c>
      <c r="J164">
        <v>364</v>
      </c>
    </row>
    <row r="165" spans="1:10">
      <c r="A165" s="90" t="s">
        <v>216</v>
      </c>
      <c r="B165" s="87">
        <v>45686</v>
      </c>
      <c r="C165" t="s">
        <v>511</v>
      </c>
      <c r="D165" t="s">
        <v>2110</v>
      </c>
      <c r="E165" t="s">
        <v>512</v>
      </c>
      <c r="F165" t="s">
        <v>509</v>
      </c>
      <c r="G165" t="s">
        <v>474</v>
      </c>
      <c r="H165" t="s">
        <v>470</v>
      </c>
      <c r="I165" t="s">
        <v>475</v>
      </c>
      <c r="J165">
        <v>364</v>
      </c>
    </row>
    <row r="166" spans="1:10">
      <c r="A166" s="90" t="s">
        <v>216</v>
      </c>
      <c r="B166" s="87">
        <v>45687</v>
      </c>
      <c r="C166" t="s">
        <v>2335</v>
      </c>
      <c r="D166" t="s">
        <v>2110</v>
      </c>
      <c r="E166" t="s">
        <v>1756</v>
      </c>
      <c r="F166" t="s">
        <v>2314</v>
      </c>
      <c r="G166" t="s">
        <v>67</v>
      </c>
      <c r="H166" t="s">
        <v>470</v>
      </c>
      <c r="I166" t="s">
        <v>796</v>
      </c>
      <c r="J166">
        <v>24.55</v>
      </c>
    </row>
    <row r="167" spans="1:10">
      <c r="A167" s="90" t="s">
        <v>216</v>
      </c>
      <c r="B167" s="87">
        <v>45687</v>
      </c>
      <c r="C167" t="s">
        <v>2336</v>
      </c>
      <c r="D167" t="s">
        <v>2110</v>
      </c>
      <c r="E167" t="s">
        <v>480</v>
      </c>
      <c r="F167" t="s">
        <v>509</v>
      </c>
      <c r="G167" t="s">
        <v>71</v>
      </c>
      <c r="H167" t="s">
        <v>2264</v>
      </c>
      <c r="I167" t="s">
        <v>475</v>
      </c>
      <c r="J167">
        <v>2314</v>
      </c>
    </row>
    <row r="168" spans="1:10">
      <c r="A168" s="90" t="s">
        <v>216</v>
      </c>
      <c r="B168" s="87">
        <v>45687</v>
      </c>
      <c r="C168" t="s">
        <v>2331</v>
      </c>
      <c r="D168" t="s">
        <v>2110</v>
      </c>
      <c r="E168" t="s">
        <v>535</v>
      </c>
      <c r="F168" t="s">
        <v>2332</v>
      </c>
      <c r="G168" t="s">
        <v>537</v>
      </c>
      <c r="H168" t="s">
        <v>470</v>
      </c>
      <c r="I168" t="s">
        <v>475</v>
      </c>
      <c r="J168">
        <v>300000</v>
      </c>
    </row>
    <row r="169" spans="1:10">
      <c r="A169" s="90" t="s">
        <v>216</v>
      </c>
      <c r="B169" s="87">
        <v>45687</v>
      </c>
      <c r="C169" t="s">
        <v>511</v>
      </c>
      <c r="D169" t="s">
        <v>2110</v>
      </c>
      <c r="E169" t="s">
        <v>512</v>
      </c>
      <c r="F169" t="s">
        <v>509</v>
      </c>
      <c r="G169" t="s">
        <v>474</v>
      </c>
      <c r="H169" t="s">
        <v>470</v>
      </c>
      <c r="I169" t="s">
        <v>475</v>
      </c>
      <c r="J169">
        <v>302338.55</v>
      </c>
    </row>
    <row r="170" spans="1:10">
      <c r="A170" s="90" t="s">
        <v>216</v>
      </c>
      <c r="B170" s="87">
        <v>45688</v>
      </c>
      <c r="C170" t="s">
        <v>2337</v>
      </c>
      <c r="D170" t="s">
        <v>2110</v>
      </c>
      <c r="E170" t="s">
        <v>2338</v>
      </c>
      <c r="F170" t="s">
        <v>509</v>
      </c>
      <c r="G170" t="s">
        <v>70</v>
      </c>
      <c r="H170" t="s">
        <v>470</v>
      </c>
      <c r="I170" t="s">
        <v>796</v>
      </c>
      <c r="J170">
        <v>273.29000000000002</v>
      </c>
    </row>
    <row r="171" spans="1:10">
      <c r="A171" s="90" t="s">
        <v>216</v>
      </c>
      <c r="B171" s="87">
        <v>45688</v>
      </c>
      <c r="C171" t="s">
        <v>2339</v>
      </c>
      <c r="D171" t="s">
        <v>2110</v>
      </c>
      <c r="E171" t="s">
        <v>2340</v>
      </c>
      <c r="F171" t="s">
        <v>531</v>
      </c>
      <c r="G171" t="s">
        <v>2125</v>
      </c>
      <c r="H171" t="s">
        <v>470</v>
      </c>
      <c r="I171" t="s">
        <v>487</v>
      </c>
      <c r="J171">
        <v>14002.46</v>
      </c>
    </row>
    <row r="172" spans="1:10">
      <c r="A172" s="90" t="s">
        <v>216</v>
      </c>
      <c r="B172" s="87">
        <v>45688</v>
      </c>
      <c r="C172" t="s">
        <v>2341</v>
      </c>
      <c r="D172" t="s">
        <v>2110</v>
      </c>
      <c r="E172" t="s">
        <v>480</v>
      </c>
      <c r="F172" t="s">
        <v>533</v>
      </c>
      <c r="G172" t="s">
        <v>2125</v>
      </c>
      <c r="H172" t="s">
        <v>470</v>
      </c>
      <c r="I172" t="s">
        <v>487</v>
      </c>
      <c r="J172">
        <v>9958</v>
      </c>
    </row>
    <row r="173" spans="1:10">
      <c r="A173" s="90" t="s">
        <v>216</v>
      </c>
      <c r="B173" s="87">
        <v>45688</v>
      </c>
      <c r="C173" t="s">
        <v>2342</v>
      </c>
      <c r="D173" t="s">
        <v>2110</v>
      </c>
      <c r="E173" t="s">
        <v>480</v>
      </c>
      <c r="F173" t="s">
        <v>523</v>
      </c>
      <c r="G173" t="s">
        <v>2125</v>
      </c>
      <c r="H173" t="s">
        <v>470</v>
      </c>
      <c r="I173" t="s">
        <v>487</v>
      </c>
      <c r="J173">
        <v>11888.4</v>
      </c>
    </row>
    <row r="174" spans="1:10">
      <c r="A174" s="90" t="s">
        <v>216</v>
      </c>
      <c r="B174" s="87">
        <v>45688</v>
      </c>
      <c r="C174" t="s">
        <v>2343</v>
      </c>
      <c r="D174" t="s">
        <v>2110</v>
      </c>
      <c r="E174" t="s">
        <v>2340</v>
      </c>
      <c r="F174" t="s">
        <v>531</v>
      </c>
      <c r="G174" t="s">
        <v>2125</v>
      </c>
      <c r="H174" t="s">
        <v>470</v>
      </c>
      <c r="I174" t="s">
        <v>487</v>
      </c>
      <c r="J174">
        <v>1615.42</v>
      </c>
    </row>
    <row r="175" spans="1:10">
      <c r="A175" s="90" t="s">
        <v>216</v>
      </c>
      <c r="B175" s="87">
        <v>45688</v>
      </c>
      <c r="C175" t="s">
        <v>2344</v>
      </c>
      <c r="D175" t="s">
        <v>2110</v>
      </c>
      <c r="E175" t="s">
        <v>480</v>
      </c>
      <c r="F175" t="s">
        <v>533</v>
      </c>
      <c r="G175" t="s">
        <v>2125</v>
      </c>
      <c r="H175" t="s">
        <v>470</v>
      </c>
      <c r="I175" t="s">
        <v>487</v>
      </c>
      <c r="J175">
        <v>498</v>
      </c>
    </row>
    <row r="176" spans="1:10">
      <c r="A176" s="90" t="s">
        <v>216</v>
      </c>
      <c r="B176" s="87">
        <v>45688</v>
      </c>
      <c r="C176" t="s">
        <v>2345</v>
      </c>
      <c r="D176" t="s">
        <v>2110</v>
      </c>
      <c r="E176" t="s">
        <v>480</v>
      </c>
      <c r="F176" t="s">
        <v>533</v>
      </c>
      <c r="G176" t="s">
        <v>2125</v>
      </c>
      <c r="H176" t="s">
        <v>470</v>
      </c>
      <c r="I176" t="s">
        <v>487</v>
      </c>
      <c r="J176">
        <v>729.98</v>
      </c>
    </row>
    <row r="177" spans="1:10">
      <c r="A177" s="90" t="s">
        <v>216</v>
      </c>
      <c r="B177" s="87">
        <v>45688</v>
      </c>
      <c r="C177" t="s">
        <v>2345</v>
      </c>
      <c r="D177" t="s">
        <v>2110</v>
      </c>
      <c r="E177" t="s">
        <v>480</v>
      </c>
      <c r="F177" t="s">
        <v>533</v>
      </c>
      <c r="G177" t="s">
        <v>2125</v>
      </c>
      <c r="H177" t="s">
        <v>470</v>
      </c>
      <c r="I177" t="s">
        <v>487</v>
      </c>
      <c r="J177">
        <v>0.3</v>
      </c>
    </row>
    <row r="178" spans="1:10">
      <c r="A178" s="90" t="s">
        <v>216</v>
      </c>
      <c r="B178" s="87">
        <v>45688</v>
      </c>
      <c r="C178" t="s">
        <v>2346</v>
      </c>
      <c r="D178" t="s">
        <v>2110</v>
      </c>
      <c r="E178" t="s">
        <v>480</v>
      </c>
      <c r="F178" t="s">
        <v>509</v>
      </c>
      <c r="G178" t="s">
        <v>72</v>
      </c>
      <c r="H178" t="s">
        <v>470</v>
      </c>
      <c r="I178" t="s">
        <v>475</v>
      </c>
      <c r="J178">
        <v>1294.71</v>
      </c>
    </row>
    <row r="179" spans="1:10">
      <c r="A179" s="90" t="s">
        <v>216</v>
      </c>
      <c r="B179" s="87">
        <v>45688</v>
      </c>
      <c r="C179" t="s">
        <v>2346</v>
      </c>
      <c r="D179" t="s">
        <v>2110</v>
      </c>
      <c r="E179" t="s">
        <v>480</v>
      </c>
      <c r="F179" t="s">
        <v>509</v>
      </c>
      <c r="G179" t="s">
        <v>58</v>
      </c>
      <c r="H179" t="s">
        <v>470</v>
      </c>
      <c r="I179" t="s">
        <v>475</v>
      </c>
      <c r="J179">
        <v>1644.83</v>
      </c>
    </row>
    <row r="180" spans="1:10">
      <c r="A180" s="90" t="s">
        <v>216</v>
      </c>
      <c r="B180" s="87">
        <v>45688</v>
      </c>
      <c r="C180" t="s">
        <v>2346</v>
      </c>
      <c r="D180" t="s">
        <v>2110</v>
      </c>
      <c r="E180" t="s">
        <v>480</v>
      </c>
      <c r="F180" t="s">
        <v>509</v>
      </c>
      <c r="G180" t="s">
        <v>182</v>
      </c>
      <c r="H180" t="s">
        <v>470</v>
      </c>
      <c r="I180" t="s">
        <v>475</v>
      </c>
      <c r="J180">
        <v>593.41999999999996</v>
      </c>
    </row>
    <row r="181" spans="1:10">
      <c r="A181" s="90" t="s">
        <v>216</v>
      </c>
      <c r="B181" s="87">
        <v>45688</v>
      </c>
      <c r="C181" t="s">
        <v>2346</v>
      </c>
      <c r="D181" t="s">
        <v>2110</v>
      </c>
      <c r="E181" t="s">
        <v>480</v>
      </c>
      <c r="F181" t="s">
        <v>509</v>
      </c>
      <c r="G181" t="s">
        <v>62</v>
      </c>
      <c r="H181" t="s">
        <v>470</v>
      </c>
      <c r="I181" t="s">
        <v>475</v>
      </c>
      <c r="J181">
        <v>1510</v>
      </c>
    </row>
    <row r="182" spans="1:10">
      <c r="A182" s="90" t="s">
        <v>216</v>
      </c>
      <c r="B182" s="87">
        <v>45688</v>
      </c>
      <c r="C182" t="s">
        <v>2346</v>
      </c>
      <c r="D182" t="s">
        <v>2110</v>
      </c>
      <c r="E182" t="s">
        <v>480</v>
      </c>
      <c r="F182" t="s">
        <v>509</v>
      </c>
      <c r="G182" t="s">
        <v>222</v>
      </c>
      <c r="H182" t="s">
        <v>470</v>
      </c>
      <c r="I182" t="s">
        <v>475</v>
      </c>
      <c r="J182">
        <v>180</v>
      </c>
    </row>
    <row r="183" spans="1:10">
      <c r="A183" s="90" t="s">
        <v>216</v>
      </c>
      <c r="B183" s="87">
        <v>45688</v>
      </c>
      <c r="C183" t="s">
        <v>2275</v>
      </c>
      <c r="D183" t="s">
        <v>2110</v>
      </c>
      <c r="E183" t="s">
        <v>477</v>
      </c>
      <c r="F183" t="s">
        <v>509</v>
      </c>
      <c r="G183" t="s">
        <v>74</v>
      </c>
      <c r="H183" t="s">
        <v>470</v>
      </c>
      <c r="I183" t="s">
        <v>471</v>
      </c>
      <c r="J183">
        <v>10</v>
      </c>
    </row>
    <row r="184" spans="1:10">
      <c r="A184" s="90" t="s">
        <v>216</v>
      </c>
      <c r="B184" s="87">
        <v>45688</v>
      </c>
      <c r="C184" t="s">
        <v>517</v>
      </c>
      <c r="D184" t="s">
        <v>2110</v>
      </c>
      <c r="E184" t="s">
        <v>512</v>
      </c>
      <c r="F184" t="s">
        <v>509</v>
      </c>
      <c r="G184" t="s">
        <v>474</v>
      </c>
      <c r="H184" t="s">
        <v>470</v>
      </c>
      <c r="I184" t="s">
        <v>475</v>
      </c>
      <c r="J184">
        <v>14140.45</v>
      </c>
    </row>
    <row r="185" spans="1:10">
      <c r="A185" s="90" t="s">
        <v>216</v>
      </c>
      <c r="B185" s="87">
        <v>45688</v>
      </c>
      <c r="C185" t="s">
        <v>2347</v>
      </c>
      <c r="D185" t="s">
        <v>2110</v>
      </c>
      <c r="E185" t="s">
        <v>477</v>
      </c>
      <c r="F185" t="s">
        <v>509</v>
      </c>
      <c r="G185" t="s">
        <v>68</v>
      </c>
      <c r="H185" t="s">
        <v>470</v>
      </c>
      <c r="I185" t="s">
        <v>471</v>
      </c>
      <c r="J185">
        <v>6045.54</v>
      </c>
    </row>
    <row r="186" spans="1:10">
      <c r="A186" s="90" t="s">
        <v>216</v>
      </c>
      <c r="B186" s="87">
        <v>45688</v>
      </c>
      <c r="C186" t="s">
        <v>2348</v>
      </c>
      <c r="D186" t="s">
        <v>2110</v>
      </c>
      <c r="E186" t="s">
        <v>477</v>
      </c>
      <c r="F186" t="s">
        <v>509</v>
      </c>
      <c r="G186" t="s">
        <v>66</v>
      </c>
      <c r="H186" t="s">
        <v>470</v>
      </c>
      <c r="I186" t="s">
        <v>471</v>
      </c>
      <c r="J186">
        <v>2409.29</v>
      </c>
    </row>
    <row r="187" spans="1:10">
      <c r="A187" s="90" t="s">
        <v>216</v>
      </c>
      <c r="B187" s="87">
        <v>45688</v>
      </c>
      <c r="C187" t="s">
        <v>2347</v>
      </c>
      <c r="D187" t="s">
        <v>2110</v>
      </c>
      <c r="E187" t="s">
        <v>477</v>
      </c>
      <c r="F187" t="s">
        <v>509</v>
      </c>
      <c r="G187" t="s">
        <v>68</v>
      </c>
      <c r="H187" t="s">
        <v>470</v>
      </c>
      <c r="I187" t="s">
        <v>471</v>
      </c>
      <c r="J187">
        <v>3.47</v>
      </c>
    </row>
    <row r="188" spans="1:10">
      <c r="A188" s="90" t="s">
        <v>216</v>
      </c>
      <c r="B188" s="87">
        <v>45688</v>
      </c>
      <c r="C188" t="s">
        <v>2348</v>
      </c>
      <c r="D188" t="s">
        <v>2110</v>
      </c>
      <c r="E188" t="s">
        <v>477</v>
      </c>
      <c r="F188" t="s">
        <v>509</v>
      </c>
      <c r="G188" t="s">
        <v>66</v>
      </c>
      <c r="H188" t="s">
        <v>470</v>
      </c>
      <c r="I188" t="s">
        <v>471</v>
      </c>
      <c r="J188">
        <v>118.59</v>
      </c>
    </row>
    <row r="189" spans="1:10">
      <c r="A189" s="90" t="s">
        <v>216</v>
      </c>
      <c r="B189" s="87">
        <v>45689</v>
      </c>
      <c r="C189" t="s">
        <v>526</v>
      </c>
      <c r="D189" t="s">
        <v>2110</v>
      </c>
      <c r="E189" t="s">
        <v>512</v>
      </c>
      <c r="F189" t="s">
        <v>527</v>
      </c>
      <c r="G189" t="s">
        <v>474</v>
      </c>
      <c r="H189" t="s">
        <v>470</v>
      </c>
      <c r="I189" t="s">
        <v>475</v>
      </c>
      <c r="J189">
        <v>0.01</v>
      </c>
    </row>
    <row r="190" spans="1:10">
      <c r="A190" s="90" t="s">
        <v>216</v>
      </c>
      <c r="B190" s="87">
        <v>45691</v>
      </c>
      <c r="C190" t="s">
        <v>2349</v>
      </c>
      <c r="D190" t="s">
        <v>2110</v>
      </c>
      <c r="E190" t="s">
        <v>2262</v>
      </c>
      <c r="F190" t="s">
        <v>2350</v>
      </c>
      <c r="G190" t="s">
        <v>73</v>
      </c>
      <c r="H190" t="s">
        <v>2351</v>
      </c>
      <c r="I190" t="s">
        <v>796</v>
      </c>
      <c r="J190">
        <v>633.01</v>
      </c>
    </row>
    <row r="191" spans="1:10">
      <c r="A191" s="90" t="s">
        <v>216</v>
      </c>
      <c r="B191" s="87">
        <v>45691</v>
      </c>
      <c r="C191" t="s">
        <v>2267</v>
      </c>
      <c r="D191" t="s">
        <v>2110</v>
      </c>
      <c r="E191" t="s">
        <v>477</v>
      </c>
      <c r="F191" t="s">
        <v>2268</v>
      </c>
      <c r="G191" t="s">
        <v>2269</v>
      </c>
      <c r="H191" t="s">
        <v>2352</v>
      </c>
      <c r="I191" t="s">
        <v>471</v>
      </c>
      <c r="J191">
        <v>750</v>
      </c>
    </row>
    <row r="192" spans="1:10">
      <c r="A192" s="90" t="s">
        <v>216</v>
      </c>
      <c r="B192" s="87">
        <v>45691</v>
      </c>
      <c r="C192" t="s">
        <v>2267</v>
      </c>
      <c r="D192" t="s">
        <v>2110</v>
      </c>
      <c r="E192" t="s">
        <v>477</v>
      </c>
      <c r="F192" t="s">
        <v>2268</v>
      </c>
      <c r="G192" t="s">
        <v>2269</v>
      </c>
      <c r="H192" t="s">
        <v>2352</v>
      </c>
      <c r="I192" t="s">
        <v>471</v>
      </c>
      <c r="J192">
        <v>1125</v>
      </c>
    </row>
    <row r="193" spans="1:10">
      <c r="A193" s="90" t="s">
        <v>216</v>
      </c>
      <c r="B193" s="87">
        <v>45691</v>
      </c>
      <c r="C193" t="s">
        <v>2267</v>
      </c>
      <c r="D193" t="s">
        <v>2110</v>
      </c>
      <c r="E193" t="s">
        <v>477</v>
      </c>
      <c r="F193" t="s">
        <v>2268</v>
      </c>
      <c r="G193" t="s">
        <v>2269</v>
      </c>
      <c r="H193" t="s">
        <v>2352</v>
      </c>
      <c r="I193" t="s">
        <v>471</v>
      </c>
      <c r="J193">
        <v>1200</v>
      </c>
    </row>
    <row r="194" spans="1:10">
      <c r="A194" s="90" t="s">
        <v>216</v>
      </c>
      <c r="B194" s="87">
        <v>45691</v>
      </c>
      <c r="C194" t="s">
        <v>2267</v>
      </c>
      <c r="D194" t="s">
        <v>2110</v>
      </c>
      <c r="E194" t="s">
        <v>477</v>
      </c>
      <c r="F194" t="s">
        <v>2268</v>
      </c>
      <c r="G194" t="s">
        <v>2271</v>
      </c>
      <c r="H194" t="s">
        <v>2352</v>
      </c>
      <c r="I194" t="s">
        <v>471</v>
      </c>
      <c r="J194">
        <v>132.05000000000001</v>
      </c>
    </row>
    <row r="195" spans="1:10">
      <c r="A195" s="90" t="s">
        <v>216</v>
      </c>
      <c r="B195" s="87">
        <v>45691</v>
      </c>
      <c r="C195" t="s">
        <v>2353</v>
      </c>
      <c r="D195" t="s">
        <v>2110</v>
      </c>
      <c r="E195" t="s">
        <v>477</v>
      </c>
      <c r="F195" t="s">
        <v>2273</v>
      </c>
      <c r="G195" t="s">
        <v>2269</v>
      </c>
      <c r="H195" t="s">
        <v>2354</v>
      </c>
      <c r="I195" t="s">
        <v>471</v>
      </c>
      <c r="J195">
        <v>10125</v>
      </c>
    </row>
    <row r="196" spans="1:10">
      <c r="A196" s="90" t="s">
        <v>216</v>
      </c>
      <c r="B196" s="87">
        <v>45691</v>
      </c>
      <c r="C196" t="s">
        <v>2353</v>
      </c>
      <c r="D196" t="s">
        <v>2110</v>
      </c>
      <c r="E196" t="s">
        <v>477</v>
      </c>
      <c r="F196" t="s">
        <v>2273</v>
      </c>
      <c r="G196" t="s">
        <v>2271</v>
      </c>
      <c r="H196" t="s">
        <v>2354</v>
      </c>
      <c r="I196" t="s">
        <v>471</v>
      </c>
      <c r="J196">
        <v>1161.3900000000001</v>
      </c>
    </row>
    <row r="197" spans="1:10">
      <c r="A197" s="90" t="s">
        <v>216</v>
      </c>
      <c r="B197" s="87">
        <v>45691</v>
      </c>
      <c r="C197" t="s">
        <v>2275</v>
      </c>
      <c r="D197" t="s">
        <v>2110</v>
      </c>
      <c r="E197" t="s">
        <v>477</v>
      </c>
      <c r="F197" t="s">
        <v>527</v>
      </c>
      <c r="G197" t="s">
        <v>74</v>
      </c>
      <c r="H197" t="s">
        <v>470</v>
      </c>
      <c r="I197" t="s">
        <v>471</v>
      </c>
      <c r="J197">
        <v>15</v>
      </c>
    </row>
    <row r="198" spans="1:10">
      <c r="A198" s="90" t="s">
        <v>216</v>
      </c>
      <c r="B198" s="87">
        <v>45691</v>
      </c>
      <c r="C198" t="s">
        <v>517</v>
      </c>
      <c r="D198" t="s">
        <v>2110</v>
      </c>
      <c r="E198" t="s">
        <v>512</v>
      </c>
      <c r="F198" t="s">
        <v>527</v>
      </c>
      <c r="G198" t="s">
        <v>474</v>
      </c>
      <c r="H198" t="s">
        <v>470</v>
      </c>
      <c r="I198" t="s">
        <v>475</v>
      </c>
      <c r="J198">
        <v>399351.99</v>
      </c>
    </row>
    <row r="199" spans="1:10">
      <c r="A199" s="90" t="s">
        <v>216</v>
      </c>
      <c r="B199" s="87">
        <v>45691</v>
      </c>
      <c r="C199" t="s">
        <v>511</v>
      </c>
      <c r="D199" t="s">
        <v>2110</v>
      </c>
      <c r="E199" t="s">
        <v>512</v>
      </c>
      <c r="F199" t="s">
        <v>527</v>
      </c>
      <c r="G199" t="s">
        <v>474</v>
      </c>
      <c r="H199" t="s">
        <v>470</v>
      </c>
      <c r="I199" t="s">
        <v>475</v>
      </c>
      <c r="J199">
        <v>244005.38</v>
      </c>
    </row>
    <row r="200" spans="1:10">
      <c r="A200" s="90" t="s">
        <v>216</v>
      </c>
      <c r="B200" s="87">
        <v>45692</v>
      </c>
      <c r="C200" t="s">
        <v>2355</v>
      </c>
      <c r="D200" t="s">
        <v>2110</v>
      </c>
      <c r="E200" t="s">
        <v>1137</v>
      </c>
      <c r="F200" t="s">
        <v>2356</v>
      </c>
      <c r="G200" t="s">
        <v>61</v>
      </c>
      <c r="H200" t="s">
        <v>2264</v>
      </c>
      <c r="I200" t="s">
        <v>487</v>
      </c>
      <c r="J200">
        <v>1518</v>
      </c>
    </row>
    <row r="201" spans="1:10">
      <c r="A201" s="90" t="s">
        <v>216</v>
      </c>
      <c r="B201" s="87">
        <v>45692</v>
      </c>
      <c r="C201" t="s">
        <v>2357</v>
      </c>
      <c r="D201" t="s">
        <v>2110</v>
      </c>
      <c r="E201" t="s">
        <v>2283</v>
      </c>
      <c r="F201" t="s">
        <v>2358</v>
      </c>
      <c r="G201" t="s">
        <v>77</v>
      </c>
      <c r="H201" t="s">
        <v>2359</v>
      </c>
      <c r="I201" t="s">
        <v>487</v>
      </c>
      <c r="J201">
        <v>2250</v>
      </c>
    </row>
    <row r="202" spans="1:10">
      <c r="A202" s="90" t="s">
        <v>216</v>
      </c>
      <c r="B202" s="87">
        <v>45692</v>
      </c>
      <c r="C202" t="s">
        <v>2360</v>
      </c>
      <c r="D202" t="s">
        <v>2110</v>
      </c>
      <c r="E202" t="s">
        <v>508</v>
      </c>
      <c r="F202" t="s">
        <v>527</v>
      </c>
      <c r="G202" t="s">
        <v>529</v>
      </c>
      <c r="H202" t="s">
        <v>470</v>
      </c>
      <c r="I202" t="s">
        <v>540</v>
      </c>
      <c r="J202">
        <v>400000</v>
      </c>
    </row>
    <row r="203" spans="1:10">
      <c r="A203" s="90" t="s">
        <v>216</v>
      </c>
      <c r="B203" s="87">
        <v>45692</v>
      </c>
      <c r="C203" t="s">
        <v>2275</v>
      </c>
      <c r="D203" t="s">
        <v>2110</v>
      </c>
      <c r="E203" t="s">
        <v>477</v>
      </c>
      <c r="F203" t="s">
        <v>527</v>
      </c>
      <c r="G203" t="s">
        <v>74</v>
      </c>
      <c r="H203" t="s">
        <v>470</v>
      </c>
      <c r="I203" t="s">
        <v>471</v>
      </c>
      <c r="J203">
        <v>20</v>
      </c>
    </row>
    <row r="204" spans="1:10">
      <c r="A204" s="90" t="s">
        <v>216</v>
      </c>
      <c r="B204" s="87">
        <v>45692</v>
      </c>
      <c r="C204" t="s">
        <v>511</v>
      </c>
      <c r="D204" t="s">
        <v>2110</v>
      </c>
      <c r="E204" t="s">
        <v>512</v>
      </c>
      <c r="F204" t="s">
        <v>527</v>
      </c>
      <c r="G204" t="s">
        <v>474</v>
      </c>
      <c r="H204" t="s">
        <v>470</v>
      </c>
      <c r="I204" t="s">
        <v>475</v>
      </c>
      <c r="J204">
        <v>403788</v>
      </c>
    </row>
    <row r="205" spans="1:10">
      <c r="A205" s="90" t="s">
        <v>216</v>
      </c>
      <c r="B205" s="87">
        <v>45693</v>
      </c>
      <c r="C205" t="s">
        <v>2361</v>
      </c>
      <c r="D205" t="s">
        <v>2110</v>
      </c>
      <c r="E205" t="s">
        <v>2277</v>
      </c>
      <c r="F205" t="s">
        <v>2362</v>
      </c>
      <c r="G205" t="s">
        <v>65</v>
      </c>
      <c r="H205" t="s">
        <v>2264</v>
      </c>
      <c r="I205" t="s">
        <v>796</v>
      </c>
      <c r="J205">
        <v>181.04</v>
      </c>
    </row>
    <row r="206" spans="1:10">
      <c r="A206" s="90" t="s">
        <v>216</v>
      </c>
      <c r="B206" s="87">
        <v>45693</v>
      </c>
      <c r="C206" t="s">
        <v>2363</v>
      </c>
      <c r="D206" t="s">
        <v>2110</v>
      </c>
      <c r="E206" t="s">
        <v>2303</v>
      </c>
      <c r="F206" t="s">
        <v>533</v>
      </c>
      <c r="G206" t="s">
        <v>2112</v>
      </c>
      <c r="H206" t="s">
        <v>470</v>
      </c>
      <c r="I206" t="s">
        <v>475</v>
      </c>
      <c r="J206">
        <v>1621.33</v>
      </c>
    </row>
    <row r="207" spans="1:10">
      <c r="A207" s="90" t="s">
        <v>216</v>
      </c>
      <c r="B207" s="87">
        <v>45693</v>
      </c>
      <c r="C207" t="s">
        <v>2275</v>
      </c>
      <c r="D207" t="s">
        <v>2110</v>
      </c>
      <c r="E207" t="s">
        <v>477</v>
      </c>
      <c r="F207" t="s">
        <v>527</v>
      </c>
      <c r="G207" t="s">
        <v>74</v>
      </c>
      <c r="H207" t="s">
        <v>470</v>
      </c>
      <c r="I207" t="s">
        <v>471</v>
      </c>
      <c r="J207">
        <v>5</v>
      </c>
    </row>
    <row r="208" spans="1:10">
      <c r="A208" s="90" t="s">
        <v>216</v>
      </c>
      <c r="B208" s="87">
        <v>45693</v>
      </c>
      <c r="C208" t="s">
        <v>2364</v>
      </c>
      <c r="D208" t="s">
        <v>2110</v>
      </c>
      <c r="E208" t="s">
        <v>480</v>
      </c>
      <c r="F208" t="s">
        <v>527</v>
      </c>
      <c r="G208" t="s">
        <v>71</v>
      </c>
      <c r="H208" t="s">
        <v>470</v>
      </c>
      <c r="I208" t="s">
        <v>475</v>
      </c>
      <c r="J208">
        <v>10000</v>
      </c>
    </row>
    <row r="209" spans="1:10">
      <c r="A209" s="90" t="s">
        <v>216</v>
      </c>
      <c r="B209" s="87">
        <v>45693</v>
      </c>
      <c r="C209" t="s">
        <v>511</v>
      </c>
      <c r="D209" t="s">
        <v>2110</v>
      </c>
      <c r="E209" t="s">
        <v>512</v>
      </c>
      <c r="F209" t="s">
        <v>527</v>
      </c>
      <c r="G209" t="s">
        <v>474</v>
      </c>
      <c r="H209" t="s">
        <v>470</v>
      </c>
      <c r="I209" t="s">
        <v>475</v>
      </c>
      <c r="J209">
        <v>9705.26</v>
      </c>
    </row>
    <row r="210" spans="1:10">
      <c r="A210" s="90" t="s">
        <v>216</v>
      </c>
      <c r="B210" s="87">
        <v>45693</v>
      </c>
      <c r="C210" t="s">
        <v>511</v>
      </c>
      <c r="D210" t="s">
        <v>2110</v>
      </c>
      <c r="E210" t="s">
        <v>512</v>
      </c>
      <c r="F210" t="s">
        <v>527</v>
      </c>
      <c r="G210" t="s">
        <v>474</v>
      </c>
      <c r="H210" t="s">
        <v>470</v>
      </c>
      <c r="I210" t="s">
        <v>475</v>
      </c>
      <c r="J210">
        <v>2102.11</v>
      </c>
    </row>
    <row r="211" spans="1:10">
      <c r="A211" s="90" t="s">
        <v>216</v>
      </c>
      <c r="B211" s="87">
        <v>45694</v>
      </c>
      <c r="C211" t="s">
        <v>2365</v>
      </c>
      <c r="D211" t="s">
        <v>2110</v>
      </c>
      <c r="E211" t="s">
        <v>2366</v>
      </c>
      <c r="F211" t="s">
        <v>2367</v>
      </c>
      <c r="G211" t="s">
        <v>219</v>
      </c>
      <c r="H211" t="s">
        <v>470</v>
      </c>
      <c r="I211" t="s">
        <v>796</v>
      </c>
      <c r="J211">
        <v>81.38</v>
      </c>
    </row>
    <row r="212" spans="1:10">
      <c r="A212" s="90" t="s">
        <v>216</v>
      </c>
      <c r="B212" s="87">
        <v>45694</v>
      </c>
      <c r="C212" t="s">
        <v>2331</v>
      </c>
      <c r="D212" t="s">
        <v>2110</v>
      </c>
      <c r="E212" t="s">
        <v>477</v>
      </c>
      <c r="F212" t="s">
        <v>2332</v>
      </c>
      <c r="G212" t="s">
        <v>537</v>
      </c>
      <c r="H212" t="s">
        <v>470</v>
      </c>
      <c r="I212" t="s">
        <v>475</v>
      </c>
      <c r="J212">
        <v>250000</v>
      </c>
    </row>
    <row r="213" spans="1:10">
      <c r="A213" s="90" t="s">
        <v>216</v>
      </c>
      <c r="B213" s="87">
        <v>45695</v>
      </c>
      <c r="C213" t="s">
        <v>517</v>
      </c>
      <c r="D213" t="s">
        <v>2110</v>
      </c>
      <c r="E213" t="s">
        <v>512</v>
      </c>
      <c r="F213" t="s">
        <v>527</v>
      </c>
      <c r="G213" t="s">
        <v>474</v>
      </c>
      <c r="H213" t="s">
        <v>470</v>
      </c>
      <c r="I213" t="s">
        <v>475</v>
      </c>
      <c r="J213">
        <v>56004</v>
      </c>
    </row>
    <row r="214" spans="1:10">
      <c r="A214" s="90" t="s">
        <v>216</v>
      </c>
      <c r="B214" s="87">
        <v>45698</v>
      </c>
      <c r="C214" t="s">
        <v>2368</v>
      </c>
      <c r="D214" t="s">
        <v>2110</v>
      </c>
      <c r="E214" t="s">
        <v>2287</v>
      </c>
      <c r="F214" t="s">
        <v>2369</v>
      </c>
      <c r="G214" t="s">
        <v>63</v>
      </c>
      <c r="H214" t="s">
        <v>2351</v>
      </c>
      <c r="I214" t="s">
        <v>796</v>
      </c>
      <c r="J214">
        <v>821.95</v>
      </c>
    </row>
    <row r="215" spans="1:10">
      <c r="A215" s="90" t="s">
        <v>216</v>
      </c>
      <c r="B215" s="87">
        <v>45698</v>
      </c>
      <c r="C215" t="s">
        <v>2295</v>
      </c>
      <c r="D215" t="s">
        <v>2110</v>
      </c>
      <c r="E215" t="s">
        <v>477</v>
      </c>
      <c r="F215" t="s">
        <v>527</v>
      </c>
      <c r="G215" t="s">
        <v>2295</v>
      </c>
      <c r="H215" t="s">
        <v>470</v>
      </c>
      <c r="I215" t="s">
        <v>471</v>
      </c>
      <c r="J215">
        <v>2538.71</v>
      </c>
    </row>
    <row r="216" spans="1:10">
      <c r="A216" s="90" t="s">
        <v>216</v>
      </c>
      <c r="B216" s="87">
        <v>45698</v>
      </c>
      <c r="C216" t="s">
        <v>2370</v>
      </c>
      <c r="D216" t="s">
        <v>2110</v>
      </c>
      <c r="E216" t="s">
        <v>477</v>
      </c>
      <c r="F216" t="s">
        <v>514</v>
      </c>
      <c r="G216" t="s">
        <v>69</v>
      </c>
      <c r="H216" t="s">
        <v>470</v>
      </c>
      <c r="I216" t="s">
        <v>471</v>
      </c>
      <c r="J216">
        <v>36307.199999999997</v>
      </c>
    </row>
    <row r="217" spans="1:10">
      <c r="A217" s="90" t="s">
        <v>216</v>
      </c>
      <c r="B217" s="87">
        <v>45698</v>
      </c>
      <c r="C217" t="s">
        <v>2292</v>
      </c>
      <c r="D217" t="s">
        <v>2110</v>
      </c>
      <c r="E217" t="s">
        <v>477</v>
      </c>
      <c r="F217" t="s">
        <v>527</v>
      </c>
      <c r="G217" t="s">
        <v>74</v>
      </c>
      <c r="H217" t="s">
        <v>470</v>
      </c>
      <c r="I217" t="s">
        <v>471</v>
      </c>
      <c r="J217">
        <v>95</v>
      </c>
    </row>
    <row r="218" spans="1:10">
      <c r="A218" s="90" t="s">
        <v>216</v>
      </c>
      <c r="B218" s="87">
        <v>45698</v>
      </c>
      <c r="C218" t="s">
        <v>2293</v>
      </c>
      <c r="D218" t="s">
        <v>2110</v>
      </c>
      <c r="E218" t="s">
        <v>477</v>
      </c>
      <c r="F218" t="s">
        <v>527</v>
      </c>
      <c r="G218" t="s">
        <v>74</v>
      </c>
      <c r="H218" t="s">
        <v>470</v>
      </c>
      <c r="I218" t="s">
        <v>471</v>
      </c>
      <c r="J218">
        <v>204.1</v>
      </c>
    </row>
    <row r="219" spans="1:10">
      <c r="A219" s="90" t="s">
        <v>216</v>
      </c>
      <c r="B219" s="87">
        <v>45698</v>
      </c>
      <c r="C219" t="s">
        <v>511</v>
      </c>
      <c r="D219" t="s">
        <v>2110</v>
      </c>
      <c r="E219" t="s">
        <v>512</v>
      </c>
      <c r="F219" t="s">
        <v>527</v>
      </c>
      <c r="G219" t="s">
        <v>474</v>
      </c>
      <c r="H219" t="s">
        <v>470</v>
      </c>
      <c r="I219" t="s">
        <v>475</v>
      </c>
      <c r="J219">
        <v>39966.959999999999</v>
      </c>
    </row>
    <row r="220" spans="1:10">
      <c r="A220" s="90" t="s">
        <v>216</v>
      </c>
      <c r="B220" s="87">
        <v>45699</v>
      </c>
      <c r="C220" t="s">
        <v>2371</v>
      </c>
      <c r="D220" t="s">
        <v>2110</v>
      </c>
      <c r="E220" t="s">
        <v>2372</v>
      </c>
      <c r="F220" t="s">
        <v>527</v>
      </c>
      <c r="G220" t="s">
        <v>219</v>
      </c>
      <c r="H220" t="s">
        <v>2373</v>
      </c>
      <c r="I220" t="s">
        <v>796</v>
      </c>
      <c r="J220">
        <v>1360</v>
      </c>
    </row>
    <row r="221" spans="1:10">
      <c r="A221" s="90" t="s">
        <v>216</v>
      </c>
      <c r="B221" s="87">
        <v>45699</v>
      </c>
      <c r="C221" t="s">
        <v>2371</v>
      </c>
      <c r="D221" t="s">
        <v>2110</v>
      </c>
      <c r="E221" t="s">
        <v>2372</v>
      </c>
      <c r="F221" t="s">
        <v>527</v>
      </c>
      <c r="G221" t="s">
        <v>78</v>
      </c>
      <c r="H221" t="s">
        <v>2373</v>
      </c>
      <c r="I221" t="s">
        <v>796</v>
      </c>
      <c r="J221">
        <v>29.9</v>
      </c>
    </row>
    <row r="222" spans="1:10">
      <c r="A222" s="90" t="s">
        <v>216</v>
      </c>
      <c r="B222" s="87">
        <v>45699</v>
      </c>
      <c r="C222" t="s">
        <v>511</v>
      </c>
      <c r="D222" t="s">
        <v>2110</v>
      </c>
      <c r="E222" t="s">
        <v>512</v>
      </c>
      <c r="F222" t="s">
        <v>527</v>
      </c>
      <c r="G222" t="s">
        <v>474</v>
      </c>
      <c r="H222" t="s">
        <v>470</v>
      </c>
      <c r="I222" t="s">
        <v>475</v>
      </c>
      <c r="J222">
        <v>1389.9</v>
      </c>
    </row>
    <row r="223" spans="1:10">
      <c r="A223" s="90" t="s">
        <v>216</v>
      </c>
      <c r="B223" s="87">
        <v>45701</v>
      </c>
      <c r="C223" t="s">
        <v>517</v>
      </c>
      <c r="D223" t="s">
        <v>2110</v>
      </c>
      <c r="E223" t="s">
        <v>512</v>
      </c>
      <c r="F223" t="s">
        <v>527</v>
      </c>
      <c r="G223" t="s">
        <v>474</v>
      </c>
      <c r="H223" t="s">
        <v>470</v>
      </c>
      <c r="I223" t="s">
        <v>475</v>
      </c>
      <c r="J223">
        <v>45636</v>
      </c>
    </row>
    <row r="224" spans="1:10">
      <c r="A224" s="90" t="s">
        <v>216</v>
      </c>
      <c r="B224" s="87">
        <v>45702</v>
      </c>
      <c r="C224" t="s">
        <v>2374</v>
      </c>
      <c r="D224" t="s">
        <v>2110</v>
      </c>
      <c r="E224" t="s">
        <v>2316</v>
      </c>
      <c r="F224" t="s">
        <v>527</v>
      </c>
      <c r="G224" t="s">
        <v>217</v>
      </c>
      <c r="H224" t="s">
        <v>2351</v>
      </c>
      <c r="I224" t="s">
        <v>796</v>
      </c>
      <c r="J224">
        <v>102.75</v>
      </c>
    </row>
    <row r="225" spans="1:10">
      <c r="A225" s="90" t="s">
        <v>216</v>
      </c>
      <c r="B225" s="87">
        <v>45702</v>
      </c>
      <c r="C225" t="s">
        <v>511</v>
      </c>
      <c r="D225" t="s">
        <v>2110</v>
      </c>
      <c r="E225" t="s">
        <v>512</v>
      </c>
      <c r="F225" t="s">
        <v>527</v>
      </c>
      <c r="G225" t="s">
        <v>474</v>
      </c>
      <c r="H225" t="s">
        <v>470</v>
      </c>
      <c r="I225" t="s">
        <v>475</v>
      </c>
      <c r="J225">
        <v>102.75</v>
      </c>
    </row>
    <row r="226" spans="1:10">
      <c r="A226" s="90" t="s">
        <v>216</v>
      </c>
      <c r="B226" s="87">
        <v>45705</v>
      </c>
      <c r="C226" t="s">
        <v>2375</v>
      </c>
      <c r="D226" t="s">
        <v>2110</v>
      </c>
      <c r="E226" t="s">
        <v>2376</v>
      </c>
      <c r="F226" t="s">
        <v>235</v>
      </c>
      <c r="G226" t="s">
        <v>2112</v>
      </c>
      <c r="H226" t="s">
        <v>470</v>
      </c>
      <c r="I226" t="s">
        <v>540</v>
      </c>
      <c r="J226">
        <v>300000</v>
      </c>
    </row>
    <row r="227" spans="1:10">
      <c r="A227" s="90" t="s">
        <v>216</v>
      </c>
      <c r="B227" s="87">
        <v>45705</v>
      </c>
      <c r="C227" t="s">
        <v>2377</v>
      </c>
      <c r="D227" t="s">
        <v>2110</v>
      </c>
      <c r="E227" t="s">
        <v>2378</v>
      </c>
      <c r="F227" t="s">
        <v>274</v>
      </c>
      <c r="G227" t="s">
        <v>2112</v>
      </c>
      <c r="H227" t="s">
        <v>470</v>
      </c>
      <c r="I227" t="s">
        <v>796</v>
      </c>
      <c r="J227">
        <v>80000</v>
      </c>
    </row>
    <row r="228" spans="1:10">
      <c r="A228" s="90" t="s">
        <v>216</v>
      </c>
      <c r="B228" s="87">
        <v>45705</v>
      </c>
      <c r="C228" t="s">
        <v>2379</v>
      </c>
      <c r="D228" t="s">
        <v>2110</v>
      </c>
      <c r="E228" t="s">
        <v>2277</v>
      </c>
      <c r="F228" t="s">
        <v>2305</v>
      </c>
      <c r="G228" t="s">
        <v>226</v>
      </c>
      <c r="H228" t="s">
        <v>2264</v>
      </c>
      <c r="I228" t="s">
        <v>796</v>
      </c>
      <c r="J228">
        <v>134.94</v>
      </c>
    </row>
    <row r="229" spans="1:10">
      <c r="A229" s="90" t="s">
        <v>216</v>
      </c>
      <c r="B229" s="87">
        <v>45705</v>
      </c>
      <c r="C229" t="s">
        <v>511</v>
      </c>
      <c r="D229" t="s">
        <v>2110</v>
      </c>
      <c r="E229" t="s">
        <v>512</v>
      </c>
      <c r="F229" t="s">
        <v>527</v>
      </c>
      <c r="G229" t="s">
        <v>474</v>
      </c>
      <c r="H229" t="s">
        <v>470</v>
      </c>
      <c r="I229" t="s">
        <v>475</v>
      </c>
      <c r="J229">
        <v>60182.21</v>
      </c>
    </row>
    <row r="230" spans="1:10">
      <c r="A230" s="90" t="s">
        <v>216</v>
      </c>
      <c r="B230" s="87">
        <v>45705</v>
      </c>
      <c r="C230" t="s">
        <v>511</v>
      </c>
      <c r="D230" t="s">
        <v>2110</v>
      </c>
      <c r="E230" t="s">
        <v>512</v>
      </c>
      <c r="F230" t="s">
        <v>527</v>
      </c>
      <c r="G230" t="s">
        <v>474</v>
      </c>
      <c r="H230" t="s">
        <v>470</v>
      </c>
      <c r="I230" t="s">
        <v>475</v>
      </c>
      <c r="J230">
        <v>319952.73</v>
      </c>
    </row>
    <row r="231" spans="1:10">
      <c r="A231" s="90" t="s">
        <v>216</v>
      </c>
      <c r="B231" s="87">
        <v>45708</v>
      </c>
      <c r="C231" t="s">
        <v>2380</v>
      </c>
      <c r="D231" t="s">
        <v>2110</v>
      </c>
      <c r="E231" t="s">
        <v>2303</v>
      </c>
      <c r="F231" t="s">
        <v>212</v>
      </c>
      <c r="G231" t="s">
        <v>2381</v>
      </c>
      <c r="H231" t="s">
        <v>470</v>
      </c>
      <c r="I231" t="s">
        <v>796</v>
      </c>
      <c r="J231">
        <v>1665.75</v>
      </c>
    </row>
    <row r="232" spans="1:10">
      <c r="A232" s="90" t="s">
        <v>216</v>
      </c>
      <c r="B232" s="87">
        <v>45708</v>
      </c>
      <c r="C232" t="s">
        <v>517</v>
      </c>
      <c r="D232" t="s">
        <v>2110</v>
      </c>
      <c r="E232" t="s">
        <v>512</v>
      </c>
      <c r="F232" t="s">
        <v>527</v>
      </c>
      <c r="G232" t="s">
        <v>474</v>
      </c>
      <c r="H232" t="s">
        <v>470</v>
      </c>
      <c r="I232" t="s">
        <v>475</v>
      </c>
      <c r="J232">
        <v>1550000</v>
      </c>
    </row>
    <row r="233" spans="1:10">
      <c r="A233" s="90" t="s">
        <v>216</v>
      </c>
      <c r="B233" s="87">
        <v>45708</v>
      </c>
      <c r="C233" t="s">
        <v>2382</v>
      </c>
      <c r="D233" t="s">
        <v>2110</v>
      </c>
      <c r="E233" t="s">
        <v>2318</v>
      </c>
      <c r="F233" t="s">
        <v>509</v>
      </c>
      <c r="G233" t="s">
        <v>64</v>
      </c>
      <c r="H233" t="s">
        <v>2264</v>
      </c>
      <c r="I233" t="s">
        <v>796</v>
      </c>
      <c r="J233">
        <v>806</v>
      </c>
    </row>
    <row r="234" spans="1:10">
      <c r="A234" s="90" t="s">
        <v>216</v>
      </c>
      <c r="B234" s="87">
        <v>45708</v>
      </c>
      <c r="C234" t="s">
        <v>2383</v>
      </c>
      <c r="D234" t="s">
        <v>2110</v>
      </c>
      <c r="E234" t="s">
        <v>2376</v>
      </c>
      <c r="F234" t="s">
        <v>235</v>
      </c>
      <c r="G234" t="s">
        <v>2112</v>
      </c>
      <c r="H234" t="s">
        <v>470</v>
      </c>
      <c r="I234" t="s">
        <v>540</v>
      </c>
      <c r="J234">
        <v>257966.47</v>
      </c>
    </row>
    <row r="235" spans="1:10">
      <c r="A235" s="90" t="s">
        <v>216</v>
      </c>
      <c r="B235" s="87">
        <v>45708</v>
      </c>
      <c r="C235" t="s">
        <v>2384</v>
      </c>
      <c r="D235" t="s">
        <v>2110</v>
      </c>
      <c r="E235" t="s">
        <v>477</v>
      </c>
      <c r="F235" t="s">
        <v>2311</v>
      </c>
      <c r="G235" t="s">
        <v>515</v>
      </c>
      <c r="H235" t="s">
        <v>2385</v>
      </c>
      <c r="I235" t="s">
        <v>471</v>
      </c>
      <c r="J235">
        <v>55555.56</v>
      </c>
    </row>
    <row r="236" spans="1:10">
      <c r="A236" s="90" t="s">
        <v>216</v>
      </c>
      <c r="B236" s="87">
        <v>45708</v>
      </c>
      <c r="C236" t="s">
        <v>2384</v>
      </c>
      <c r="D236" t="s">
        <v>2110</v>
      </c>
      <c r="E236" t="s">
        <v>477</v>
      </c>
      <c r="F236" t="s">
        <v>2311</v>
      </c>
      <c r="G236" t="s">
        <v>69</v>
      </c>
      <c r="H236" t="s">
        <v>2385</v>
      </c>
      <c r="I236" t="s">
        <v>471</v>
      </c>
      <c r="J236">
        <v>6797.04</v>
      </c>
    </row>
    <row r="237" spans="1:10">
      <c r="A237" s="90" t="s">
        <v>216</v>
      </c>
      <c r="B237" s="87">
        <v>45708</v>
      </c>
      <c r="C237" t="s">
        <v>517</v>
      </c>
      <c r="D237" t="s">
        <v>2110</v>
      </c>
      <c r="E237" t="s">
        <v>512</v>
      </c>
      <c r="F237" t="s">
        <v>527</v>
      </c>
      <c r="G237" t="s">
        <v>474</v>
      </c>
      <c r="H237" t="s">
        <v>470</v>
      </c>
      <c r="I237" t="s">
        <v>475</v>
      </c>
      <c r="J237">
        <v>77209.179999999993</v>
      </c>
    </row>
    <row r="238" spans="1:10">
      <c r="A238" s="90" t="s">
        <v>216</v>
      </c>
      <c r="B238" s="87">
        <v>45712</v>
      </c>
      <c r="C238" t="s">
        <v>2386</v>
      </c>
      <c r="D238" t="s">
        <v>2110</v>
      </c>
      <c r="E238" t="s">
        <v>2387</v>
      </c>
      <c r="F238" t="s">
        <v>2388</v>
      </c>
      <c r="G238" t="s">
        <v>2213</v>
      </c>
      <c r="H238" t="s">
        <v>470</v>
      </c>
      <c r="I238" t="s">
        <v>475</v>
      </c>
      <c r="J238">
        <v>659.5</v>
      </c>
    </row>
    <row r="239" spans="1:10">
      <c r="A239" s="90" t="s">
        <v>216</v>
      </c>
      <c r="B239" s="87">
        <v>45713</v>
      </c>
      <c r="C239" t="s">
        <v>2275</v>
      </c>
      <c r="D239" t="s">
        <v>2110</v>
      </c>
      <c r="E239" t="s">
        <v>477</v>
      </c>
      <c r="F239" t="s">
        <v>527</v>
      </c>
      <c r="G239" t="s">
        <v>74</v>
      </c>
      <c r="H239" t="s">
        <v>470</v>
      </c>
      <c r="I239" t="s">
        <v>471</v>
      </c>
      <c r="J239">
        <v>64.8</v>
      </c>
    </row>
    <row r="240" spans="1:10">
      <c r="A240" s="90" t="s">
        <v>216</v>
      </c>
      <c r="B240" s="87">
        <v>45713</v>
      </c>
      <c r="C240" t="s">
        <v>2275</v>
      </c>
      <c r="D240" t="s">
        <v>2110</v>
      </c>
      <c r="E240" t="s">
        <v>477</v>
      </c>
      <c r="F240" t="s">
        <v>527</v>
      </c>
      <c r="G240" t="s">
        <v>74</v>
      </c>
      <c r="H240" t="s">
        <v>470</v>
      </c>
      <c r="I240" t="s">
        <v>471</v>
      </c>
      <c r="J240">
        <v>6.5</v>
      </c>
    </row>
    <row r="241" spans="1:10">
      <c r="A241" s="90" t="s">
        <v>216</v>
      </c>
      <c r="B241" s="87">
        <v>45713</v>
      </c>
      <c r="C241" t="s">
        <v>511</v>
      </c>
      <c r="D241" t="s">
        <v>2110</v>
      </c>
      <c r="E241" t="s">
        <v>512</v>
      </c>
      <c r="F241" t="s">
        <v>527</v>
      </c>
      <c r="G241" t="s">
        <v>474</v>
      </c>
      <c r="H241" t="s">
        <v>470</v>
      </c>
      <c r="I241" t="s">
        <v>475</v>
      </c>
      <c r="J241">
        <v>71.3</v>
      </c>
    </row>
    <row r="242" spans="1:10">
      <c r="A242" s="90" t="s">
        <v>216</v>
      </c>
      <c r="B242" s="87">
        <v>45714</v>
      </c>
      <c r="C242" t="s">
        <v>2389</v>
      </c>
      <c r="D242" t="s">
        <v>2110</v>
      </c>
      <c r="E242" t="s">
        <v>2372</v>
      </c>
      <c r="F242" t="s">
        <v>527</v>
      </c>
      <c r="G242" t="s">
        <v>231</v>
      </c>
      <c r="H242" t="s">
        <v>470</v>
      </c>
      <c r="I242" t="s">
        <v>796</v>
      </c>
      <c r="J242">
        <v>750.5</v>
      </c>
    </row>
    <row r="243" spans="1:10">
      <c r="A243" s="90" t="s">
        <v>216</v>
      </c>
      <c r="B243" s="87">
        <v>45714</v>
      </c>
      <c r="C243" t="s">
        <v>2390</v>
      </c>
      <c r="D243" t="s">
        <v>2110</v>
      </c>
      <c r="E243" t="s">
        <v>477</v>
      </c>
      <c r="F243" t="s">
        <v>2325</v>
      </c>
      <c r="G243" t="s">
        <v>515</v>
      </c>
      <c r="H243" t="s">
        <v>2391</v>
      </c>
      <c r="I243" t="s">
        <v>471</v>
      </c>
      <c r="J243">
        <v>33666.57</v>
      </c>
    </row>
    <row r="244" spans="1:10">
      <c r="A244" s="90" t="s">
        <v>216</v>
      </c>
      <c r="B244" s="87">
        <v>45714</v>
      </c>
      <c r="C244" t="s">
        <v>2390</v>
      </c>
      <c r="D244" t="s">
        <v>2110</v>
      </c>
      <c r="E244" t="s">
        <v>477</v>
      </c>
      <c r="F244" t="s">
        <v>2325</v>
      </c>
      <c r="G244" t="s">
        <v>69</v>
      </c>
      <c r="H244" t="s">
        <v>2391</v>
      </c>
      <c r="I244" t="s">
        <v>471</v>
      </c>
      <c r="J244">
        <v>8766.9</v>
      </c>
    </row>
    <row r="245" spans="1:10">
      <c r="A245" s="90" t="s">
        <v>216</v>
      </c>
      <c r="B245" s="87">
        <v>45714</v>
      </c>
      <c r="C245" t="s">
        <v>511</v>
      </c>
      <c r="D245" t="s">
        <v>2110</v>
      </c>
      <c r="E245" t="s">
        <v>512</v>
      </c>
      <c r="F245" t="s">
        <v>527</v>
      </c>
      <c r="G245" t="s">
        <v>474</v>
      </c>
      <c r="H245" t="s">
        <v>470</v>
      </c>
      <c r="I245" t="s">
        <v>475</v>
      </c>
      <c r="J245">
        <v>43183.97</v>
      </c>
    </row>
    <row r="246" spans="1:10">
      <c r="A246" s="90" t="s">
        <v>216</v>
      </c>
      <c r="B246" s="87">
        <v>45715</v>
      </c>
      <c r="C246" t="s">
        <v>2392</v>
      </c>
      <c r="D246" t="s">
        <v>2110</v>
      </c>
      <c r="E246" t="s">
        <v>480</v>
      </c>
      <c r="F246" t="s">
        <v>527</v>
      </c>
      <c r="G246" t="s">
        <v>72</v>
      </c>
      <c r="H246" t="s">
        <v>470</v>
      </c>
      <c r="I246" t="s">
        <v>475</v>
      </c>
      <c r="J246">
        <v>186.68</v>
      </c>
    </row>
    <row r="247" spans="1:10">
      <c r="A247" s="90" t="s">
        <v>216</v>
      </c>
      <c r="B247" s="87">
        <v>45715</v>
      </c>
      <c r="C247" t="s">
        <v>2392</v>
      </c>
      <c r="D247" t="s">
        <v>2110</v>
      </c>
      <c r="E247" t="s">
        <v>480</v>
      </c>
      <c r="F247" t="s">
        <v>527</v>
      </c>
      <c r="G247" t="s">
        <v>58</v>
      </c>
      <c r="H247" t="s">
        <v>470</v>
      </c>
      <c r="I247" t="s">
        <v>475</v>
      </c>
      <c r="J247">
        <v>1484.25</v>
      </c>
    </row>
    <row r="248" spans="1:10">
      <c r="A248" s="90" t="s">
        <v>216</v>
      </c>
      <c r="B248" s="87">
        <v>45715</v>
      </c>
      <c r="C248" t="s">
        <v>2392</v>
      </c>
      <c r="D248" t="s">
        <v>2110</v>
      </c>
      <c r="E248" t="s">
        <v>480</v>
      </c>
      <c r="F248" t="s">
        <v>527</v>
      </c>
      <c r="G248" t="s">
        <v>62</v>
      </c>
      <c r="H248" t="s">
        <v>470</v>
      </c>
      <c r="I248" t="s">
        <v>475</v>
      </c>
      <c r="J248">
        <v>484</v>
      </c>
    </row>
    <row r="249" spans="1:10">
      <c r="A249" s="90" t="s">
        <v>216</v>
      </c>
      <c r="B249" s="87">
        <v>45715</v>
      </c>
      <c r="C249" t="s">
        <v>2392</v>
      </c>
      <c r="D249" t="s">
        <v>2110</v>
      </c>
      <c r="E249" t="s">
        <v>480</v>
      </c>
      <c r="F249" t="s">
        <v>527</v>
      </c>
      <c r="G249" t="s">
        <v>75</v>
      </c>
      <c r="H249" t="s">
        <v>470</v>
      </c>
      <c r="I249" t="s">
        <v>475</v>
      </c>
      <c r="J249">
        <v>180</v>
      </c>
    </row>
    <row r="250" spans="1:10">
      <c r="A250" s="90" t="s">
        <v>216</v>
      </c>
      <c r="B250" s="87">
        <v>45715</v>
      </c>
      <c r="C250" t="s">
        <v>544</v>
      </c>
      <c r="D250" t="s">
        <v>2110</v>
      </c>
      <c r="E250" t="s">
        <v>512</v>
      </c>
      <c r="F250" t="s">
        <v>527</v>
      </c>
      <c r="G250" t="s">
        <v>474</v>
      </c>
      <c r="H250" t="s">
        <v>470</v>
      </c>
      <c r="I250" t="s">
        <v>475</v>
      </c>
      <c r="J250">
        <v>30000</v>
      </c>
    </row>
    <row r="251" spans="1:10">
      <c r="A251" s="90" t="s">
        <v>216</v>
      </c>
      <c r="B251" s="87">
        <v>45715</v>
      </c>
      <c r="C251" t="s">
        <v>2275</v>
      </c>
      <c r="D251" t="s">
        <v>2110</v>
      </c>
      <c r="E251" t="s">
        <v>477</v>
      </c>
      <c r="F251" t="s">
        <v>527</v>
      </c>
      <c r="G251" t="s">
        <v>74</v>
      </c>
      <c r="H251" t="s">
        <v>470</v>
      </c>
      <c r="I251" t="s">
        <v>471</v>
      </c>
      <c r="J251">
        <v>10</v>
      </c>
    </row>
    <row r="252" spans="1:10">
      <c r="A252" s="90" t="s">
        <v>216</v>
      </c>
      <c r="B252" s="87">
        <v>45715</v>
      </c>
      <c r="C252" t="s">
        <v>511</v>
      </c>
      <c r="D252" t="s">
        <v>2110</v>
      </c>
      <c r="E252" t="s">
        <v>512</v>
      </c>
      <c r="F252" t="s">
        <v>527</v>
      </c>
      <c r="G252" t="s">
        <v>474</v>
      </c>
      <c r="H252" t="s">
        <v>470</v>
      </c>
      <c r="I252" t="s">
        <v>475</v>
      </c>
      <c r="J252">
        <v>32344.93</v>
      </c>
    </row>
    <row r="253" spans="1:10">
      <c r="A253" s="90" t="s">
        <v>216</v>
      </c>
      <c r="B253" s="87">
        <v>45715</v>
      </c>
      <c r="C253" t="s">
        <v>2275</v>
      </c>
      <c r="D253" t="s">
        <v>2110</v>
      </c>
      <c r="E253" t="s">
        <v>2393</v>
      </c>
      <c r="F253" t="s">
        <v>527</v>
      </c>
      <c r="G253" t="s">
        <v>74</v>
      </c>
      <c r="H253" t="s">
        <v>470</v>
      </c>
      <c r="I253" t="s">
        <v>471</v>
      </c>
      <c r="J253">
        <v>40</v>
      </c>
    </row>
    <row r="254" spans="1:10">
      <c r="A254" s="90" t="s">
        <v>216</v>
      </c>
      <c r="B254" s="87">
        <v>45715</v>
      </c>
      <c r="C254" t="s">
        <v>2275</v>
      </c>
      <c r="D254" t="s">
        <v>2110</v>
      </c>
      <c r="E254" t="s">
        <v>2393</v>
      </c>
      <c r="F254" t="s">
        <v>527</v>
      </c>
      <c r="G254" t="s">
        <v>74</v>
      </c>
      <c r="H254" t="s">
        <v>470</v>
      </c>
      <c r="I254" t="s">
        <v>471</v>
      </c>
      <c r="J254">
        <v>40</v>
      </c>
    </row>
    <row r="255" spans="1:10">
      <c r="A255" s="90" t="s">
        <v>216</v>
      </c>
      <c r="B255" s="87">
        <v>45716</v>
      </c>
      <c r="C255" t="s">
        <v>2336</v>
      </c>
      <c r="D255" t="s">
        <v>2110</v>
      </c>
      <c r="E255" t="s">
        <v>480</v>
      </c>
      <c r="F255" t="s">
        <v>527</v>
      </c>
      <c r="G255" t="s">
        <v>71</v>
      </c>
      <c r="H255" t="s">
        <v>2351</v>
      </c>
      <c r="I255" t="s">
        <v>475</v>
      </c>
      <c r="J255">
        <v>2314</v>
      </c>
    </row>
    <row r="256" spans="1:10">
      <c r="A256" s="90" t="s">
        <v>216</v>
      </c>
      <c r="B256" s="87">
        <v>45716</v>
      </c>
      <c r="C256" t="s">
        <v>2394</v>
      </c>
      <c r="D256" t="s">
        <v>2110</v>
      </c>
      <c r="E256" t="s">
        <v>1137</v>
      </c>
      <c r="F256" t="s">
        <v>2395</v>
      </c>
      <c r="G256" t="s">
        <v>61</v>
      </c>
      <c r="H256" t="s">
        <v>2351</v>
      </c>
      <c r="I256" t="s">
        <v>487</v>
      </c>
      <c r="J256">
        <v>1518</v>
      </c>
    </row>
    <row r="257" spans="1:10">
      <c r="A257" s="90" t="s">
        <v>216</v>
      </c>
      <c r="B257" s="87">
        <v>45716</v>
      </c>
      <c r="C257" t="s">
        <v>2396</v>
      </c>
      <c r="D257" t="s">
        <v>2110</v>
      </c>
      <c r="E257" t="s">
        <v>2300</v>
      </c>
      <c r="F257" t="s">
        <v>527</v>
      </c>
      <c r="G257" t="s">
        <v>220</v>
      </c>
      <c r="H257" t="s">
        <v>2397</v>
      </c>
      <c r="I257" t="s">
        <v>796</v>
      </c>
      <c r="J257">
        <v>2885.8</v>
      </c>
    </row>
    <row r="258" spans="1:10">
      <c r="A258" s="90" t="s">
        <v>216</v>
      </c>
      <c r="B258" s="87">
        <v>45716</v>
      </c>
      <c r="C258" t="s">
        <v>2398</v>
      </c>
      <c r="D258" t="s">
        <v>2110</v>
      </c>
      <c r="E258" t="s">
        <v>2290</v>
      </c>
      <c r="F258" t="s">
        <v>2314</v>
      </c>
      <c r="G258" t="s">
        <v>223</v>
      </c>
      <c r="H258" t="s">
        <v>470</v>
      </c>
      <c r="I258" t="s">
        <v>796</v>
      </c>
      <c r="J258">
        <v>2147.6</v>
      </c>
    </row>
    <row r="259" spans="1:10">
      <c r="A259" s="90" t="s">
        <v>216</v>
      </c>
      <c r="B259" s="87">
        <v>45716</v>
      </c>
      <c r="C259" t="s">
        <v>2398</v>
      </c>
      <c r="D259" t="s">
        <v>2110</v>
      </c>
      <c r="E259" t="s">
        <v>2290</v>
      </c>
      <c r="F259" t="s">
        <v>2314</v>
      </c>
      <c r="G259" t="s">
        <v>78</v>
      </c>
      <c r="H259" t="s">
        <v>470</v>
      </c>
      <c r="I259" t="s">
        <v>796</v>
      </c>
      <c r="J259">
        <v>100.94</v>
      </c>
    </row>
    <row r="260" spans="1:10">
      <c r="A260" s="90" t="s">
        <v>216</v>
      </c>
      <c r="B260" s="87">
        <v>45716</v>
      </c>
      <c r="C260" t="s">
        <v>2399</v>
      </c>
      <c r="D260" t="s">
        <v>2110</v>
      </c>
      <c r="E260" t="s">
        <v>477</v>
      </c>
      <c r="F260" t="s">
        <v>527</v>
      </c>
      <c r="G260" t="s">
        <v>77</v>
      </c>
      <c r="H260" t="s">
        <v>470</v>
      </c>
      <c r="I260" t="s">
        <v>471</v>
      </c>
      <c r="J260">
        <v>1200</v>
      </c>
    </row>
    <row r="261" spans="1:10">
      <c r="A261" s="90" t="s">
        <v>216</v>
      </c>
      <c r="B261" s="87">
        <v>45716</v>
      </c>
      <c r="C261" t="s">
        <v>2399</v>
      </c>
      <c r="D261" t="s">
        <v>2110</v>
      </c>
      <c r="E261" t="s">
        <v>477</v>
      </c>
      <c r="F261" t="s">
        <v>527</v>
      </c>
      <c r="G261" t="s">
        <v>62</v>
      </c>
      <c r="H261" t="s">
        <v>470</v>
      </c>
      <c r="I261" t="s">
        <v>471</v>
      </c>
      <c r="J261">
        <v>3000</v>
      </c>
    </row>
    <row r="262" spans="1:10">
      <c r="A262" s="90" t="s">
        <v>216</v>
      </c>
      <c r="B262" s="87">
        <v>45716</v>
      </c>
      <c r="C262" t="s">
        <v>2399</v>
      </c>
      <c r="D262" t="s">
        <v>2110</v>
      </c>
      <c r="E262" t="s">
        <v>477</v>
      </c>
      <c r="F262" t="s">
        <v>527</v>
      </c>
      <c r="G262" t="s">
        <v>74</v>
      </c>
      <c r="H262" t="s">
        <v>470</v>
      </c>
      <c r="I262" t="s">
        <v>471</v>
      </c>
      <c r="J262">
        <v>3</v>
      </c>
    </row>
    <row r="263" spans="1:10">
      <c r="A263" s="90" t="s">
        <v>216</v>
      </c>
      <c r="B263" s="87">
        <v>45716</v>
      </c>
      <c r="C263" t="s">
        <v>2400</v>
      </c>
      <c r="D263" t="s">
        <v>2110</v>
      </c>
      <c r="E263" t="s">
        <v>2401</v>
      </c>
      <c r="F263" t="s">
        <v>277</v>
      </c>
      <c r="G263" t="s">
        <v>2112</v>
      </c>
      <c r="H263" t="s">
        <v>470</v>
      </c>
      <c r="I263" t="s">
        <v>540</v>
      </c>
      <c r="J263">
        <v>280000</v>
      </c>
    </row>
    <row r="264" spans="1:10">
      <c r="A264" s="90" t="s">
        <v>216</v>
      </c>
      <c r="B264" s="87">
        <v>45716</v>
      </c>
      <c r="C264" t="s">
        <v>2402</v>
      </c>
      <c r="D264" t="s">
        <v>2110</v>
      </c>
      <c r="E264" t="s">
        <v>2403</v>
      </c>
      <c r="F264" t="s">
        <v>2404</v>
      </c>
      <c r="G264" t="s">
        <v>232</v>
      </c>
      <c r="H264" t="s">
        <v>470</v>
      </c>
      <c r="I264" t="s">
        <v>471</v>
      </c>
      <c r="J264">
        <v>2336</v>
      </c>
    </row>
    <row r="265" spans="1:10">
      <c r="A265" s="90" t="s">
        <v>216</v>
      </c>
      <c r="B265" s="87">
        <v>45716</v>
      </c>
      <c r="C265" t="s">
        <v>2275</v>
      </c>
      <c r="D265" t="s">
        <v>2110</v>
      </c>
      <c r="E265" t="s">
        <v>477</v>
      </c>
      <c r="F265" t="s">
        <v>527</v>
      </c>
      <c r="G265" t="s">
        <v>74</v>
      </c>
      <c r="H265" t="s">
        <v>470</v>
      </c>
      <c r="I265" t="s">
        <v>471</v>
      </c>
      <c r="J265">
        <v>4.2</v>
      </c>
    </row>
    <row r="266" spans="1:10">
      <c r="A266" s="90" t="s">
        <v>216</v>
      </c>
      <c r="B266" s="87">
        <v>45716</v>
      </c>
      <c r="C266" t="s">
        <v>2275</v>
      </c>
      <c r="D266" t="s">
        <v>2110</v>
      </c>
      <c r="E266" t="s">
        <v>477</v>
      </c>
      <c r="F266" t="s">
        <v>527</v>
      </c>
      <c r="G266" t="s">
        <v>74</v>
      </c>
      <c r="H266" t="s">
        <v>470</v>
      </c>
      <c r="I266" t="s">
        <v>471</v>
      </c>
      <c r="J266">
        <v>10</v>
      </c>
    </row>
    <row r="267" spans="1:10">
      <c r="A267" s="90" t="s">
        <v>216</v>
      </c>
      <c r="B267" s="87">
        <v>45716</v>
      </c>
      <c r="C267" t="s">
        <v>511</v>
      </c>
      <c r="D267" t="s">
        <v>2110</v>
      </c>
      <c r="E267" t="s">
        <v>512</v>
      </c>
      <c r="F267" t="s">
        <v>527</v>
      </c>
      <c r="G267" t="s">
        <v>474</v>
      </c>
      <c r="H267" t="s">
        <v>470</v>
      </c>
      <c r="I267" t="s">
        <v>475</v>
      </c>
      <c r="J267">
        <v>1611.91</v>
      </c>
    </row>
    <row r="268" spans="1:10">
      <c r="A268" s="90" t="s">
        <v>216</v>
      </c>
      <c r="B268" s="87">
        <v>45716</v>
      </c>
      <c r="C268" t="s">
        <v>511</v>
      </c>
      <c r="D268" t="s">
        <v>2110</v>
      </c>
      <c r="E268" t="s">
        <v>512</v>
      </c>
      <c r="F268" t="s">
        <v>527</v>
      </c>
      <c r="G268" t="s">
        <v>474</v>
      </c>
      <c r="H268" t="s">
        <v>470</v>
      </c>
      <c r="I268" t="s">
        <v>475</v>
      </c>
      <c r="J268">
        <v>306907.62</v>
      </c>
    </row>
    <row r="269" spans="1:10">
      <c r="A269" s="90" t="s">
        <v>216</v>
      </c>
      <c r="B269" s="87">
        <v>45716</v>
      </c>
      <c r="C269" t="s">
        <v>2347</v>
      </c>
      <c r="D269" t="s">
        <v>2110</v>
      </c>
      <c r="E269" t="s">
        <v>477</v>
      </c>
      <c r="F269" t="s">
        <v>527</v>
      </c>
      <c r="G269" t="s">
        <v>68</v>
      </c>
      <c r="H269" t="s">
        <v>470</v>
      </c>
      <c r="I269" t="s">
        <v>471</v>
      </c>
      <c r="J269">
        <v>1607.37</v>
      </c>
    </row>
    <row r="270" spans="1:10">
      <c r="A270" s="90" t="s">
        <v>216</v>
      </c>
      <c r="B270" s="87">
        <v>45716</v>
      </c>
      <c r="C270" t="s">
        <v>2348</v>
      </c>
      <c r="D270" t="s">
        <v>2110</v>
      </c>
      <c r="E270" t="s">
        <v>477</v>
      </c>
      <c r="F270" t="s">
        <v>527</v>
      </c>
      <c r="G270" t="s">
        <v>66</v>
      </c>
      <c r="H270" t="s">
        <v>470</v>
      </c>
      <c r="I270" t="s">
        <v>471</v>
      </c>
      <c r="J270">
        <v>799.67</v>
      </c>
    </row>
    <row r="271" spans="1:10">
      <c r="A271" s="90" t="s">
        <v>216</v>
      </c>
      <c r="B271" s="87">
        <v>45716</v>
      </c>
      <c r="C271" t="s">
        <v>2347</v>
      </c>
      <c r="D271" t="s">
        <v>2110</v>
      </c>
      <c r="E271" t="s">
        <v>477</v>
      </c>
      <c r="F271" t="s">
        <v>527</v>
      </c>
      <c r="G271" t="s">
        <v>68</v>
      </c>
      <c r="H271" t="s">
        <v>470</v>
      </c>
      <c r="I271" t="s">
        <v>471</v>
      </c>
      <c r="J271">
        <v>1.54</v>
      </c>
    </row>
    <row r="272" spans="1:10">
      <c r="A272" s="90" t="s">
        <v>216</v>
      </c>
      <c r="B272" s="87">
        <v>45716</v>
      </c>
      <c r="C272" t="s">
        <v>2348</v>
      </c>
      <c r="D272" t="s">
        <v>2110</v>
      </c>
      <c r="E272" t="s">
        <v>477</v>
      </c>
      <c r="F272" t="s">
        <v>527</v>
      </c>
      <c r="G272" t="s">
        <v>66</v>
      </c>
      <c r="H272" t="s">
        <v>470</v>
      </c>
      <c r="I272" t="s">
        <v>471</v>
      </c>
      <c r="J272">
        <v>42.04</v>
      </c>
    </row>
    <row r="273" spans="1:10">
      <c r="A273" s="90" t="s">
        <v>216</v>
      </c>
      <c r="B273" s="87">
        <v>45721</v>
      </c>
      <c r="C273" t="s">
        <v>2405</v>
      </c>
      <c r="D273" t="s">
        <v>2110</v>
      </c>
      <c r="E273" t="s">
        <v>2277</v>
      </c>
      <c r="F273" t="s">
        <v>2406</v>
      </c>
      <c r="G273" t="s">
        <v>226</v>
      </c>
      <c r="H273" t="s">
        <v>2351</v>
      </c>
      <c r="I273" t="s">
        <v>796</v>
      </c>
      <c r="J273">
        <v>179.98</v>
      </c>
    </row>
    <row r="274" spans="1:10">
      <c r="A274" s="90" t="s">
        <v>216</v>
      </c>
      <c r="B274" s="87">
        <v>45721</v>
      </c>
      <c r="C274" t="s">
        <v>2364</v>
      </c>
      <c r="D274" t="s">
        <v>2110</v>
      </c>
      <c r="E274" t="s">
        <v>480</v>
      </c>
      <c r="F274" t="s">
        <v>468</v>
      </c>
      <c r="G274" t="s">
        <v>71</v>
      </c>
      <c r="H274" t="s">
        <v>470</v>
      </c>
      <c r="I274" t="s">
        <v>475</v>
      </c>
      <c r="J274">
        <v>26000</v>
      </c>
    </row>
    <row r="275" spans="1:10">
      <c r="A275" s="90" t="s">
        <v>216</v>
      </c>
      <c r="B275" s="87">
        <v>45721</v>
      </c>
      <c r="C275" t="s">
        <v>2407</v>
      </c>
      <c r="D275" t="s">
        <v>2110</v>
      </c>
      <c r="E275" t="s">
        <v>2262</v>
      </c>
      <c r="F275" t="s">
        <v>2408</v>
      </c>
      <c r="G275" t="s">
        <v>73</v>
      </c>
      <c r="H275" t="s">
        <v>2409</v>
      </c>
      <c r="I275" t="s">
        <v>796</v>
      </c>
      <c r="J275">
        <v>633.01</v>
      </c>
    </row>
    <row r="276" spans="1:10">
      <c r="A276" s="90" t="s">
        <v>216</v>
      </c>
      <c r="B276" s="87">
        <v>45721</v>
      </c>
      <c r="C276" t="s">
        <v>2267</v>
      </c>
      <c r="D276" t="s">
        <v>2110</v>
      </c>
      <c r="E276" t="s">
        <v>477</v>
      </c>
      <c r="F276" t="s">
        <v>2268</v>
      </c>
      <c r="G276" t="s">
        <v>2269</v>
      </c>
      <c r="H276" t="s">
        <v>2410</v>
      </c>
      <c r="I276" t="s">
        <v>471</v>
      </c>
      <c r="J276">
        <v>750</v>
      </c>
    </row>
    <row r="277" spans="1:10">
      <c r="A277" s="90" t="s">
        <v>216</v>
      </c>
      <c r="B277" s="87">
        <v>45721</v>
      </c>
      <c r="C277" t="s">
        <v>2267</v>
      </c>
      <c r="D277" t="s">
        <v>2110</v>
      </c>
      <c r="E277" t="s">
        <v>477</v>
      </c>
      <c r="F277" t="s">
        <v>2268</v>
      </c>
      <c r="G277" t="s">
        <v>2269</v>
      </c>
      <c r="H277" t="s">
        <v>2410</v>
      </c>
      <c r="I277" t="s">
        <v>471</v>
      </c>
      <c r="J277">
        <v>1200</v>
      </c>
    </row>
    <row r="278" spans="1:10">
      <c r="A278" s="90" t="s">
        <v>216</v>
      </c>
      <c r="B278" s="87">
        <v>45721</v>
      </c>
      <c r="C278" t="s">
        <v>2267</v>
      </c>
      <c r="D278" t="s">
        <v>2110</v>
      </c>
      <c r="E278" t="s">
        <v>477</v>
      </c>
      <c r="F278" t="s">
        <v>2268</v>
      </c>
      <c r="G278" t="s">
        <v>2269</v>
      </c>
      <c r="H278" t="s">
        <v>2410</v>
      </c>
      <c r="I278" t="s">
        <v>471</v>
      </c>
      <c r="J278">
        <v>1125</v>
      </c>
    </row>
    <row r="279" spans="1:10">
      <c r="A279" s="90" t="s">
        <v>216</v>
      </c>
      <c r="B279" s="87">
        <v>45721</v>
      </c>
      <c r="C279" t="s">
        <v>2267</v>
      </c>
      <c r="D279" t="s">
        <v>2110</v>
      </c>
      <c r="E279" t="s">
        <v>477</v>
      </c>
      <c r="F279" t="s">
        <v>2268</v>
      </c>
      <c r="G279" t="s">
        <v>2271</v>
      </c>
      <c r="H279" t="s">
        <v>2410</v>
      </c>
      <c r="I279" t="s">
        <v>471</v>
      </c>
      <c r="J279">
        <v>82.2</v>
      </c>
    </row>
    <row r="280" spans="1:10">
      <c r="A280" s="90" t="s">
        <v>216</v>
      </c>
      <c r="B280" s="87">
        <v>45721</v>
      </c>
      <c r="C280" t="s">
        <v>2411</v>
      </c>
      <c r="D280" t="s">
        <v>2110</v>
      </c>
      <c r="E280" t="s">
        <v>477</v>
      </c>
      <c r="F280" t="s">
        <v>2273</v>
      </c>
      <c r="G280" t="s">
        <v>2269</v>
      </c>
      <c r="H280" t="s">
        <v>2412</v>
      </c>
      <c r="I280" t="s">
        <v>471</v>
      </c>
      <c r="J280">
        <v>10125</v>
      </c>
    </row>
    <row r="281" spans="1:10">
      <c r="A281" s="90" t="s">
        <v>216</v>
      </c>
      <c r="B281" s="87">
        <v>45721</v>
      </c>
      <c r="C281" t="s">
        <v>2411</v>
      </c>
      <c r="D281" t="s">
        <v>2110</v>
      </c>
      <c r="E281" t="s">
        <v>477</v>
      </c>
      <c r="F281" t="s">
        <v>2273</v>
      </c>
      <c r="G281" t="s">
        <v>2271</v>
      </c>
      <c r="H281" t="s">
        <v>2412</v>
      </c>
      <c r="I281" t="s">
        <v>471</v>
      </c>
      <c r="J281">
        <v>804.08</v>
      </c>
    </row>
    <row r="282" spans="1:10">
      <c r="A282" s="90" t="s">
        <v>216</v>
      </c>
      <c r="B282" s="87">
        <v>45721</v>
      </c>
      <c r="C282" t="s">
        <v>2275</v>
      </c>
      <c r="D282" t="s">
        <v>2110</v>
      </c>
      <c r="E282" t="s">
        <v>477</v>
      </c>
      <c r="F282" t="s">
        <v>468</v>
      </c>
      <c r="G282" t="s">
        <v>74</v>
      </c>
      <c r="H282" t="s">
        <v>470</v>
      </c>
      <c r="I282" t="s">
        <v>471</v>
      </c>
      <c r="J282">
        <v>15</v>
      </c>
    </row>
    <row r="283" spans="1:10">
      <c r="A283" s="90" t="s">
        <v>216</v>
      </c>
      <c r="B283" s="87">
        <v>45721</v>
      </c>
      <c r="C283" t="s">
        <v>511</v>
      </c>
      <c r="D283" t="s">
        <v>2110</v>
      </c>
      <c r="E283" t="s">
        <v>512</v>
      </c>
      <c r="F283" t="s">
        <v>468</v>
      </c>
      <c r="G283" t="s">
        <v>474</v>
      </c>
      <c r="H283" t="s">
        <v>470</v>
      </c>
      <c r="I283" t="s">
        <v>475</v>
      </c>
      <c r="J283">
        <v>29187.99</v>
      </c>
    </row>
    <row r="284" spans="1:10">
      <c r="A284" s="90" t="s">
        <v>216</v>
      </c>
      <c r="B284" s="87">
        <v>45721</v>
      </c>
      <c r="C284" t="s">
        <v>2275</v>
      </c>
      <c r="D284" t="s">
        <v>2110</v>
      </c>
      <c r="E284" t="s">
        <v>2393</v>
      </c>
      <c r="F284" t="s">
        <v>468</v>
      </c>
      <c r="G284" t="s">
        <v>74</v>
      </c>
      <c r="H284" t="s">
        <v>470</v>
      </c>
      <c r="I284" t="s">
        <v>471</v>
      </c>
      <c r="J284">
        <v>40</v>
      </c>
    </row>
    <row r="285" spans="1:10">
      <c r="A285" s="90" t="s">
        <v>216</v>
      </c>
      <c r="B285" s="87">
        <v>45723</v>
      </c>
      <c r="C285" t="s">
        <v>2371</v>
      </c>
      <c r="D285" t="s">
        <v>2110</v>
      </c>
      <c r="E285" t="s">
        <v>2372</v>
      </c>
      <c r="F285" t="s">
        <v>468</v>
      </c>
      <c r="G285" t="s">
        <v>219</v>
      </c>
      <c r="H285" t="s">
        <v>2413</v>
      </c>
      <c r="I285" t="s">
        <v>796</v>
      </c>
      <c r="J285">
        <v>1360</v>
      </c>
    </row>
    <row r="286" spans="1:10">
      <c r="A286" s="90" t="s">
        <v>216</v>
      </c>
      <c r="B286" s="87">
        <v>45723</v>
      </c>
      <c r="C286" t="s">
        <v>2365</v>
      </c>
      <c r="D286" t="s">
        <v>2110</v>
      </c>
      <c r="E286" t="s">
        <v>2366</v>
      </c>
      <c r="F286" t="s">
        <v>2414</v>
      </c>
      <c r="G286" t="s">
        <v>219</v>
      </c>
      <c r="H286" t="s">
        <v>470</v>
      </c>
      <c r="I286" t="s">
        <v>796</v>
      </c>
      <c r="J286">
        <v>105.31</v>
      </c>
    </row>
    <row r="287" spans="1:10">
      <c r="A287" s="90" t="s">
        <v>216</v>
      </c>
      <c r="B287" s="87">
        <v>45723</v>
      </c>
      <c r="C287" t="s">
        <v>2275</v>
      </c>
      <c r="D287" t="s">
        <v>2110</v>
      </c>
      <c r="E287" t="s">
        <v>477</v>
      </c>
      <c r="F287" t="s">
        <v>468</v>
      </c>
      <c r="G287" t="s">
        <v>74</v>
      </c>
      <c r="H287" t="s">
        <v>470</v>
      </c>
      <c r="I287" t="s">
        <v>471</v>
      </c>
      <c r="J287">
        <v>5</v>
      </c>
    </row>
    <row r="288" spans="1:10">
      <c r="A288" s="90" t="s">
        <v>216</v>
      </c>
      <c r="B288" s="87">
        <v>45723</v>
      </c>
      <c r="C288" t="s">
        <v>511</v>
      </c>
      <c r="D288" t="s">
        <v>2110</v>
      </c>
      <c r="E288" t="s">
        <v>512</v>
      </c>
      <c r="F288" t="s">
        <v>468</v>
      </c>
      <c r="G288" t="s">
        <v>474</v>
      </c>
      <c r="H288" t="s">
        <v>470</v>
      </c>
      <c r="I288" t="s">
        <v>475</v>
      </c>
      <c r="J288">
        <v>1470.31</v>
      </c>
    </row>
    <row r="289" spans="1:10">
      <c r="A289" s="90" t="s">
        <v>216</v>
      </c>
      <c r="B289" s="87">
        <v>45726</v>
      </c>
      <c r="C289" t="s">
        <v>2415</v>
      </c>
      <c r="D289" t="s">
        <v>2110</v>
      </c>
      <c r="E289" t="s">
        <v>2287</v>
      </c>
      <c r="F289" t="s">
        <v>2416</v>
      </c>
      <c r="G289" t="s">
        <v>63</v>
      </c>
      <c r="H289" t="s">
        <v>2409</v>
      </c>
      <c r="I289" t="s">
        <v>796</v>
      </c>
      <c r="J289">
        <v>821.95</v>
      </c>
    </row>
    <row r="290" spans="1:10">
      <c r="A290" s="90" t="s">
        <v>216</v>
      </c>
      <c r="B290" s="87">
        <v>45726</v>
      </c>
      <c r="C290" t="s">
        <v>2370</v>
      </c>
      <c r="D290" t="s">
        <v>2110</v>
      </c>
      <c r="E290" t="s">
        <v>477</v>
      </c>
      <c r="F290" t="s">
        <v>514</v>
      </c>
      <c r="G290" t="s">
        <v>69</v>
      </c>
      <c r="H290" t="s">
        <v>470</v>
      </c>
      <c r="I290" t="s">
        <v>471</v>
      </c>
      <c r="J290">
        <v>32793.599999999999</v>
      </c>
    </row>
    <row r="291" spans="1:10">
      <c r="A291" s="90" t="s">
        <v>216</v>
      </c>
      <c r="B291" s="87">
        <v>45726</v>
      </c>
      <c r="C291" t="s">
        <v>2417</v>
      </c>
      <c r="D291" t="s">
        <v>2110</v>
      </c>
      <c r="E291" t="s">
        <v>477</v>
      </c>
      <c r="F291" t="s">
        <v>468</v>
      </c>
      <c r="G291" t="s">
        <v>74</v>
      </c>
      <c r="H291" t="s">
        <v>470</v>
      </c>
      <c r="I291" t="s">
        <v>471</v>
      </c>
      <c r="J291">
        <v>95</v>
      </c>
    </row>
    <row r="292" spans="1:10">
      <c r="A292" s="90" t="s">
        <v>216</v>
      </c>
      <c r="B292" s="87">
        <v>45726</v>
      </c>
      <c r="C292" t="s">
        <v>2275</v>
      </c>
      <c r="D292" t="s">
        <v>2110</v>
      </c>
      <c r="E292" t="s">
        <v>477</v>
      </c>
      <c r="F292" t="s">
        <v>468</v>
      </c>
      <c r="G292" t="s">
        <v>74</v>
      </c>
      <c r="H292" t="s">
        <v>470</v>
      </c>
      <c r="I292" t="s">
        <v>471</v>
      </c>
      <c r="J292">
        <v>215.1</v>
      </c>
    </row>
    <row r="293" spans="1:10">
      <c r="A293" s="90" t="s">
        <v>216</v>
      </c>
      <c r="B293" s="87">
        <v>45726</v>
      </c>
      <c r="C293" t="s">
        <v>2295</v>
      </c>
      <c r="D293" t="s">
        <v>2110</v>
      </c>
      <c r="E293" t="s">
        <v>477</v>
      </c>
      <c r="F293" t="s">
        <v>468</v>
      </c>
      <c r="G293" t="s">
        <v>2295</v>
      </c>
      <c r="H293" t="s">
        <v>470</v>
      </c>
      <c r="I293" t="s">
        <v>471</v>
      </c>
      <c r="J293">
        <v>2531.98</v>
      </c>
    </row>
    <row r="294" spans="1:10">
      <c r="A294" s="90" t="s">
        <v>216</v>
      </c>
      <c r="B294" s="87">
        <v>45726</v>
      </c>
      <c r="C294" t="s">
        <v>511</v>
      </c>
      <c r="D294" t="s">
        <v>2110</v>
      </c>
      <c r="E294" t="s">
        <v>512</v>
      </c>
      <c r="F294" t="s">
        <v>468</v>
      </c>
      <c r="G294" t="s">
        <v>474</v>
      </c>
      <c r="H294" t="s">
        <v>470</v>
      </c>
      <c r="I294" t="s">
        <v>475</v>
      </c>
      <c r="J294">
        <v>36457.629999999997</v>
      </c>
    </row>
    <row r="295" spans="1:10">
      <c r="A295" s="90" t="s">
        <v>216</v>
      </c>
      <c r="B295" s="87">
        <v>45727</v>
      </c>
      <c r="C295" t="s">
        <v>517</v>
      </c>
      <c r="D295" t="s">
        <v>2110</v>
      </c>
      <c r="E295" t="s">
        <v>512</v>
      </c>
      <c r="F295" t="s">
        <v>468</v>
      </c>
      <c r="G295" t="s">
        <v>474</v>
      </c>
      <c r="H295" t="s">
        <v>470</v>
      </c>
      <c r="I295" t="s">
        <v>475</v>
      </c>
      <c r="J295">
        <v>572535.67000000004</v>
      </c>
    </row>
    <row r="296" spans="1:10">
      <c r="A296" s="90" t="s">
        <v>216</v>
      </c>
      <c r="B296" s="87">
        <v>45728</v>
      </c>
      <c r="C296" t="s">
        <v>2418</v>
      </c>
      <c r="D296" t="s">
        <v>2110</v>
      </c>
      <c r="E296" t="s">
        <v>2419</v>
      </c>
      <c r="F296" t="s">
        <v>2420</v>
      </c>
      <c r="G296" t="s">
        <v>193</v>
      </c>
      <c r="H296" t="s">
        <v>470</v>
      </c>
      <c r="I296" t="s">
        <v>487</v>
      </c>
      <c r="J296">
        <v>20808.16</v>
      </c>
    </row>
    <row r="297" spans="1:10">
      <c r="A297" s="90" t="s">
        <v>216</v>
      </c>
      <c r="B297" s="87">
        <v>45728</v>
      </c>
      <c r="C297" t="s">
        <v>2275</v>
      </c>
      <c r="D297" t="s">
        <v>2110</v>
      </c>
      <c r="E297" t="s">
        <v>477</v>
      </c>
      <c r="F297" t="s">
        <v>468</v>
      </c>
      <c r="G297" t="s">
        <v>74</v>
      </c>
      <c r="H297" t="s">
        <v>470</v>
      </c>
      <c r="I297" t="s">
        <v>471</v>
      </c>
      <c r="J297">
        <v>10</v>
      </c>
    </row>
    <row r="298" spans="1:10">
      <c r="A298" s="90" t="s">
        <v>216</v>
      </c>
      <c r="B298" s="87">
        <v>45728</v>
      </c>
      <c r="C298" t="s">
        <v>511</v>
      </c>
      <c r="D298" t="s">
        <v>2110</v>
      </c>
      <c r="E298" t="s">
        <v>512</v>
      </c>
      <c r="F298" t="s">
        <v>468</v>
      </c>
      <c r="G298" t="s">
        <v>474</v>
      </c>
      <c r="H298" t="s">
        <v>470</v>
      </c>
      <c r="I298" t="s">
        <v>475</v>
      </c>
      <c r="J298">
        <v>20818.16</v>
      </c>
    </row>
    <row r="299" spans="1:10">
      <c r="A299" s="90" t="s">
        <v>216</v>
      </c>
      <c r="B299" s="87">
        <v>45733</v>
      </c>
      <c r="C299" t="s">
        <v>2421</v>
      </c>
      <c r="D299" t="s">
        <v>2110</v>
      </c>
      <c r="E299" t="s">
        <v>2277</v>
      </c>
      <c r="F299" t="s">
        <v>2305</v>
      </c>
      <c r="G299" t="s">
        <v>226</v>
      </c>
      <c r="H299" t="s">
        <v>2351</v>
      </c>
      <c r="I299" t="s">
        <v>796</v>
      </c>
      <c r="J299">
        <v>134.94</v>
      </c>
    </row>
    <row r="300" spans="1:10">
      <c r="A300" s="90" t="s">
        <v>216</v>
      </c>
      <c r="B300" s="87">
        <v>45733</v>
      </c>
      <c r="C300" t="s">
        <v>511</v>
      </c>
      <c r="D300" t="s">
        <v>2110</v>
      </c>
      <c r="E300" t="s">
        <v>512</v>
      </c>
      <c r="F300" t="s">
        <v>468</v>
      </c>
      <c r="G300" t="s">
        <v>474</v>
      </c>
      <c r="H300" t="s">
        <v>470</v>
      </c>
      <c r="I300" t="s">
        <v>475</v>
      </c>
      <c r="J300">
        <v>67982.55</v>
      </c>
    </row>
    <row r="301" spans="1:10">
      <c r="A301" s="90" t="s">
        <v>216</v>
      </c>
      <c r="B301" s="87">
        <v>45733</v>
      </c>
      <c r="C301" t="s">
        <v>511</v>
      </c>
      <c r="D301" t="s">
        <v>2110</v>
      </c>
      <c r="E301" t="s">
        <v>512</v>
      </c>
      <c r="F301" t="s">
        <v>468</v>
      </c>
      <c r="G301" t="s">
        <v>474</v>
      </c>
      <c r="H301" t="s">
        <v>470</v>
      </c>
      <c r="I301" t="s">
        <v>475</v>
      </c>
      <c r="J301">
        <v>134.94</v>
      </c>
    </row>
    <row r="302" spans="1:10">
      <c r="A302" s="90" t="s">
        <v>216</v>
      </c>
      <c r="B302" s="87">
        <v>45734</v>
      </c>
      <c r="C302" t="s">
        <v>562</v>
      </c>
      <c r="D302" t="s">
        <v>2110</v>
      </c>
      <c r="E302" t="s">
        <v>512</v>
      </c>
      <c r="F302" t="s">
        <v>468</v>
      </c>
      <c r="G302" t="s">
        <v>474</v>
      </c>
      <c r="H302" t="s">
        <v>470</v>
      </c>
      <c r="I302" t="s">
        <v>475</v>
      </c>
      <c r="J302">
        <v>66464.33</v>
      </c>
    </row>
    <row r="303" spans="1:10">
      <c r="A303" s="90" t="s">
        <v>216</v>
      </c>
      <c r="B303" s="87">
        <v>45735</v>
      </c>
      <c r="C303" t="s">
        <v>2422</v>
      </c>
      <c r="D303" t="s">
        <v>2110</v>
      </c>
      <c r="E303" t="s">
        <v>2376</v>
      </c>
      <c r="F303" t="s">
        <v>235</v>
      </c>
      <c r="G303" t="s">
        <v>2112</v>
      </c>
      <c r="H303" t="s">
        <v>470</v>
      </c>
      <c r="I303" t="s">
        <v>540</v>
      </c>
      <c r="J303">
        <v>46845</v>
      </c>
    </row>
    <row r="304" spans="1:10">
      <c r="A304" s="90" t="s">
        <v>216</v>
      </c>
      <c r="B304" s="87">
        <v>45735</v>
      </c>
      <c r="C304" t="s">
        <v>511</v>
      </c>
      <c r="D304" t="s">
        <v>2110</v>
      </c>
      <c r="E304" t="s">
        <v>512</v>
      </c>
      <c r="F304" t="s">
        <v>468</v>
      </c>
      <c r="G304" t="s">
        <v>474</v>
      </c>
      <c r="H304" t="s">
        <v>470</v>
      </c>
      <c r="I304" t="s">
        <v>475</v>
      </c>
      <c r="J304">
        <v>3312.57</v>
      </c>
    </row>
    <row r="305" spans="1:10">
      <c r="A305" s="90" t="s">
        <v>216</v>
      </c>
      <c r="B305" s="87">
        <v>45735</v>
      </c>
      <c r="C305" t="s">
        <v>563</v>
      </c>
      <c r="D305" t="s">
        <v>2110</v>
      </c>
      <c r="E305" t="s">
        <v>512</v>
      </c>
      <c r="F305" t="s">
        <v>468</v>
      </c>
      <c r="G305" t="s">
        <v>474</v>
      </c>
      <c r="H305" t="s">
        <v>470</v>
      </c>
      <c r="I305" t="s">
        <v>475</v>
      </c>
      <c r="J305">
        <v>46845</v>
      </c>
    </row>
    <row r="306" spans="1:10">
      <c r="A306" s="90" t="s">
        <v>216</v>
      </c>
      <c r="B306" s="87">
        <v>45736</v>
      </c>
      <c r="C306" t="s">
        <v>2423</v>
      </c>
      <c r="D306" t="s">
        <v>2110</v>
      </c>
      <c r="E306" t="s">
        <v>565</v>
      </c>
      <c r="F306" t="s">
        <v>566</v>
      </c>
      <c r="G306" t="s">
        <v>2381</v>
      </c>
      <c r="H306" t="s">
        <v>470</v>
      </c>
      <c r="I306" t="s">
        <v>475</v>
      </c>
      <c r="J306">
        <v>166.2</v>
      </c>
    </row>
    <row r="307" spans="1:10">
      <c r="A307" s="90" t="s">
        <v>216</v>
      </c>
      <c r="B307" s="87">
        <v>45736</v>
      </c>
      <c r="C307" t="s">
        <v>2424</v>
      </c>
      <c r="D307" t="s">
        <v>2110</v>
      </c>
      <c r="E307" t="s">
        <v>2290</v>
      </c>
      <c r="F307" t="s">
        <v>509</v>
      </c>
      <c r="G307" t="s">
        <v>223</v>
      </c>
      <c r="H307" t="s">
        <v>470</v>
      </c>
      <c r="I307" t="s">
        <v>796</v>
      </c>
      <c r="J307">
        <v>2147.6</v>
      </c>
    </row>
    <row r="308" spans="1:10">
      <c r="A308" s="90" t="s">
        <v>216</v>
      </c>
      <c r="B308" s="87">
        <v>45736</v>
      </c>
      <c r="C308" t="s">
        <v>2425</v>
      </c>
      <c r="D308" t="s">
        <v>2110</v>
      </c>
      <c r="E308" t="s">
        <v>1285</v>
      </c>
      <c r="F308" t="s">
        <v>572</v>
      </c>
      <c r="G308" t="s">
        <v>2112</v>
      </c>
      <c r="H308" t="s">
        <v>470</v>
      </c>
      <c r="I308" t="s">
        <v>540</v>
      </c>
      <c r="J308">
        <v>45648.95</v>
      </c>
    </row>
    <row r="309" spans="1:10">
      <c r="A309" s="90" t="s">
        <v>216</v>
      </c>
      <c r="B309" s="87">
        <v>45736</v>
      </c>
      <c r="C309" t="s">
        <v>2426</v>
      </c>
      <c r="D309" t="s">
        <v>2110</v>
      </c>
      <c r="E309" t="s">
        <v>1285</v>
      </c>
      <c r="F309" t="s">
        <v>574</v>
      </c>
      <c r="G309" t="s">
        <v>2112</v>
      </c>
      <c r="H309" t="s">
        <v>470</v>
      </c>
      <c r="I309" t="s">
        <v>540</v>
      </c>
      <c r="J309">
        <v>56750.400000000001</v>
      </c>
    </row>
    <row r="310" spans="1:10">
      <c r="A310" s="90" t="s">
        <v>216</v>
      </c>
      <c r="B310" s="87">
        <v>45736</v>
      </c>
      <c r="C310" t="s">
        <v>2427</v>
      </c>
      <c r="D310" t="s">
        <v>2110</v>
      </c>
      <c r="E310" t="s">
        <v>2318</v>
      </c>
      <c r="F310" t="s">
        <v>527</v>
      </c>
      <c r="G310" t="s">
        <v>64</v>
      </c>
      <c r="H310" t="s">
        <v>2351</v>
      </c>
      <c r="I310" t="s">
        <v>796</v>
      </c>
      <c r="J310">
        <v>64.7</v>
      </c>
    </row>
    <row r="311" spans="1:10">
      <c r="A311" s="90" t="s">
        <v>216</v>
      </c>
      <c r="B311" s="87">
        <v>45736</v>
      </c>
      <c r="C311" t="s">
        <v>2428</v>
      </c>
      <c r="D311" t="s">
        <v>2110</v>
      </c>
      <c r="E311" t="s">
        <v>477</v>
      </c>
      <c r="F311" t="s">
        <v>2311</v>
      </c>
      <c r="G311" t="s">
        <v>515</v>
      </c>
      <c r="H311" t="s">
        <v>2429</v>
      </c>
      <c r="I311" t="s">
        <v>471</v>
      </c>
      <c r="J311">
        <v>55555.56</v>
      </c>
    </row>
    <row r="312" spans="1:10">
      <c r="A312" s="90" t="s">
        <v>216</v>
      </c>
      <c r="B312" s="87">
        <v>45736</v>
      </c>
      <c r="C312" t="s">
        <v>2428</v>
      </c>
      <c r="D312" t="s">
        <v>2110</v>
      </c>
      <c r="E312" t="s">
        <v>477</v>
      </c>
      <c r="F312" t="s">
        <v>2311</v>
      </c>
      <c r="G312" t="s">
        <v>69</v>
      </c>
      <c r="H312" t="s">
        <v>2429</v>
      </c>
      <c r="I312" t="s">
        <v>471</v>
      </c>
      <c r="J312">
        <v>5371.85</v>
      </c>
    </row>
    <row r="313" spans="1:10">
      <c r="A313" s="90" t="s">
        <v>216</v>
      </c>
      <c r="B313" s="87">
        <v>45736</v>
      </c>
      <c r="C313" t="s">
        <v>511</v>
      </c>
      <c r="D313" t="s">
        <v>2110</v>
      </c>
      <c r="E313" t="s">
        <v>512</v>
      </c>
      <c r="F313" t="s">
        <v>468</v>
      </c>
      <c r="G313" t="s">
        <v>474</v>
      </c>
      <c r="H313" t="s">
        <v>470</v>
      </c>
      <c r="I313" t="s">
        <v>475</v>
      </c>
      <c r="J313">
        <v>165539.06</v>
      </c>
    </row>
    <row r="314" spans="1:10">
      <c r="A314" s="90" t="s">
        <v>216</v>
      </c>
      <c r="B314" s="87">
        <v>45740</v>
      </c>
      <c r="C314" t="s">
        <v>2430</v>
      </c>
      <c r="D314" t="s">
        <v>2110</v>
      </c>
      <c r="E314" t="s">
        <v>2316</v>
      </c>
      <c r="F314" t="s">
        <v>468</v>
      </c>
      <c r="G314" t="s">
        <v>217</v>
      </c>
      <c r="H314" t="s">
        <v>2409</v>
      </c>
      <c r="I314" t="s">
        <v>796</v>
      </c>
      <c r="J314">
        <v>102.75</v>
      </c>
    </row>
    <row r="315" spans="1:10">
      <c r="A315" s="90" t="s">
        <v>216</v>
      </c>
      <c r="B315" s="87">
        <v>45740</v>
      </c>
      <c r="C315" t="s">
        <v>2431</v>
      </c>
      <c r="D315" t="s">
        <v>2110</v>
      </c>
      <c r="E315" t="s">
        <v>1285</v>
      </c>
      <c r="F315" t="s">
        <v>576</v>
      </c>
      <c r="G315" t="s">
        <v>2112</v>
      </c>
      <c r="H315" t="s">
        <v>470</v>
      </c>
      <c r="I315" t="s">
        <v>540</v>
      </c>
      <c r="J315">
        <v>54350.87</v>
      </c>
    </row>
    <row r="316" spans="1:10">
      <c r="A316" s="90" t="s">
        <v>216</v>
      </c>
      <c r="B316" s="87">
        <v>45740</v>
      </c>
      <c r="C316" t="s">
        <v>2432</v>
      </c>
      <c r="D316" t="s">
        <v>2110</v>
      </c>
      <c r="E316" t="s">
        <v>2433</v>
      </c>
      <c r="F316" t="s">
        <v>578</v>
      </c>
      <c r="G316" t="s">
        <v>2125</v>
      </c>
      <c r="H316" t="s">
        <v>470</v>
      </c>
      <c r="I316" t="s">
        <v>487</v>
      </c>
      <c r="J316">
        <v>13516.02</v>
      </c>
    </row>
    <row r="317" spans="1:10">
      <c r="A317" s="90" t="s">
        <v>216</v>
      </c>
      <c r="B317" s="87">
        <v>45740</v>
      </c>
      <c r="C317" t="s">
        <v>2434</v>
      </c>
      <c r="D317" t="s">
        <v>2110</v>
      </c>
      <c r="E317" t="s">
        <v>1285</v>
      </c>
      <c r="F317" t="s">
        <v>578</v>
      </c>
      <c r="G317" t="s">
        <v>2112</v>
      </c>
      <c r="H317" t="s">
        <v>470</v>
      </c>
      <c r="I317" t="s">
        <v>475</v>
      </c>
      <c r="J317">
        <v>54726.7</v>
      </c>
    </row>
    <row r="318" spans="1:10">
      <c r="A318" s="90" t="s">
        <v>216</v>
      </c>
      <c r="B318" s="87">
        <v>45740</v>
      </c>
      <c r="C318" t="s">
        <v>2275</v>
      </c>
      <c r="D318" t="s">
        <v>2110</v>
      </c>
      <c r="E318" t="s">
        <v>477</v>
      </c>
      <c r="F318" t="s">
        <v>468</v>
      </c>
      <c r="G318" t="s">
        <v>74</v>
      </c>
      <c r="H318" t="s">
        <v>470</v>
      </c>
      <c r="I318" t="s">
        <v>471</v>
      </c>
      <c r="J318">
        <v>20</v>
      </c>
    </row>
    <row r="319" spans="1:10">
      <c r="A319" s="90" t="s">
        <v>216</v>
      </c>
      <c r="B319" s="87">
        <v>45740</v>
      </c>
      <c r="C319" t="s">
        <v>511</v>
      </c>
      <c r="D319" t="s">
        <v>2110</v>
      </c>
      <c r="E319" t="s">
        <v>512</v>
      </c>
      <c r="F319" t="s">
        <v>468</v>
      </c>
      <c r="G319" t="s">
        <v>474</v>
      </c>
      <c r="H319" t="s">
        <v>470</v>
      </c>
      <c r="I319" t="s">
        <v>475</v>
      </c>
      <c r="J319">
        <v>123195.44</v>
      </c>
    </row>
    <row r="320" spans="1:10">
      <c r="A320" s="90" t="s">
        <v>216</v>
      </c>
      <c r="B320" s="87">
        <v>45741</v>
      </c>
      <c r="C320" t="s">
        <v>2435</v>
      </c>
      <c r="D320" t="s">
        <v>2110</v>
      </c>
      <c r="E320" t="s">
        <v>2433</v>
      </c>
      <c r="F320" t="s">
        <v>578</v>
      </c>
      <c r="G320" t="s">
        <v>2125</v>
      </c>
      <c r="H320" t="s">
        <v>470</v>
      </c>
      <c r="I320" t="s">
        <v>487</v>
      </c>
      <c r="J320">
        <v>5772.18</v>
      </c>
    </row>
    <row r="321" spans="1:10">
      <c r="A321" s="90" t="s">
        <v>216</v>
      </c>
      <c r="B321" s="87">
        <v>45741</v>
      </c>
      <c r="C321" t="s">
        <v>2436</v>
      </c>
      <c r="D321" t="s">
        <v>2110</v>
      </c>
      <c r="E321" t="s">
        <v>2437</v>
      </c>
      <c r="F321" t="s">
        <v>468</v>
      </c>
      <c r="G321" t="s">
        <v>57</v>
      </c>
      <c r="H321" t="s">
        <v>470</v>
      </c>
      <c r="I321" t="s">
        <v>487</v>
      </c>
      <c r="J321">
        <v>4039.2</v>
      </c>
    </row>
    <row r="322" spans="1:10">
      <c r="A322" s="90" t="s">
        <v>216</v>
      </c>
      <c r="B322" s="87">
        <v>45741</v>
      </c>
      <c r="C322" t="s">
        <v>2275</v>
      </c>
      <c r="D322" t="s">
        <v>2110</v>
      </c>
      <c r="E322" t="s">
        <v>477</v>
      </c>
      <c r="F322" t="s">
        <v>468</v>
      </c>
      <c r="G322" t="s">
        <v>74</v>
      </c>
      <c r="H322" t="s">
        <v>470</v>
      </c>
      <c r="I322" t="s">
        <v>471</v>
      </c>
      <c r="J322">
        <v>6.5</v>
      </c>
    </row>
    <row r="323" spans="1:10">
      <c r="A323" s="90" t="s">
        <v>216</v>
      </c>
      <c r="B323" s="87">
        <v>45741</v>
      </c>
      <c r="C323" t="s">
        <v>2275</v>
      </c>
      <c r="D323" t="s">
        <v>2110</v>
      </c>
      <c r="E323" t="s">
        <v>477</v>
      </c>
      <c r="F323" t="s">
        <v>468</v>
      </c>
      <c r="G323" t="s">
        <v>74</v>
      </c>
      <c r="H323" t="s">
        <v>470</v>
      </c>
      <c r="I323" t="s">
        <v>471</v>
      </c>
      <c r="J323">
        <v>20</v>
      </c>
    </row>
    <row r="324" spans="1:10">
      <c r="A324" s="90" t="s">
        <v>216</v>
      </c>
      <c r="B324" s="87">
        <v>45741</v>
      </c>
      <c r="C324" t="s">
        <v>511</v>
      </c>
      <c r="D324" t="s">
        <v>2110</v>
      </c>
      <c r="E324" t="s">
        <v>512</v>
      </c>
      <c r="F324" t="s">
        <v>468</v>
      </c>
      <c r="G324" t="s">
        <v>474</v>
      </c>
      <c r="H324" t="s">
        <v>470</v>
      </c>
      <c r="I324" t="s">
        <v>475</v>
      </c>
      <c r="J324">
        <v>9837.8799999999992</v>
      </c>
    </row>
    <row r="325" spans="1:10">
      <c r="A325" s="90" t="s">
        <v>216</v>
      </c>
      <c r="B325" s="87">
        <v>45742</v>
      </c>
      <c r="C325" t="s">
        <v>2438</v>
      </c>
      <c r="D325" t="s">
        <v>2110</v>
      </c>
      <c r="E325" t="s">
        <v>1285</v>
      </c>
      <c r="F325" t="s">
        <v>580</v>
      </c>
      <c r="G325" t="s">
        <v>2112</v>
      </c>
      <c r="H325" t="s">
        <v>470</v>
      </c>
      <c r="I325" t="s">
        <v>540</v>
      </c>
      <c r="J325">
        <v>70280.3</v>
      </c>
    </row>
    <row r="326" spans="1:10">
      <c r="A326" s="90" t="s">
        <v>216</v>
      </c>
      <c r="B326" s="87">
        <v>45742</v>
      </c>
      <c r="C326" t="s">
        <v>2439</v>
      </c>
      <c r="D326" t="s">
        <v>2110</v>
      </c>
      <c r="E326" t="s">
        <v>1285</v>
      </c>
      <c r="F326" t="s">
        <v>584</v>
      </c>
      <c r="G326" t="s">
        <v>2112</v>
      </c>
      <c r="H326" t="s">
        <v>470</v>
      </c>
      <c r="I326" t="s">
        <v>540</v>
      </c>
      <c r="J326">
        <v>70309.210000000006</v>
      </c>
    </row>
    <row r="327" spans="1:10">
      <c r="A327" s="90" t="s">
        <v>216</v>
      </c>
      <c r="B327" s="87">
        <v>45742</v>
      </c>
      <c r="C327" t="s">
        <v>2440</v>
      </c>
      <c r="D327" t="s">
        <v>2110</v>
      </c>
      <c r="E327" t="s">
        <v>2441</v>
      </c>
      <c r="F327" t="s">
        <v>586</v>
      </c>
      <c r="G327" t="s">
        <v>2125</v>
      </c>
      <c r="H327" t="s">
        <v>470</v>
      </c>
      <c r="I327" t="s">
        <v>487</v>
      </c>
      <c r="J327">
        <v>13045.76</v>
      </c>
    </row>
    <row r="328" spans="1:10">
      <c r="A328" s="90" t="s">
        <v>216</v>
      </c>
      <c r="B328" s="87">
        <v>45742</v>
      </c>
      <c r="C328" t="s">
        <v>2442</v>
      </c>
      <c r="D328" t="s">
        <v>2110</v>
      </c>
      <c r="E328" t="s">
        <v>1285</v>
      </c>
      <c r="F328" t="s">
        <v>586</v>
      </c>
      <c r="G328" t="s">
        <v>2112</v>
      </c>
      <c r="H328" t="s">
        <v>470</v>
      </c>
      <c r="I328" t="s">
        <v>540</v>
      </c>
      <c r="J328">
        <v>51806.79</v>
      </c>
    </row>
    <row r="329" spans="1:10">
      <c r="A329" s="90" t="s">
        <v>216</v>
      </c>
      <c r="B329" s="87">
        <v>45742</v>
      </c>
      <c r="C329" t="s">
        <v>2443</v>
      </c>
      <c r="D329" t="s">
        <v>2110</v>
      </c>
      <c r="E329" t="s">
        <v>2444</v>
      </c>
      <c r="F329" t="s">
        <v>588</v>
      </c>
      <c r="G329" t="s">
        <v>2125</v>
      </c>
      <c r="H329" t="s">
        <v>470</v>
      </c>
      <c r="I329" t="s">
        <v>487</v>
      </c>
      <c r="J329">
        <v>17515.68</v>
      </c>
    </row>
    <row r="330" spans="1:10">
      <c r="A330" s="90" t="s">
        <v>216</v>
      </c>
      <c r="B330" s="87">
        <v>45742</v>
      </c>
      <c r="C330" t="s">
        <v>2445</v>
      </c>
      <c r="D330" t="s">
        <v>2110</v>
      </c>
      <c r="E330" t="s">
        <v>1285</v>
      </c>
      <c r="F330" t="s">
        <v>588</v>
      </c>
      <c r="G330" t="s">
        <v>2112</v>
      </c>
      <c r="H330" t="s">
        <v>470</v>
      </c>
      <c r="I330" t="s">
        <v>487</v>
      </c>
      <c r="J330">
        <v>69557.55</v>
      </c>
    </row>
    <row r="331" spans="1:10">
      <c r="A331" s="90" t="s">
        <v>216</v>
      </c>
      <c r="B331" s="87">
        <v>45742</v>
      </c>
      <c r="C331" t="s">
        <v>2446</v>
      </c>
      <c r="D331" t="s">
        <v>2110</v>
      </c>
      <c r="E331" t="s">
        <v>2447</v>
      </c>
      <c r="F331" t="s">
        <v>590</v>
      </c>
      <c r="G331" t="s">
        <v>2125</v>
      </c>
      <c r="H331" t="s">
        <v>470</v>
      </c>
      <c r="I331" t="s">
        <v>487</v>
      </c>
      <c r="J331">
        <v>17493.84</v>
      </c>
    </row>
    <row r="332" spans="1:10">
      <c r="A332" s="90" t="s">
        <v>216</v>
      </c>
      <c r="B332" s="87">
        <v>45742</v>
      </c>
      <c r="C332" t="s">
        <v>2448</v>
      </c>
      <c r="D332" t="s">
        <v>2110</v>
      </c>
      <c r="E332" t="s">
        <v>1285</v>
      </c>
      <c r="F332" t="s">
        <v>590</v>
      </c>
      <c r="G332" t="s">
        <v>2112</v>
      </c>
      <c r="H332" t="s">
        <v>470</v>
      </c>
      <c r="I332" t="s">
        <v>487</v>
      </c>
      <c r="J332">
        <v>69470.820000000007</v>
      </c>
    </row>
    <row r="333" spans="1:10">
      <c r="A333" s="90" t="s">
        <v>216</v>
      </c>
      <c r="B333" s="87">
        <v>45742</v>
      </c>
      <c r="C333" t="s">
        <v>2449</v>
      </c>
      <c r="D333" t="s">
        <v>2110</v>
      </c>
      <c r="E333" t="s">
        <v>2450</v>
      </c>
      <c r="F333" t="s">
        <v>592</v>
      </c>
      <c r="G333" t="s">
        <v>2125</v>
      </c>
      <c r="H333" t="s">
        <v>470</v>
      </c>
      <c r="I333" t="s">
        <v>487</v>
      </c>
      <c r="J333">
        <v>17530.240000000002</v>
      </c>
    </row>
    <row r="334" spans="1:10">
      <c r="A334" s="90" t="s">
        <v>216</v>
      </c>
      <c r="B334" s="87">
        <v>45742</v>
      </c>
      <c r="C334" t="s">
        <v>2451</v>
      </c>
      <c r="D334" t="s">
        <v>2110</v>
      </c>
      <c r="E334" t="s">
        <v>1285</v>
      </c>
      <c r="F334" t="s">
        <v>592</v>
      </c>
      <c r="G334" t="s">
        <v>2112</v>
      </c>
      <c r="H334" t="s">
        <v>470</v>
      </c>
      <c r="I334" t="s">
        <v>540</v>
      </c>
      <c r="J334">
        <v>69615.37</v>
      </c>
    </row>
    <row r="335" spans="1:10">
      <c r="A335" s="90" t="s">
        <v>216</v>
      </c>
      <c r="B335" s="87">
        <v>45742</v>
      </c>
      <c r="C335" t="s">
        <v>2452</v>
      </c>
      <c r="D335" t="s">
        <v>2110</v>
      </c>
      <c r="E335" t="s">
        <v>477</v>
      </c>
      <c r="F335" t="s">
        <v>2325</v>
      </c>
      <c r="G335" t="s">
        <v>515</v>
      </c>
      <c r="H335" t="s">
        <v>2453</v>
      </c>
      <c r="I335" t="s">
        <v>471</v>
      </c>
      <c r="J335">
        <v>33666.57</v>
      </c>
    </row>
    <row r="336" spans="1:10">
      <c r="A336" s="90" t="s">
        <v>216</v>
      </c>
      <c r="B336" s="87">
        <v>45742</v>
      </c>
      <c r="C336" t="s">
        <v>2452</v>
      </c>
      <c r="D336" t="s">
        <v>2110</v>
      </c>
      <c r="E336" t="s">
        <v>477</v>
      </c>
      <c r="F336" t="s">
        <v>2325</v>
      </c>
      <c r="G336" t="s">
        <v>69</v>
      </c>
      <c r="H336" t="s">
        <v>2453</v>
      </c>
      <c r="I336" t="s">
        <v>471</v>
      </c>
      <c r="J336">
        <v>7478.59</v>
      </c>
    </row>
    <row r="337" spans="1:10">
      <c r="A337" s="90" t="s">
        <v>216</v>
      </c>
      <c r="B337" s="87">
        <v>45742</v>
      </c>
      <c r="C337" t="s">
        <v>2275</v>
      </c>
      <c r="D337" t="s">
        <v>2110</v>
      </c>
      <c r="E337" t="s">
        <v>477</v>
      </c>
      <c r="F337" t="s">
        <v>468</v>
      </c>
      <c r="G337" t="s">
        <v>74</v>
      </c>
      <c r="H337" t="s">
        <v>470</v>
      </c>
      <c r="I337" t="s">
        <v>471</v>
      </c>
      <c r="J337">
        <v>20</v>
      </c>
    </row>
    <row r="338" spans="1:10">
      <c r="A338" s="90" t="s">
        <v>216</v>
      </c>
      <c r="B338" s="87">
        <v>45742</v>
      </c>
      <c r="C338" t="s">
        <v>511</v>
      </c>
      <c r="D338" t="s">
        <v>2110</v>
      </c>
      <c r="E338" t="s">
        <v>512</v>
      </c>
      <c r="F338" t="s">
        <v>468</v>
      </c>
      <c r="G338" t="s">
        <v>474</v>
      </c>
      <c r="H338" t="s">
        <v>470</v>
      </c>
      <c r="I338" t="s">
        <v>475</v>
      </c>
      <c r="J338">
        <v>272714.86</v>
      </c>
    </row>
    <row r="339" spans="1:10">
      <c r="A339" s="90" t="s">
        <v>216</v>
      </c>
      <c r="B339" s="87">
        <v>45742</v>
      </c>
      <c r="C339" t="s">
        <v>511</v>
      </c>
      <c r="D339" t="s">
        <v>2110</v>
      </c>
      <c r="E339" t="s">
        <v>512</v>
      </c>
      <c r="F339" t="s">
        <v>468</v>
      </c>
      <c r="G339" t="s">
        <v>474</v>
      </c>
      <c r="H339" t="s">
        <v>470</v>
      </c>
      <c r="I339" t="s">
        <v>475</v>
      </c>
      <c r="J339">
        <v>235075.86</v>
      </c>
    </row>
    <row r="340" spans="1:10">
      <c r="A340" s="90" t="s">
        <v>216</v>
      </c>
      <c r="B340" s="87">
        <v>45743</v>
      </c>
      <c r="C340" t="s">
        <v>2454</v>
      </c>
      <c r="D340" t="s">
        <v>2110</v>
      </c>
      <c r="E340" t="s">
        <v>477</v>
      </c>
      <c r="F340" t="s">
        <v>468</v>
      </c>
      <c r="G340" t="s">
        <v>71</v>
      </c>
      <c r="H340" t="s">
        <v>470</v>
      </c>
      <c r="I340" t="s">
        <v>475</v>
      </c>
      <c r="J340">
        <v>2000</v>
      </c>
    </row>
    <row r="341" spans="1:10">
      <c r="A341" s="90" t="s">
        <v>216</v>
      </c>
      <c r="B341" s="87">
        <v>45743</v>
      </c>
      <c r="C341" t="s">
        <v>511</v>
      </c>
      <c r="D341" t="s">
        <v>2110</v>
      </c>
      <c r="E341" t="s">
        <v>512</v>
      </c>
      <c r="F341" t="s">
        <v>468</v>
      </c>
      <c r="G341" t="s">
        <v>474</v>
      </c>
      <c r="H341" t="s">
        <v>470</v>
      </c>
      <c r="I341" t="s">
        <v>475</v>
      </c>
      <c r="J341">
        <v>2000</v>
      </c>
    </row>
    <row r="342" spans="1:10">
      <c r="A342" s="90" t="s">
        <v>216</v>
      </c>
      <c r="B342" s="87">
        <v>45744</v>
      </c>
      <c r="C342" t="s">
        <v>2399</v>
      </c>
      <c r="D342" t="s">
        <v>2110</v>
      </c>
      <c r="E342" t="s">
        <v>477</v>
      </c>
      <c r="F342" t="s">
        <v>468</v>
      </c>
      <c r="G342" t="s">
        <v>66</v>
      </c>
      <c r="H342" t="s">
        <v>470</v>
      </c>
      <c r="I342" t="s">
        <v>471</v>
      </c>
      <c r="J342">
        <v>667.25</v>
      </c>
    </row>
    <row r="343" spans="1:10">
      <c r="A343" s="90" t="s">
        <v>216</v>
      </c>
      <c r="B343" s="87">
        <v>45744</v>
      </c>
      <c r="C343" t="s">
        <v>2399</v>
      </c>
      <c r="D343" t="s">
        <v>2110</v>
      </c>
      <c r="E343" t="s">
        <v>477</v>
      </c>
      <c r="F343" t="s">
        <v>468</v>
      </c>
      <c r="G343" t="s">
        <v>62</v>
      </c>
      <c r="H343" t="s">
        <v>470</v>
      </c>
      <c r="I343" t="s">
        <v>471</v>
      </c>
      <c r="J343">
        <v>19741.13</v>
      </c>
    </row>
    <row r="344" spans="1:10">
      <c r="A344" s="90" t="s">
        <v>216</v>
      </c>
      <c r="B344" s="87">
        <v>45744</v>
      </c>
      <c r="C344" t="s">
        <v>2399</v>
      </c>
      <c r="D344" t="s">
        <v>2110</v>
      </c>
      <c r="E344" t="s">
        <v>477</v>
      </c>
      <c r="F344" t="s">
        <v>468</v>
      </c>
      <c r="G344" t="s">
        <v>74</v>
      </c>
      <c r="H344" t="s">
        <v>470</v>
      </c>
      <c r="I344" t="s">
        <v>471</v>
      </c>
      <c r="J344">
        <v>3</v>
      </c>
    </row>
    <row r="345" spans="1:10">
      <c r="A345" s="90" t="s">
        <v>216</v>
      </c>
      <c r="B345" s="87">
        <v>45744</v>
      </c>
      <c r="C345" t="s">
        <v>2399</v>
      </c>
      <c r="D345" t="s">
        <v>2110</v>
      </c>
      <c r="E345" t="s">
        <v>477</v>
      </c>
      <c r="F345" t="s">
        <v>468</v>
      </c>
      <c r="G345" t="s">
        <v>77</v>
      </c>
      <c r="H345" t="s">
        <v>470</v>
      </c>
      <c r="I345" t="s">
        <v>471</v>
      </c>
      <c r="J345">
        <v>1200</v>
      </c>
    </row>
    <row r="346" spans="1:10">
      <c r="A346" s="90" t="s">
        <v>216</v>
      </c>
      <c r="B346" s="87">
        <v>45744</v>
      </c>
      <c r="C346" t="s">
        <v>2399</v>
      </c>
      <c r="D346" t="s">
        <v>2110</v>
      </c>
      <c r="E346" t="s">
        <v>477</v>
      </c>
      <c r="F346" t="s">
        <v>468</v>
      </c>
      <c r="G346" t="s">
        <v>62</v>
      </c>
      <c r="H346" t="s">
        <v>470</v>
      </c>
      <c r="I346" t="s">
        <v>471</v>
      </c>
      <c r="J346">
        <v>3000</v>
      </c>
    </row>
    <row r="347" spans="1:10">
      <c r="A347" s="90" t="s">
        <v>216</v>
      </c>
      <c r="B347" s="87">
        <v>45744</v>
      </c>
      <c r="C347" t="s">
        <v>511</v>
      </c>
      <c r="D347" t="s">
        <v>2110</v>
      </c>
      <c r="E347" t="s">
        <v>512</v>
      </c>
      <c r="F347" t="s">
        <v>468</v>
      </c>
      <c r="G347" t="s">
        <v>474</v>
      </c>
      <c r="H347" t="s">
        <v>470</v>
      </c>
      <c r="I347" t="s">
        <v>475</v>
      </c>
      <c r="J347">
        <v>24611.38</v>
      </c>
    </row>
    <row r="348" spans="1:10">
      <c r="A348" s="90" t="s">
        <v>216</v>
      </c>
      <c r="B348" s="87">
        <v>45747</v>
      </c>
      <c r="C348" t="s">
        <v>2455</v>
      </c>
      <c r="D348" t="s">
        <v>2110</v>
      </c>
      <c r="E348" t="s">
        <v>2456</v>
      </c>
      <c r="F348" t="s">
        <v>468</v>
      </c>
      <c r="G348" t="s">
        <v>233</v>
      </c>
      <c r="H348" t="s">
        <v>470</v>
      </c>
      <c r="I348" t="s">
        <v>796</v>
      </c>
      <c r="J348">
        <v>1518.94</v>
      </c>
    </row>
    <row r="349" spans="1:10">
      <c r="A349" s="90" t="s">
        <v>216</v>
      </c>
      <c r="B349" s="87">
        <v>45747</v>
      </c>
      <c r="C349" t="s">
        <v>2457</v>
      </c>
      <c r="D349" t="s">
        <v>2110</v>
      </c>
      <c r="E349" t="s">
        <v>1137</v>
      </c>
      <c r="F349" t="s">
        <v>2458</v>
      </c>
      <c r="G349" t="s">
        <v>61</v>
      </c>
      <c r="H349" t="s">
        <v>2409</v>
      </c>
      <c r="I349" t="s">
        <v>487</v>
      </c>
      <c r="J349">
        <v>1518</v>
      </c>
    </row>
    <row r="350" spans="1:10">
      <c r="A350" s="90" t="s">
        <v>216</v>
      </c>
      <c r="B350" s="87">
        <v>45747</v>
      </c>
      <c r="C350" t="s">
        <v>2459</v>
      </c>
      <c r="D350" t="s">
        <v>2110</v>
      </c>
      <c r="E350" t="s">
        <v>1285</v>
      </c>
      <c r="F350" t="s">
        <v>594</v>
      </c>
      <c r="G350" t="s">
        <v>2112</v>
      </c>
      <c r="H350" t="s">
        <v>470</v>
      </c>
      <c r="I350" t="s">
        <v>540</v>
      </c>
      <c r="J350">
        <v>54437.599999999999</v>
      </c>
    </row>
    <row r="351" spans="1:10">
      <c r="A351" s="90" t="s">
        <v>216</v>
      </c>
      <c r="B351" s="87">
        <v>45747</v>
      </c>
      <c r="C351" t="s">
        <v>2460</v>
      </c>
      <c r="D351" t="s">
        <v>2110</v>
      </c>
      <c r="E351" t="s">
        <v>1285</v>
      </c>
      <c r="F351" t="s">
        <v>596</v>
      </c>
      <c r="G351" t="s">
        <v>2112</v>
      </c>
      <c r="H351" t="s">
        <v>470</v>
      </c>
      <c r="I351" t="s">
        <v>540</v>
      </c>
      <c r="J351">
        <v>57039.5</v>
      </c>
    </row>
    <row r="352" spans="1:10">
      <c r="A352" s="90" t="s">
        <v>216</v>
      </c>
      <c r="B352" s="87">
        <v>45747</v>
      </c>
      <c r="C352" t="s">
        <v>2461</v>
      </c>
      <c r="D352" t="s">
        <v>2110</v>
      </c>
      <c r="E352" t="s">
        <v>1285</v>
      </c>
      <c r="F352" t="s">
        <v>598</v>
      </c>
      <c r="G352" t="s">
        <v>2112</v>
      </c>
      <c r="H352" t="s">
        <v>470</v>
      </c>
      <c r="I352" t="s">
        <v>540</v>
      </c>
      <c r="J352">
        <v>69441.91</v>
      </c>
    </row>
    <row r="353" spans="1:10">
      <c r="A353" s="90" t="s">
        <v>216</v>
      </c>
      <c r="B353" s="87">
        <v>45747</v>
      </c>
      <c r="C353" t="s">
        <v>2462</v>
      </c>
      <c r="D353" t="s">
        <v>2110</v>
      </c>
      <c r="E353" t="s">
        <v>1285</v>
      </c>
      <c r="F353" t="s">
        <v>600</v>
      </c>
      <c r="G353" t="s">
        <v>2112</v>
      </c>
      <c r="H353" t="s">
        <v>470</v>
      </c>
      <c r="I353" t="s">
        <v>540</v>
      </c>
      <c r="J353">
        <v>56692.58</v>
      </c>
    </row>
    <row r="354" spans="1:10">
      <c r="A354" s="90" t="s">
        <v>216</v>
      </c>
      <c r="B354" s="87">
        <v>45747</v>
      </c>
      <c r="C354" t="s">
        <v>2463</v>
      </c>
      <c r="D354" t="s">
        <v>2110</v>
      </c>
      <c r="E354" t="s">
        <v>1285</v>
      </c>
      <c r="F354" t="s">
        <v>582</v>
      </c>
      <c r="G354" t="s">
        <v>2112</v>
      </c>
      <c r="H354" t="s">
        <v>470</v>
      </c>
      <c r="I354" t="s">
        <v>540</v>
      </c>
      <c r="J354">
        <v>71754.710000000006</v>
      </c>
    </row>
    <row r="355" spans="1:10">
      <c r="A355" s="90" t="s">
        <v>216</v>
      </c>
      <c r="B355" s="87">
        <v>45747</v>
      </c>
      <c r="C355" t="s">
        <v>2336</v>
      </c>
      <c r="D355" t="s">
        <v>2110</v>
      </c>
      <c r="E355" t="s">
        <v>480</v>
      </c>
      <c r="F355" t="s">
        <v>468</v>
      </c>
      <c r="G355" t="s">
        <v>71</v>
      </c>
      <c r="H355" t="s">
        <v>2409</v>
      </c>
      <c r="I355" t="s">
        <v>475</v>
      </c>
      <c r="J355">
        <v>2314</v>
      </c>
    </row>
    <row r="356" spans="1:10">
      <c r="A356" s="90" t="s">
        <v>216</v>
      </c>
      <c r="B356" s="87">
        <v>45747</v>
      </c>
      <c r="C356" t="s">
        <v>2464</v>
      </c>
      <c r="D356" t="s">
        <v>2110</v>
      </c>
      <c r="E356" t="s">
        <v>1285</v>
      </c>
      <c r="F356" t="s">
        <v>602</v>
      </c>
      <c r="G356" t="s">
        <v>2112</v>
      </c>
      <c r="H356" t="s">
        <v>470</v>
      </c>
      <c r="I356" t="s">
        <v>540</v>
      </c>
      <c r="J356">
        <v>70916.320000000007</v>
      </c>
    </row>
    <row r="357" spans="1:10">
      <c r="A357" s="90" t="s">
        <v>216</v>
      </c>
      <c r="B357" s="87">
        <v>45747</v>
      </c>
      <c r="C357" t="s">
        <v>2465</v>
      </c>
      <c r="D357" t="s">
        <v>2110</v>
      </c>
      <c r="E357" t="s">
        <v>2300</v>
      </c>
      <c r="F357" t="s">
        <v>468</v>
      </c>
      <c r="G357" t="s">
        <v>220</v>
      </c>
      <c r="H357" t="s">
        <v>2466</v>
      </c>
      <c r="I357" t="s">
        <v>796</v>
      </c>
      <c r="J357">
        <v>2901.23</v>
      </c>
    </row>
    <row r="358" spans="1:10">
      <c r="A358" s="90" t="s">
        <v>216</v>
      </c>
      <c r="B358" s="87">
        <v>45747</v>
      </c>
      <c r="C358" t="s">
        <v>2467</v>
      </c>
      <c r="D358" t="s">
        <v>2110</v>
      </c>
      <c r="E358" t="s">
        <v>2468</v>
      </c>
      <c r="F358" t="s">
        <v>604</v>
      </c>
      <c r="G358" t="s">
        <v>2125</v>
      </c>
      <c r="H358" t="s">
        <v>470</v>
      </c>
      <c r="I358" t="s">
        <v>487</v>
      </c>
      <c r="J358">
        <v>17115.28</v>
      </c>
    </row>
    <row r="359" spans="1:10">
      <c r="A359" s="90" t="s">
        <v>216</v>
      </c>
      <c r="B359" s="87">
        <v>45747</v>
      </c>
      <c r="C359" t="s">
        <v>2469</v>
      </c>
      <c r="D359" t="s">
        <v>2110</v>
      </c>
      <c r="E359" t="s">
        <v>1285</v>
      </c>
      <c r="F359" t="s">
        <v>604</v>
      </c>
      <c r="G359" t="s">
        <v>2112</v>
      </c>
      <c r="H359" t="s">
        <v>470</v>
      </c>
      <c r="I359" t="s">
        <v>540</v>
      </c>
      <c r="J359">
        <v>67967.5</v>
      </c>
    </row>
    <row r="360" spans="1:10">
      <c r="A360" s="90" t="s">
        <v>216</v>
      </c>
      <c r="B360" s="87">
        <v>45747</v>
      </c>
      <c r="C360" t="s">
        <v>2470</v>
      </c>
      <c r="D360" t="s">
        <v>2110</v>
      </c>
      <c r="E360" t="s">
        <v>2471</v>
      </c>
      <c r="F360" t="s">
        <v>606</v>
      </c>
      <c r="G360" t="s">
        <v>2125</v>
      </c>
      <c r="H360" t="s">
        <v>470</v>
      </c>
      <c r="I360" t="s">
        <v>487</v>
      </c>
      <c r="J360">
        <v>17326.400000000001</v>
      </c>
    </row>
    <row r="361" spans="1:10">
      <c r="A361" s="90" t="s">
        <v>216</v>
      </c>
      <c r="B361" s="87">
        <v>45747</v>
      </c>
      <c r="C361" t="s">
        <v>2472</v>
      </c>
      <c r="D361" t="s">
        <v>2110</v>
      </c>
      <c r="E361" t="s">
        <v>1285</v>
      </c>
      <c r="F361" t="s">
        <v>606</v>
      </c>
      <c r="G361" t="s">
        <v>2112</v>
      </c>
      <c r="H361" t="s">
        <v>470</v>
      </c>
      <c r="I361" t="s">
        <v>540</v>
      </c>
      <c r="J361">
        <v>68805.89</v>
      </c>
    </row>
    <row r="362" spans="1:10">
      <c r="A362" s="90" t="s">
        <v>216</v>
      </c>
      <c r="B362" s="87">
        <v>45747</v>
      </c>
      <c r="C362" t="s">
        <v>2473</v>
      </c>
      <c r="D362" t="s">
        <v>2110</v>
      </c>
      <c r="E362" t="s">
        <v>2474</v>
      </c>
      <c r="F362" t="s">
        <v>608</v>
      </c>
      <c r="G362" t="s">
        <v>2125</v>
      </c>
      <c r="H362" t="s">
        <v>470</v>
      </c>
      <c r="I362" t="s">
        <v>487</v>
      </c>
      <c r="J362">
        <v>17013.36</v>
      </c>
    </row>
    <row r="363" spans="1:10">
      <c r="A363" s="90" t="s">
        <v>216</v>
      </c>
      <c r="B363" s="87">
        <v>45747</v>
      </c>
      <c r="C363" t="s">
        <v>2475</v>
      </c>
      <c r="D363" t="s">
        <v>2110</v>
      </c>
      <c r="E363" t="s">
        <v>1285</v>
      </c>
      <c r="F363" t="s">
        <v>608</v>
      </c>
      <c r="G363" t="s">
        <v>2112</v>
      </c>
      <c r="H363" t="s">
        <v>470</v>
      </c>
      <c r="I363" t="s">
        <v>540</v>
      </c>
      <c r="J363">
        <v>67562.759999999995</v>
      </c>
    </row>
    <row r="364" spans="1:10">
      <c r="A364" s="90" t="s">
        <v>216</v>
      </c>
      <c r="B364" s="87">
        <v>45747</v>
      </c>
      <c r="C364" t="s">
        <v>2476</v>
      </c>
      <c r="D364" t="s">
        <v>2110</v>
      </c>
      <c r="E364" t="s">
        <v>1667</v>
      </c>
      <c r="F364" t="s">
        <v>2477</v>
      </c>
      <c r="G364" t="s">
        <v>2115</v>
      </c>
      <c r="H364" t="s">
        <v>470</v>
      </c>
      <c r="I364" t="s">
        <v>475</v>
      </c>
      <c r="J364">
        <v>1726.45</v>
      </c>
    </row>
    <row r="365" spans="1:10">
      <c r="A365" s="90" t="s">
        <v>216</v>
      </c>
      <c r="B365" s="87">
        <v>45747</v>
      </c>
      <c r="C365" t="s">
        <v>2476</v>
      </c>
      <c r="D365" t="s">
        <v>2110</v>
      </c>
      <c r="E365" t="s">
        <v>1667</v>
      </c>
      <c r="F365" t="s">
        <v>2477</v>
      </c>
      <c r="G365" t="s">
        <v>71</v>
      </c>
      <c r="H365" t="s">
        <v>470</v>
      </c>
      <c r="I365" t="s">
        <v>475</v>
      </c>
      <c r="J365">
        <v>55.75</v>
      </c>
    </row>
    <row r="366" spans="1:10">
      <c r="A366" s="90" t="s">
        <v>216</v>
      </c>
      <c r="B366" s="87">
        <v>45747</v>
      </c>
      <c r="C366" t="s">
        <v>2478</v>
      </c>
      <c r="D366" t="s">
        <v>2110</v>
      </c>
      <c r="E366" t="s">
        <v>480</v>
      </c>
      <c r="F366" t="s">
        <v>468</v>
      </c>
      <c r="G366" t="s">
        <v>62</v>
      </c>
      <c r="H366" t="s">
        <v>470</v>
      </c>
      <c r="I366" t="s">
        <v>475</v>
      </c>
      <c r="J366">
        <v>2671.2</v>
      </c>
    </row>
    <row r="367" spans="1:10">
      <c r="A367" s="90" t="s">
        <v>216</v>
      </c>
      <c r="B367" s="87">
        <v>45747</v>
      </c>
      <c r="C367" t="s">
        <v>2478</v>
      </c>
      <c r="D367" t="s">
        <v>2110</v>
      </c>
      <c r="E367" t="s">
        <v>480</v>
      </c>
      <c r="F367" t="s">
        <v>468</v>
      </c>
      <c r="G367" t="s">
        <v>232</v>
      </c>
      <c r="H367" t="s">
        <v>470</v>
      </c>
      <c r="I367" t="s">
        <v>475</v>
      </c>
      <c r="J367">
        <v>800</v>
      </c>
    </row>
    <row r="368" spans="1:10">
      <c r="A368" s="90" t="s">
        <v>216</v>
      </c>
      <c r="B368" s="87">
        <v>45747</v>
      </c>
      <c r="C368" t="s">
        <v>2479</v>
      </c>
      <c r="D368" t="s">
        <v>2110</v>
      </c>
      <c r="E368" t="s">
        <v>477</v>
      </c>
      <c r="F368" t="s">
        <v>468</v>
      </c>
      <c r="G368" t="s">
        <v>74</v>
      </c>
      <c r="H368" t="s">
        <v>470</v>
      </c>
      <c r="I368" t="s">
        <v>471</v>
      </c>
      <c r="J368">
        <v>20</v>
      </c>
    </row>
    <row r="369" spans="1:10">
      <c r="A369" s="90" t="s">
        <v>216</v>
      </c>
      <c r="B369" s="87">
        <v>45747</v>
      </c>
      <c r="C369" t="s">
        <v>2480</v>
      </c>
      <c r="D369" t="s">
        <v>2110</v>
      </c>
      <c r="E369" t="s">
        <v>2300</v>
      </c>
      <c r="F369" t="s">
        <v>468</v>
      </c>
      <c r="G369" t="s">
        <v>70</v>
      </c>
      <c r="H369" t="s">
        <v>470</v>
      </c>
      <c r="I369" t="s">
        <v>796</v>
      </c>
      <c r="J369">
        <v>49.03</v>
      </c>
    </row>
    <row r="370" spans="1:10">
      <c r="A370" s="90" t="s">
        <v>216</v>
      </c>
      <c r="B370" s="87">
        <v>45747</v>
      </c>
      <c r="C370" t="s">
        <v>511</v>
      </c>
      <c r="D370" t="s">
        <v>2110</v>
      </c>
      <c r="E370" t="s">
        <v>512</v>
      </c>
      <c r="F370" t="s">
        <v>468</v>
      </c>
      <c r="G370" t="s">
        <v>474</v>
      </c>
      <c r="H370" t="s">
        <v>470</v>
      </c>
      <c r="I370" t="s">
        <v>475</v>
      </c>
      <c r="J370">
        <v>316315.08</v>
      </c>
    </row>
    <row r="371" spans="1:10">
      <c r="A371" s="90" t="s">
        <v>216</v>
      </c>
      <c r="B371" s="87">
        <v>45747</v>
      </c>
      <c r="C371" t="s">
        <v>2347</v>
      </c>
      <c r="D371" t="s">
        <v>2110</v>
      </c>
      <c r="E371" t="s">
        <v>477</v>
      </c>
      <c r="F371" t="s">
        <v>468</v>
      </c>
      <c r="G371" t="s">
        <v>68</v>
      </c>
      <c r="H371" t="s">
        <v>470</v>
      </c>
      <c r="I371" t="s">
        <v>471</v>
      </c>
      <c r="J371">
        <v>1517.94</v>
      </c>
    </row>
    <row r="372" spans="1:10">
      <c r="A372" s="90" t="s">
        <v>216</v>
      </c>
      <c r="B372" s="87">
        <v>45747</v>
      </c>
      <c r="C372" t="s">
        <v>66</v>
      </c>
      <c r="D372" t="s">
        <v>2110</v>
      </c>
      <c r="E372" t="s">
        <v>477</v>
      </c>
      <c r="F372" t="s">
        <v>468</v>
      </c>
      <c r="G372" t="s">
        <v>66</v>
      </c>
      <c r="H372" t="s">
        <v>470</v>
      </c>
      <c r="I372" t="s">
        <v>471</v>
      </c>
      <c r="J372">
        <v>126.79</v>
      </c>
    </row>
    <row r="373" spans="1:10">
      <c r="A373" s="90" t="s">
        <v>216</v>
      </c>
      <c r="B373" s="87">
        <v>45747</v>
      </c>
      <c r="C373" t="s">
        <v>66</v>
      </c>
      <c r="D373" t="s">
        <v>2110</v>
      </c>
      <c r="E373" t="s">
        <v>477</v>
      </c>
      <c r="F373" t="s">
        <v>468</v>
      </c>
      <c r="G373" t="s">
        <v>66</v>
      </c>
      <c r="H373" t="s">
        <v>470</v>
      </c>
      <c r="I373" t="s">
        <v>471</v>
      </c>
      <c r="J373">
        <v>156.33000000000001</v>
      </c>
    </row>
    <row r="374" spans="1:10">
      <c r="A374" s="90" t="s">
        <v>216</v>
      </c>
      <c r="B374" s="87">
        <v>45747</v>
      </c>
      <c r="C374" t="s">
        <v>2347</v>
      </c>
      <c r="D374" t="s">
        <v>2110</v>
      </c>
      <c r="E374" t="s">
        <v>477</v>
      </c>
      <c r="F374" t="s">
        <v>468</v>
      </c>
      <c r="G374" t="s">
        <v>68</v>
      </c>
      <c r="H374" t="s">
        <v>470</v>
      </c>
      <c r="I374" t="s">
        <v>471</v>
      </c>
      <c r="J374">
        <v>24.73</v>
      </c>
    </row>
    <row r="375" spans="1:10">
      <c r="A375" s="90" t="s">
        <v>216</v>
      </c>
      <c r="B375" s="87">
        <v>45748</v>
      </c>
      <c r="C375" t="s">
        <v>2481</v>
      </c>
      <c r="D375" t="s">
        <v>2110</v>
      </c>
      <c r="E375" t="s">
        <v>2262</v>
      </c>
      <c r="F375" t="s">
        <v>2482</v>
      </c>
      <c r="G375" t="s">
        <v>73</v>
      </c>
      <c r="H375" t="s">
        <v>2483</v>
      </c>
      <c r="I375" t="s">
        <v>796</v>
      </c>
      <c r="J375">
        <v>633.01</v>
      </c>
    </row>
    <row r="376" spans="1:10">
      <c r="A376" s="90" t="s">
        <v>216</v>
      </c>
      <c r="B376" s="87">
        <v>45748</v>
      </c>
      <c r="C376" t="s">
        <v>2267</v>
      </c>
      <c r="D376" t="s">
        <v>2110</v>
      </c>
      <c r="E376" t="s">
        <v>477</v>
      </c>
      <c r="F376" t="s">
        <v>2268</v>
      </c>
      <c r="G376" t="s">
        <v>2269</v>
      </c>
      <c r="H376" t="s">
        <v>2484</v>
      </c>
      <c r="I376" t="s">
        <v>471</v>
      </c>
      <c r="J376">
        <v>750</v>
      </c>
    </row>
    <row r="377" spans="1:10">
      <c r="A377" s="90" t="s">
        <v>216</v>
      </c>
      <c r="B377" s="87">
        <v>45748</v>
      </c>
      <c r="C377" t="s">
        <v>2267</v>
      </c>
      <c r="D377" t="s">
        <v>2110</v>
      </c>
      <c r="E377" t="s">
        <v>477</v>
      </c>
      <c r="F377" t="s">
        <v>2268</v>
      </c>
      <c r="G377" t="s">
        <v>2269</v>
      </c>
      <c r="H377" t="s">
        <v>2484</v>
      </c>
      <c r="I377" t="s">
        <v>471</v>
      </c>
      <c r="J377">
        <v>1125</v>
      </c>
    </row>
    <row r="378" spans="1:10">
      <c r="A378" s="90" t="s">
        <v>216</v>
      </c>
      <c r="B378" s="87">
        <v>45748</v>
      </c>
      <c r="C378" t="s">
        <v>2267</v>
      </c>
      <c r="D378" t="s">
        <v>2110</v>
      </c>
      <c r="E378" t="s">
        <v>477</v>
      </c>
      <c r="F378" t="s">
        <v>2268</v>
      </c>
      <c r="G378" t="s">
        <v>2269</v>
      </c>
      <c r="H378" t="s">
        <v>2484</v>
      </c>
      <c r="I378" t="s">
        <v>471</v>
      </c>
      <c r="J378">
        <v>1200</v>
      </c>
    </row>
    <row r="379" spans="1:10">
      <c r="A379" s="90" t="s">
        <v>216</v>
      </c>
      <c r="B379" s="87">
        <v>45748</v>
      </c>
      <c r="C379" t="s">
        <v>2267</v>
      </c>
      <c r="D379" t="s">
        <v>2110</v>
      </c>
      <c r="E379" t="s">
        <v>477</v>
      </c>
      <c r="F379" t="s">
        <v>2268</v>
      </c>
      <c r="G379" t="s">
        <v>2271</v>
      </c>
      <c r="H379" t="s">
        <v>2484</v>
      </c>
      <c r="I379" t="s">
        <v>471</v>
      </c>
      <c r="J379">
        <v>135.35</v>
      </c>
    </row>
    <row r="380" spans="1:10">
      <c r="A380" s="90" t="s">
        <v>216</v>
      </c>
      <c r="B380" s="87">
        <v>45748</v>
      </c>
      <c r="C380" t="s">
        <v>2485</v>
      </c>
      <c r="D380" t="s">
        <v>2110</v>
      </c>
      <c r="E380" t="s">
        <v>477</v>
      </c>
      <c r="F380" t="s">
        <v>2273</v>
      </c>
      <c r="G380" t="s">
        <v>2269</v>
      </c>
      <c r="H380" t="s">
        <v>2486</v>
      </c>
      <c r="I380" t="s">
        <v>471</v>
      </c>
      <c r="J380">
        <v>10125</v>
      </c>
    </row>
    <row r="381" spans="1:10">
      <c r="A381" s="90" t="s">
        <v>216</v>
      </c>
      <c r="B381" s="87">
        <v>45748</v>
      </c>
      <c r="C381" t="s">
        <v>2485</v>
      </c>
      <c r="D381" t="s">
        <v>2110</v>
      </c>
      <c r="E381" t="s">
        <v>477</v>
      </c>
      <c r="F381" t="s">
        <v>2273</v>
      </c>
      <c r="G381" t="s">
        <v>2271</v>
      </c>
      <c r="H381" t="s">
        <v>2486</v>
      </c>
      <c r="I381" t="s">
        <v>471</v>
      </c>
      <c r="J381">
        <v>1459.59</v>
      </c>
    </row>
    <row r="382" spans="1:10">
      <c r="A382" s="90" t="s">
        <v>216</v>
      </c>
      <c r="B382" s="87">
        <v>45748</v>
      </c>
      <c r="C382" t="s">
        <v>2275</v>
      </c>
      <c r="D382" t="s">
        <v>2110</v>
      </c>
      <c r="E382" t="s">
        <v>477</v>
      </c>
      <c r="F382" t="s">
        <v>569</v>
      </c>
      <c r="G382" t="s">
        <v>74</v>
      </c>
      <c r="H382" t="s">
        <v>470</v>
      </c>
      <c r="I382" t="s">
        <v>471</v>
      </c>
      <c r="J382">
        <v>15</v>
      </c>
    </row>
    <row r="383" spans="1:10">
      <c r="A383" s="90" t="s">
        <v>216</v>
      </c>
      <c r="B383" s="87">
        <v>45748</v>
      </c>
      <c r="C383" t="s">
        <v>511</v>
      </c>
      <c r="D383" t="s">
        <v>2110</v>
      </c>
      <c r="E383" t="s">
        <v>512</v>
      </c>
      <c r="F383" t="s">
        <v>569</v>
      </c>
      <c r="G383" t="s">
        <v>474</v>
      </c>
      <c r="H383" t="s">
        <v>470</v>
      </c>
      <c r="I383" t="s">
        <v>475</v>
      </c>
      <c r="J383">
        <v>648.01</v>
      </c>
    </row>
    <row r="384" spans="1:10">
      <c r="A384" s="90" t="s">
        <v>216</v>
      </c>
      <c r="B384" s="87">
        <v>45750</v>
      </c>
      <c r="C384" t="s">
        <v>2487</v>
      </c>
      <c r="D384" t="s">
        <v>2110</v>
      </c>
      <c r="E384" t="s">
        <v>2441</v>
      </c>
      <c r="F384" t="s">
        <v>586</v>
      </c>
      <c r="G384" t="s">
        <v>2125</v>
      </c>
      <c r="H384" t="s">
        <v>470</v>
      </c>
      <c r="I384" t="s">
        <v>487</v>
      </c>
      <c r="J384">
        <v>5501.04</v>
      </c>
    </row>
    <row r="385" spans="1:10">
      <c r="A385" s="90" t="s">
        <v>216</v>
      </c>
      <c r="B385" s="87">
        <v>45750</v>
      </c>
      <c r="C385" t="s">
        <v>2488</v>
      </c>
      <c r="D385" t="s">
        <v>2110</v>
      </c>
      <c r="E385" t="s">
        <v>2444</v>
      </c>
      <c r="F385" t="s">
        <v>588</v>
      </c>
      <c r="G385" t="s">
        <v>2125</v>
      </c>
      <c r="H385" t="s">
        <v>470</v>
      </c>
      <c r="I385" t="s">
        <v>487</v>
      </c>
      <c r="J385">
        <v>7416.72</v>
      </c>
    </row>
    <row r="386" spans="1:10">
      <c r="A386" s="90" t="s">
        <v>216</v>
      </c>
      <c r="B386" s="87">
        <v>45750</v>
      </c>
      <c r="C386" t="s">
        <v>2275</v>
      </c>
      <c r="D386" t="s">
        <v>2110</v>
      </c>
      <c r="E386" t="s">
        <v>477</v>
      </c>
      <c r="F386" t="s">
        <v>569</v>
      </c>
      <c r="G386" t="s">
        <v>74</v>
      </c>
      <c r="H386" t="s">
        <v>470</v>
      </c>
      <c r="I386" t="s">
        <v>471</v>
      </c>
      <c r="J386">
        <v>5</v>
      </c>
    </row>
    <row r="387" spans="1:10">
      <c r="A387" s="90" t="s">
        <v>216</v>
      </c>
      <c r="B387" s="87">
        <v>45750</v>
      </c>
      <c r="C387" t="s">
        <v>2479</v>
      </c>
      <c r="D387" t="s">
        <v>2110</v>
      </c>
      <c r="E387" t="s">
        <v>477</v>
      </c>
      <c r="F387" t="s">
        <v>569</v>
      </c>
      <c r="G387" t="s">
        <v>74</v>
      </c>
      <c r="H387" t="s">
        <v>470</v>
      </c>
      <c r="I387" t="s">
        <v>471</v>
      </c>
      <c r="J387">
        <v>10</v>
      </c>
    </row>
    <row r="388" spans="1:10">
      <c r="A388" s="90" t="s">
        <v>216</v>
      </c>
      <c r="B388" s="87">
        <v>45750</v>
      </c>
      <c r="C388" t="s">
        <v>2364</v>
      </c>
      <c r="D388" t="s">
        <v>2110</v>
      </c>
      <c r="E388" t="s">
        <v>480</v>
      </c>
      <c r="F388" t="s">
        <v>569</v>
      </c>
      <c r="G388" t="s">
        <v>71</v>
      </c>
      <c r="H388" t="s">
        <v>470</v>
      </c>
      <c r="I388" t="s">
        <v>471</v>
      </c>
      <c r="J388">
        <v>30000</v>
      </c>
    </row>
    <row r="389" spans="1:10">
      <c r="A389" s="90" t="s">
        <v>216</v>
      </c>
      <c r="B389" s="87">
        <v>45750</v>
      </c>
      <c r="C389" t="s">
        <v>511</v>
      </c>
      <c r="D389" t="s">
        <v>2110</v>
      </c>
      <c r="E389" t="s">
        <v>512</v>
      </c>
      <c r="F389" t="s">
        <v>569</v>
      </c>
      <c r="G389" t="s">
        <v>474</v>
      </c>
      <c r="H389" t="s">
        <v>470</v>
      </c>
      <c r="I389" t="s">
        <v>475</v>
      </c>
      <c r="J389">
        <v>42932.76</v>
      </c>
    </row>
    <row r="390" spans="1:10">
      <c r="A390" s="90" t="s">
        <v>216</v>
      </c>
      <c r="B390" s="87">
        <v>45751</v>
      </c>
      <c r="C390" t="s">
        <v>2489</v>
      </c>
      <c r="D390" t="s">
        <v>2110</v>
      </c>
      <c r="E390" t="s">
        <v>2372</v>
      </c>
      <c r="F390" t="s">
        <v>569</v>
      </c>
      <c r="G390" t="s">
        <v>219</v>
      </c>
      <c r="H390" t="s">
        <v>2490</v>
      </c>
      <c r="I390" t="s">
        <v>796</v>
      </c>
      <c r="J390">
        <v>1360</v>
      </c>
    </row>
    <row r="391" spans="1:10">
      <c r="A391" s="90" t="s">
        <v>216</v>
      </c>
      <c r="B391" s="87">
        <v>45751</v>
      </c>
      <c r="C391" t="s">
        <v>2491</v>
      </c>
      <c r="D391" t="s">
        <v>2110</v>
      </c>
      <c r="E391" t="s">
        <v>2277</v>
      </c>
      <c r="F391" t="s">
        <v>2492</v>
      </c>
      <c r="G391" t="s">
        <v>65</v>
      </c>
      <c r="H391" t="s">
        <v>2409</v>
      </c>
      <c r="I391" t="s">
        <v>796</v>
      </c>
      <c r="J391">
        <v>179.98</v>
      </c>
    </row>
    <row r="392" spans="1:10">
      <c r="A392" s="90" t="s">
        <v>216</v>
      </c>
      <c r="B392" s="87">
        <v>45751</v>
      </c>
      <c r="C392" t="s">
        <v>2493</v>
      </c>
      <c r="D392" t="s">
        <v>2110</v>
      </c>
      <c r="E392" t="s">
        <v>1285</v>
      </c>
      <c r="F392" t="s">
        <v>241</v>
      </c>
      <c r="G392" t="s">
        <v>2494</v>
      </c>
      <c r="H392" t="s">
        <v>470</v>
      </c>
      <c r="I392" t="s">
        <v>796</v>
      </c>
      <c r="J392">
        <v>40330.71</v>
      </c>
    </row>
    <row r="393" spans="1:10">
      <c r="A393" s="90" t="s">
        <v>216</v>
      </c>
      <c r="B393" s="87">
        <v>45751</v>
      </c>
      <c r="C393" t="s">
        <v>2495</v>
      </c>
      <c r="D393" t="s">
        <v>2110</v>
      </c>
      <c r="E393" t="s">
        <v>1285</v>
      </c>
      <c r="F393" t="s">
        <v>241</v>
      </c>
      <c r="G393" t="s">
        <v>2494</v>
      </c>
      <c r="H393" t="s">
        <v>470</v>
      </c>
      <c r="I393" t="s">
        <v>796</v>
      </c>
      <c r="J393">
        <v>2319.02</v>
      </c>
    </row>
    <row r="394" spans="1:10">
      <c r="A394" s="90" t="s">
        <v>216</v>
      </c>
      <c r="B394" s="87">
        <v>45751</v>
      </c>
      <c r="C394" t="s">
        <v>2496</v>
      </c>
      <c r="D394" t="s">
        <v>2110</v>
      </c>
      <c r="E394" t="s">
        <v>2376</v>
      </c>
      <c r="F394" t="s">
        <v>235</v>
      </c>
      <c r="G394" t="s">
        <v>2494</v>
      </c>
      <c r="H394" t="s">
        <v>470</v>
      </c>
      <c r="I394" t="s">
        <v>796</v>
      </c>
      <c r="J394">
        <v>17531.28</v>
      </c>
    </row>
    <row r="395" spans="1:10">
      <c r="A395" s="90" t="s">
        <v>216</v>
      </c>
      <c r="B395" s="87">
        <v>45751</v>
      </c>
      <c r="C395" t="s">
        <v>2497</v>
      </c>
      <c r="D395" t="s">
        <v>2110</v>
      </c>
      <c r="E395" t="s">
        <v>2376</v>
      </c>
      <c r="F395" t="s">
        <v>235</v>
      </c>
      <c r="G395" t="s">
        <v>2494</v>
      </c>
      <c r="H395" t="s">
        <v>470</v>
      </c>
      <c r="I395" t="s">
        <v>796</v>
      </c>
      <c r="J395">
        <v>1008.05</v>
      </c>
    </row>
    <row r="396" spans="1:10">
      <c r="A396" s="90" t="s">
        <v>216</v>
      </c>
      <c r="B396" s="87">
        <v>45751</v>
      </c>
      <c r="C396" t="s">
        <v>517</v>
      </c>
      <c r="D396" t="s">
        <v>2110</v>
      </c>
      <c r="E396" t="s">
        <v>512</v>
      </c>
      <c r="F396" t="s">
        <v>569</v>
      </c>
      <c r="G396" t="s">
        <v>474</v>
      </c>
      <c r="H396" t="s">
        <v>470</v>
      </c>
      <c r="I396" t="s">
        <v>475</v>
      </c>
      <c r="J396">
        <v>474950.96</v>
      </c>
    </row>
    <row r="397" spans="1:10">
      <c r="A397" s="90" t="s">
        <v>216</v>
      </c>
      <c r="B397" s="87">
        <v>45754</v>
      </c>
      <c r="C397" t="s">
        <v>2498</v>
      </c>
      <c r="D397" t="s">
        <v>2110</v>
      </c>
      <c r="E397" t="s">
        <v>1285</v>
      </c>
      <c r="F397" t="s">
        <v>610</v>
      </c>
      <c r="G397" t="s">
        <v>2112</v>
      </c>
      <c r="H397" t="s">
        <v>470</v>
      </c>
      <c r="I397" t="s">
        <v>487</v>
      </c>
      <c r="J397">
        <v>57010.6</v>
      </c>
    </row>
    <row r="398" spans="1:10">
      <c r="A398" s="90" t="s">
        <v>216</v>
      </c>
      <c r="B398" s="87">
        <v>45754</v>
      </c>
      <c r="C398" t="s">
        <v>2499</v>
      </c>
      <c r="D398" t="s">
        <v>2110</v>
      </c>
      <c r="E398" t="s">
        <v>1285</v>
      </c>
      <c r="F398" t="s">
        <v>615</v>
      </c>
      <c r="G398" t="s">
        <v>2112</v>
      </c>
      <c r="H398" t="s">
        <v>470</v>
      </c>
      <c r="I398" t="s">
        <v>487</v>
      </c>
      <c r="J398">
        <v>54437.599999999999</v>
      </c>
    </row>
    <row r="399" spans="1:10">
      <c r="A399" s="90" t="s">
        <v>216</v>
      </c>
      <c r="B399" s="87">
        <v>45754</v>
      </c>
      <c r="C399" t="s">
        <v>2500</v>
      </c>
      <c r="D399" t="s">
        <v>2110</v>
      </c>
      <c r="E399" t="s">
        <v>1285</v>
      </c>
      <c r="F399" t="s">
        <v>617</v>
      </c>
      <c r="G399" t="s">
        <v>2112</v>
      </c>
      <c r="H399" t="s">
        <v>470</v>
      </c>
      <c r="I399" t="s">
        <v>487</v>
      </c>
      <c r="J399">
        <v>70829.59</v>
      </c>
    </row>
    <row r="400" spans="1:10">
      <c r="A400" s="90" t="s">
        <v>216</v>
      </c>
      <c r="B400" s="87">
        <v>45754</v>
      </c>
      <c r="C400" t="s">
        <v>2501</v>
      </c>
      <c r="D400" t="s">
        <v>2110</v>
      </c>
      <c r="E400" t="s">
        <v>1285</v>
      </c>
      <c r="F400" t="s">
        <v>625</v>
      </c>
      <c r="G400" t="s">
        <v>2112</v>
      </c>
      <c r="H400" t="s">
        <v>470</v>
      </c>
      <c r="I400" t="s">
        <v>487</v>
      </c>
      <c r="J400">
        <v>69470.820000000007</v>
      </c>
    </row>
    <row r="401" spans="1:10">
      <c r="A401" s="90" t="s">
        <v>216</v>
      </c>
      <c r="B401" s="87">
        <v>45754</v>
      </c>
      <c r="C401" t="s">
        <v>2502</v>
      </c>
      <c r="D401" t="s">
        <v>2110</v>
      </c>
      <c r="E401" t="s">
        <v>1285</v>
      </c>
      <c r="F401" t="s">
        <v>619</v>
      </c>
      <c r="G401" t="s">
        <v>2112</v>
      </c>
      <c r="H401" t="s">
        <v>470</v>
      </c>
      <c r="I401" t="s">
        <v>487</v>
      </c>
      <c r="J401">
        <v>55767.46</v>
      </c>
    </row>
    <row r="402" spans="1:10">
      <c r="A402" s="90" t="s">
        <v>216</v>
      </c>
      <c r="B402" s="87">
        <v>45754</v>
      </c>
      <c r="C402" t="s">
        <v>2275</v>
      </c>
      <c r="D402" t="s">
        <v>2110</v>
      </c>
      <c r="E402" t="s">
        <v>477</v>
      </c>
      <c r="F402" t="s">
        <v>569</v>
      </c>
      <c r="G402" t="s">
        <v>74</v>
      </c>
      <c r="H402" t="s">
        <v>470</v>
      </c>
      <c r="I402" t="s">
        <v>471</v>
      </c>
      <c r="J402">
        <v>10</v>
      </c>
    </row>
    <row r="403" spans="1:10">
      <c r="A403" s="90" t="s">
        <v>216</v>
      </c>
      <c r="B403" s="87">
        <v>45754</v>
      </c>
      <c r="C403" t="s">
        <v>511</v>
      </c>
      <c r="D403" t="s">
        <v>2110</v>
      </c>
      <c r="E403" t="s">
        <v>512</v>
      </c>
      <c r="F403" t="s">
        <v>569</v>
      </c>
      <c r="G403" t="s">
        <v>474</v>
      </c>
      <c r="H403" t="s">
        <v>470</v>
      </c>
      <c r="I403" t="s">
        <v>475</v>
      </c>
      <c r="J403">
        <v>307526.07</v>
      </c>
    </row>
    <row r="404" spans="1:10">
      <c r="A404" s="90" t="s">
        <v>216</v>
      </c>
      <c r="B404" s="87">
        <v>45755</v>
      </c>
      <c r="C404" t="s">
        <v>2503</v>
      </c>
      <c r="D404" t="s">
        <v>2110</v>
      </c>
      <c r="E404" t="s">
        <v>2447</v>
      </c>
      <c r="F404" t="s">
        <v>590</v>
      </c>
      <c r="G404" t="s">
        <v>2125</v>
      </c>
      <c r="H404" t="s">
        <v>470</v>
      </c>
      <c r="I404" t="s">
        <v>487</v>
      </c>
      <c r="J404">
        <v>7407.36</v>
      </c>
    </row>
    <row r="405" spans="1:10">
      <c r="A405" s="90" t="s">
        <v>216</v>
      </c>
      <c r="B405" s="87">
        <v>45755</v>
      </c>
      <c r="C405" t="s">
        <v>2504</v>
      </c>
      <c r="D405" t="s">
        <v>2110</v>
      </c>
      <c r="E405" t="s">
        <v>2450</v>
      </c>
      <c r="F405" t="s">
        <v>592</v>
      </c>
      <c r="G405" t="s">
        <v>2125</v>
      </c>
      <c r="H405" t="s">
        <v>470</v>
      </c>
      <c r="I405" t="s">
        <v>487</v>
      </c>
      <c r="J405">
        <v>7370.96</v>
      </c>
    </row>
    <row r="406" spans="1:10">
      <c r="A406" s="90" t="s">
        <v>216</v>
      </c>
      <c r="B406" s="87">
        <v>45755</v>
      </c>
      <c r="C406" t="s">
        <v>2505</v>
      </c>
      <c r="D406" t="s">
        <v>2110</v>
      </c>
      <c r="E406" t="s">
        <v>2468</v>
      </c>
      <c r="F406" t="s">
        <v>604</v>
      </c>
      <c r="G406" t="s">
        <v>2125</v>
      </c>
      <c r="H406" t="s">
        <v>470</v>
      </c>
      <c r="I406" t="s">
        <v>487</v>
      </c>
      <c r="J406">
        <v>7234.72</v>
      </c>
    </row>
    <row r="407" spans="1:10">
      <c r="A407" s="90" t="s">
        <v>216</v>
      </c>
      <c r="B407" s="87">
        <v>45755</v>
      </c>
      <c r="C407" t="s">
        <v>2506</v>
      </c>
      <c r="D407" t="s">
        <v>2110</v>
      </c>
      <c r="E407" t="s">
        <v>2471</v>
      </c>
      <c r="F407" t="s">
        <v>606</v>
      </c>
      <c r="G407" t="s">
        <v>2125</v>
      </c>
      <c r="H407" t="s">
        <v>470</v>
      </c>
      <c r="I407" t="s">
        <v>487</v>
      </c>
      <c r="J407">
        <v>7314.8</v>
      </c>
    </row>
    <row r="408" spans="1:10">
      <c r="A408" s="90" t="s">
        <v>216</v>
      </c>
      <c r="B408" s="87">
        <v>45755</v>
      </c>
      <c r="C408" t="s">
        <v>2507</v>
      </c>
      <c r="D408" t="s">
        <v>2110</v>
      </c>
      <c r="E408" t="s">
        <v>2474</v>
      </c>
      <c r="F408" t="s">
        <v>608</v>
      </c>
      <c r="G408" t="s">
        <v>2125</v>
      </c>
      <c r="H408" t="s">
        <v>470</v>
      </c>
      <c r="I408" t="s">
        <v>487</v>
      </c>
      <c r="J408">
        <v>7180.64</v>
      </c>
    </row>
    <row r="409" spans="1:10">
      <c r="A409" s="90" t="s">
        <v>216</v>
      </c>
      <c r="B409" s="87">
        <v>45755</v>
      </c>
      <c r="C409" t="s">
        <v>2508</v>
      </c>
      <c r="D409" t="s">
        <v>2110</v>
      </c>
      <c r="E409" t="s">
        <v>2509</v>
      </c>
      <c r="F409" t="s">
        <v>2510</v>
      </c>
      <c r="G409" t="s">
        <v>2115</v>
      </c>
      <c r="H409" t="s">
        <v>470</v>
      </c>
      <c r="I409" t="s">
        <v>796</v>
      </c>
      <c r="J409">
        <v>125</v>
      </c>
    </row>
    <row r="410" spans="1:10">
      <c r="A410" s="90" t="s">
        <v>216</v>
      </c>
      <c r="B410" s="87">
        <v>45755</v>
      </c>
      <c r="C410" t="s">
        <v>2508</v>
      </c>
      <c r="D410" t="s">
        <v>2110</v>
      </c>
      <c r="E410" t="s">
        <v>2509</v>
      </c>
      <c r="F410" t="s">
        <v>2510</v>
      </c>
      <c r="G410" t="s">
        <v>251</v>
      </c>
      <c r="H410" t="s">
        <v>470</v>
      </c>
      <c r="I410" t="s">
        <v>796</v>
      </c>
      <c r="J410">
        <v>144.5</v>
      </c>
    </row>
    <row r="411" spans="1:10">
      <c r="A411" s="90" t="s">
        <v>216</v>
      </c>
      <c r="B411" s="87">
        <v>45755</v>
      </c>
      <c r="C411" t="s">
        <v>2511</v>
      </c>
      <c r="D411" t="s">
        <v>2110</v>
      </c>
      <c r="E411" t="s">
        <v>2512</v>
      </c>
      <c r="F411" t="s">
        <v>621</v>
      </c>
      <c r="G411" t="s">
        <v>2125</v>
      </c>
      <c r="H411" t="s">
        <v>470</v>
      </c>
      <c r="I411" t="s">
        <v>475</v>
      </c>
      <c r="J411">
        <v>14824.95</v>
      </c>
    </row>
    <row r="412" spans="1:10">
      <c r="A412" s="90" t="s">
        <v>216</v>
      </c>
      <c r="B412" s="87">
        <v>45755</v>
      </c>
      <c r="C412" t="s">
        <v>2479</v>
      </c>
      <c r="D412" t="s">
        <v>2110</v>
      </c>
      <c r="E412" t="s">
        <v>477</v>
      </c>
      <c r="F412" t="s">
        <v>569</v>
      </c>
      <c r="G412" t="s">
        <v>74</v>
      </c>
      <c r="H412" t="s">
        <v>470</v>
      </c>
      <c r="I412" t="s">
        <v>471</v>
      </c>
      <c r="J412">
        <v>10</v>
      </c>
    </row>
    <row r="413" spans="1:10">
      <c r="A413" s="90" t="s">
        <v>216</v>
      </c>
      <c r="B413" s="87">
        <v>45755</v>
      </c>
      <c r="C413" t="s">
        <v>511</v>
      </c>
      <c r="D413" t="s">
        <v>2110</v>
      </c>
      <c r="E413" t="s">
        <v>512</v>
      </c>
      <c r="F413" t="s">
        <v>569</v>
      </c>
      <c r="G413" t="s">
        <v>474</v>
      </c>
      <c r="H413" t="s">
        <v>470</v>
      </c>
      <c r="I413" t="s">
        <v>475</v>
      </c>
      <c r="J413">
        <v>51612.93</v>
      </c>
    </row>
    <row r="414" spans="1:10">
      <c r="A414" s="90" t="s">
        <v>216</v>
      </c>
      <c r="B414" s="87">
        <v>45757</v>
      </c>
      <c r="C414" t="s">
        <v>2365</v>
      </c>
      <c r="D414" t="s">
        <v>2110</v>
      </c>
      <c r="E414" t="s">
        <v>2366</v>
      </c>
      <c r="F414" t="s">
        <v>569</v>
      </c>
      <c r="G414" t="s">
        <v>219</v>
      </c>
      <c r="H414" t="s">
        <v>470</v>
      </c>
      <c r="I414" t="s">
        <v>796</v>
      </c>
      <c r="J414">
        <v>105.31</v>
      </c>
    </row>
    <row r="415" spans="1:10">
      <c r="A415" s="90" t="s">
        <v>216</v>
      </c>
      <c r="B415" s="87">
        <v>45757</v>
      </c>
      <c r="C415" t="s">
        <v>2513</v>
      </c>
      <c r="D415" t="s">
        <v>2110</v>
      </c>
      <c r="E415" t="s">
        <v>2514</v>
      </c>
      <c r="F415" t="s">
        <v>627</v>
      </c>
      <c r="G415" t="s">
        <v>2125</v>
      </c>
      <c r="H415" t="s">
        <v>470</v>
      </c>
      <c r="I415" t="s">
        <v>487</v>
      </c>
      <c r="J415">
        <v>14254.24</v>
      </c>
    </row>
    <row r="416" spans="1:10">
      <c r="A416" s="90" t="s">
        <v>216</v>
      </c>
      <c r="B416" s="87">
        <v>45757</v>
      </c>
      <c r="C416" t="s">
        <v>2515</v>
      </c>
      <c r="D416" t="s">
        <v>2110</v>
      </c>
      <c r="E416" t="s">
        <v>2516</v>
      </c>
      <c r="F416" t="s">
        <v>623</v>
      </c>
      <c r="G416" t="s">
        <v>2125</v>
      </c>
      <c r="H416" t="s">
        <v>470</v>
      </c>
      <c r="I416" t="s">
        <v>487</v>
      </c>
      <c r="J416">
        <v>18242.7</v>
      </c>
    </row>
    <row r="417" spans="1:10">
      <c r="A417" s="90" t="s">
        <v>216</v>
      </c>
      <c r="B417" s="87">
        <v>45757</v>
      </c>
      <c r="C417" t="s">
        <v>2295</v>
      </c>
      <c r="D417" t="s">
        <v>2110</v>
      </c>
      <c r="E417" t="s">
        <v>477</v>
      </c>
      <c r="F417" t="s">
        <v>569</v>
      </c>
      <c r="G417" t="s">
        <v>2295</v>
      </c>
      <c r="H417" t="s">
        <v>470</v>
      </c>
      <c r="I417" t="s">
        <v>471</v>
      </c>
      <c r="J417">
        <v>2529.08</v>
      </c>
    </row>
    <row r="418" spans="1:10">
      <c r="A418" s="90" t="s">
        <v>216</v>
      </c>
      <c r="B418" s="87">
        <v>45757</v>
      </c>
      <c r="C418" t="s">
        <v>2517</v>
      </c>
      <c r="D418" t="s">
        <v>2110</v>
      </c>
      <c r="E418" t="s">
        <v>2287</v>
      </c>
      <c r="F418" t="s">
        <v>2518</v>
      </c>
      <c r="G418" t="s">
        <v>63</v>
      </c>
      <c r="H418" t="s">
        <v>2483</v>
      </c>
      <c r="I418" t="s">
        <v>796</v>
      </c>
      <c r="J418">
        <v>821.95</v>
      </c>
    </row>
    <row r="419" spans="1:10">
      <c r="A419" s="90" t="s">
        <v>216</v>
      </c>
      <c r="B419" s="87">
        <v>45757</v>
      </c>
      <c r="C419" t="s">
        <v>2479</v>
      </c>
      <c r="D419" t="s">
        <v>2110</v>
      </c>
      <c r="E419" t="s">
        <v>477</v>
      </c>
      <c r="F419" t="s">
        <v>569</v>
      </c>
      <c r="G419" t="s">
        <v>74</v>
      </c>
      <c r="H419" t="s">
        <v>470</v>
      </c>
      <c r="I419" t="s">
        <v>471</v>
      </c>
      <c r="J419">
        <v>215.1</v>
      </c>
    </row>
    <row r="420" spans="1:10">
      <c r="A420" s="90" t="s">
        <v>216</v>
      </c>
      <c r="B420" s="87">
        <v>45757</v>
      </c>
      <c r="C420" t="s">
        <v>2370</v>
      </c>
      <c r="D420" t="s">
        <v>2110</v>
      </c>
      <c r="E420" t="s">
        <v>477</v>
      </c>
      <c r="F420" t="s">
        <v>514</v>
      </c>
      <c r="G420" t="s">
        <v>69</v>
      </c>
      <c r="H420" t="s">
        <v>470</v>
      </c>
      <c r="I420" t="s">
        <v>471</v>
      </c>
      <c r="J420">
        <v>36307.199999999997</v>
      </c>
    </row>
    <row r="421" spans="1:10">
      <c r="A421" s="90" t="s">
        <v>216</v>
      </c>
      <c r="B421" s="87">
        <v>45757</v>
      </c>
      <c r="C421" t="s">
        <v>2479</v>
      </c>
      <c r="D421" t="s">
        <v>2110</v>
      </c>
      <c r="E421" t="s">
        <v>477</v>
      </c>
      <c r="F421" t="s">
        <v>569</v>
      </c>
      <c r="G421" t="s">
        <v>74</v>
      </c>
      <c r="H421" t="s">
        <v>470</v>
      </c>
      <c r="I421" t="s">
        <v>471</v>
      </c>
      <c r="J421">
        <v>95</v>
      </c>
    </row>
    <row r="422" spans="1:10">
      <c r="A422" s="90" t="s">
        <v>216</v>
      </c>
      <c r="B422" s="87">
        <v>45757</v>
      </c>
      <c r="C422" t="s">
        <v>2479</v>
      </c>
      <c r="D422" t="s">
        <v>2110</v>
      </c>
      <c r="E422" t="s">
        <v>477</v>
      </c>
      <c r="F422" t="s">
        <v>569</v>
      </c>
      <c r="G422" t="s">
        <v>74</v>
      </c>
      <c r="H422" t="s">
        <v>470</v>
      </c>
      <c r="I422" t="s">
        <v>471</v>
      </c>
      <c r="J422">
        <v>20</v>
      </c>
    </row>
    <row r="423" spans="1:10">
      <c r="A423" s="90" t="s">
        <v>216</v>
      </c>
      <c r="B423" s="87">
        <v>45757</v>
      </c>
      <c r="C423" t="s">
        <v>511</v>
      </c>
      <c r="D423" t="s">
        <v>2110</v>
      </c>
      <c r="E423" t="s">
        <v>512</v>
      </c>
      <c r="F423" t="s">
        <v>569</v>
      </c>
      <c r="G423" t="s">
        <v>474</v>
      </c>
      <c r="H423" t="s">
        <v>470</v>
      </c>
      <c r="I423" t="s">
        <v>475</v>
      </c>
      <c r="J423">
        <v>72590.58</v>
      </c>
    </row>
    <row r="424" spans="1:10">
      <c r="A424" s="90" t="s">
        <v>216</v>
      </c>
      <c r="B424" s="87">
        <v>45758</v>
      </c>
      <c r="C424" t="s">
        <v>2519</v>
      </c>
      <c r="D424" t="s">
        <v>2110</v>
      </c>
      <c r="E424" t="s">
        <v>2520</v>
      </c>
      <c r="F424" t="s">
        <v>572</v>
      </c>
      <c r="G424" t="s">
        <v>2125</v>
      </c>
      <c r="H424" t="s">
        <v>470</v>
      </c>
      <c r="I424" t="s">
        <v>487</v>
      </c>
      <c r="J424">
        <v>16895.3</v>
      </c>
    </row>
    <row r="425" spans="1:10">
      <c r="A425" s="90" t="s">
        <v>216</v>
      </c>
      <c r="B425" s="87">
        <v>45758</v>
      </c>
      <c r="C425" t="s">
        <v>2521</v>
      </c>
      <c r="D425" t="s">
        <v>2110</v>
      </c>
      <c r="E425" t="s">
        <v>2520</v>
      </c>
      <c r="F425" t="s">
        <v>574</v>
      </c>
      <c r="G425" t="s">
        <v>2125</v>
      </c>
      <c r="H425" t="s">
        <v>470</v>
      </c>
      <c r="I425" t="s">
        <v>487</v>
      </c>
      <c r="J425">
        <v>21004.1</v>
      </c>
    </row>
    <row r="426" spans="1:10">
      <c r="A426" s="90" t="s">
        <v>216</v>
      </c>
      <c r="B426" s="87">
        <v>45758</v>
      </c>
      <c r="C426" t="s">
        <v>2522</v>
      </c>
      <c r="D426" t="s">
        <v>2110</v>
      </c>
      <c r="E426" t="s">
        <v>2520</v>
      </c>
      <c r="F426" t="s">
        <v>576</v>
      </c>
      <c r="G426" t="s">
        <v>2125</v>
      </c>
      <c r="H426" t="s">
        <v>470</v>
      </c>
      <c r="I426" t="s">
        <v>487</v>
      </c>
      <c r="J426">
        <v>20116</v>
      </c>
    </row>
    <row r="427" spans="1:10">
      <c r="A427" s="90" t="s">
        <v>216</v>
      </c>
      <c r="B427" s="87">
        <v>45758</v>
      </c>
      <c r="C427" t="s">
        <v>2523</v>
      </c>
      <c r="D427" t="s">
        <v>2110</v>
      </c>
      <c r="E427" t="s">
        <v>1743</v>
      </c>
      <c r="F427" t="s">
        <v>580</v>
      </c>
      <c r="G427" t="s">
        <v>2125</v>
      </c>
      <c r="H427" t="s">
        <v>470</v>
      </c>
      <c r="I427" t="s">
        <v>475</v>
      </c>
      <c r="J427">
        <v>25768.6</v>
      </c>
    </row>
    <row r="428" spans="1:10">
      <c r="A428" s="90" t="s">
        <v>216</v>
      </c>
      <c r="B428" s="87">
        <v>45758</v>
      </c>
      <c r="C428" t="s">
        <v>2524</v>
      </c>
      <c r="D428" t="s">
        <v>2110</v>
      </c>
      <c r="E428" t="s">
        <v>1743</v>
      </c>
      <c r="F428" t="s">
        <v>594</v>
      </c>
      <c r="G428" t="s">
        <v>2125</v>
      </c>
      <c r="H428" t="s">
        <v>470</v>
      </c>
      <c r="I428" t="s">
        <v>475</v>
      </c>
      <c r="J428">
        <v>19959.8</v>
      </c>
    </row>
    <row r="429" spans="1:10">
      <c r="A429" s="90" t="s">
        <v>216</v>
      </c>
      <c r="B429" s="87">
        <v>45758</v>
      </c>
      <c r="C429" t="s">
        <v>2525</v>
      </c>
      <c r="D429" t="s">
        <v>2110</v>
      </c>
      <c r="E429" t="s">
        <v>1743</v>
      </c>
      <c r="F429" t="s">
        <v>596</v>
      </c>
      <c r="G429" t="s">
        <v>2125</v>
      </c>
      <c r="H429" t="s">
        <v>470</v>
      </c>
      <c r="I429" t="s">
        <v>475</v>
      </c>
      <c r="J429">
        <v>20913.8</v>
      </c>
    </row>
    <row r="430" spans="1:10">
      <c r="A430" s="90" t="s">
        <v>216</v>
      </c>
      <c r="B430" s="87">
        <v>45758</v>
      </c>
      <c r="C430" t="s">
        <v>2526</v>
      </c>
      <c r="D430" t="s">
        <v>2110</v>
      </c>
      <c r="E430" t="s">
        <v>1743</v>
      </c>
      <c r="F430" t="s">
        <v>582</v>
      </c>
      <c r="G430" t="s">
        <v>2125</v>
      </c>
      <c r="H430" t="s">
        <v>470</v>
      </c>
      <c r="I430" t="s">
        <v>475</v>
      </c>
      <c r="J430">
        <v>26309.200000000001</v>
      </c>
    </row>
    <row r="431" spans="1:10">
      <c r="A431" s="90" t="s">
        <v>216</v>
      </c>
      <c r="B431" s="87">
        <v>45758</v>
      </c>
      <c r="C431" t="s">
        <v>2527</v>
      </c>
      <c r="D431" t="s">
        <v>2110</v>
      </c>
      <c r="E431" t="s">
        <v>2512</v>
      </c>
      <c r="F431" t="s">
        <v>621</v>
      </c>
      <c r="G431" t="s">
        <v>2125</v>
      </c>
      <c r="H431" t="s">
        <v>470</v>
      </c>
      <c r="I431" t="s">
        <v>475</v>
      </c>
      <c r="J431">
        <v>6263.55</v>
      </c>
    </row>
    <row r="432" spans="1:10">
      <c r="A432" s="90" t="s">
        <v>216</v>
      </c>
      <c r="B432" s="87">
        <v>45758</v>
      </c>
      <c r="C432" t="s">
        <v>2528</v>
      </c>
      <c r="D432" t="s">
        <v>2110</v>
      </c>
      <c r="E432" t="s">
        <v>535</v>
      </c>
      <c r="F432" t="s">
        <v>2529</v>
      </c>
      <c r="G432" t="s">
        <v>2112</v>
      </c>
      <c r="H432" t="s">
        <v>470</v>
      </c>
      <c r="I432" t="s">
        <v>475</v>
      </c>
      <c r="J432">
        <v>223005</v>
      </c>
    </row>
    <row r="433" spans="1:10">
      <c r="A433" s="90" t="s">
        <v>216</v>
      </c>
      <c r="B433" s="87">
        <v>45758</v>
      </c>
      <c r="C433" t="s">
        <v>2530</v>
      </c>
      <c r="D433" t="s">
        <v>2110</v>
      </c>
      <c r="E433" t="s">
        <v>535</v>
      </c>
      <c r="F433" t="s">
        <v>2531</v>
      </c>
      <c r="G433" t="s">
        <v>2112</v>
      </c>
      <c r="H433" t="s">
        <v>470</v>
      </c>
      <c r="I433" t="s">
        <v>475</v>
      </c>
      <c r="J433">
        <v>220650</v>
      </c>
    </row>
    <row r="434" spans="1:10">
      <c r="A434" s="90" t="s">
        <v>216</v>
      </c>
      <c r="B434" s="87">
        <v>45758</v>
      </c>
      <c r="C434" t="s">
        <v>2532</v>
      </c>
      <c r="D434" t="s">
        <v>2110</v>
      </c>
      <c r="E434" t="s">
        <v>535</v>
      </c>
      <c r="F434" t="s">
        <v>2533</v>
      </c>
      <c r="G434" t="s">
        <v>2112</v>
      </c>
      <c r="H434" t="s">
        <v>470</v>
      </c>
      <c r="I434" t="s">
        <v>475</v>
      </c>
      <c r="J434">
        <v>254456</v>
      </c>
    </row>
    <row r="435" spans="1:10">
      <c r="A435" s="90" t="s">
        <v>216</v>
      </c>
      <c r="B435" s="87">
        <v>45758</v>
      </c>
      <c r="C435" t="s">
        <v>2534</v>
      </c>
      <c r="D435" t="s">
        <v>2110</v>
      </c>
      <c r="E435" t="s">
        <v>535</v>
      </c>
      <c r="F435" t="s">
        <v>2535</v>
      </c>
      <c r="G435" t="s">
        <v>2112</v>
      </c>
      <c r="H435" t="s">
        <v>470</v>
      </c>
      <c r="I435" t="s">
        <v>475</v>
      </c>
      <c r="J435">
        <v>167059</v>
      </c>
    </row>
    <row r="436" spans="1:10">
      <c r="A436" s="90" t="s">
        <v>216</v>
      </c>
      <c r="B436" s="87">
        <v>45758</v>
      </c>
      <c r="C436" t="s">
        <v>2536</v>
      </c>
      <c r="D436" t="s">
        <v>2110</v>
      </c>
      <c r="E436" t="s">
        <v>535</v>
      </c>
      <c r="F436" t="s">
        <v>2537</v>
      </c>
      <c r="G436" t="s">
        <v>2112</v>
      </c>
      <c r="H436" t="s">
        <v>470</v>
      </c>
      <c r="I436" t="s">
        <v>475</v>
      </c>
      <c r="J436">
        <v>34830</v>
      </c>
    </row>
    <row r="437" spans="1:10">
      <c r="A437" s="90" t="s">
        <v>216</v>
      </c>
      <c r="B437" s="87">
        <v>45758</v>
      </c>
      <c r="C437" t="s">
        <v>2479</v>
      </c>
      <c r="D437" t="s">
        <v>2110</v>
      </c>
      <c r="E437" t="s">
        <v>477</v>
      </c>
      <c r="F437" t="s">
        <v>569</v>
      </c>
      <c r="G437" t="s">
        <v>74</v>
      </c>
      <c r="H437" t="s">
        <v>470</v>
      </c>
      <c r="I437" t="s">
        <v>471</v>
      </c>
      <c r="J437">
        <v>10</v>
      </c>
    </row>
    <row r="438" spans="1:10">
      <c r="A438" s="90" t="s">
        <v>216</v>
      </c>
      <c r="B438" s="87">
        <v>45758</v>
      </c>
      <c r="C438" t="s">
        <v>517</v>
      </c>
      <c r="D438" t="s">
        <v>2110</v>
      </c>
      <c r="E438" t="s">
        <v>512</v>
      </c>
      <c r="F438" t="s">
        <v>569</v>
      </c>
      <c r="G438" t="s">
        <v>474</v>
      </c>
      <c r="H438" t="s">
        <v>470</v>
      </c>
      <c r="I438" t="s">
        <v>475</v>
      </c>
      <c r="J438">
        <v>311335.65000000002</v>
      </c>
    </row>
    <row r="439" spans="1:10">
      <c r="A439" s="90" t="s">
        <v>216</v>
      </c>
      <c r="B439" s="87">
        <v>45761</v>
      </c>
      <c r="C439" t="s">
        <v>2538</v>
      </c>
      <c r="D439" t="s">
        <v>2110</v>
      </c>
      <c r="E439" t="s">
        <v>1743</v>
      </c>
      <c r="F439" t="s">
        <v>584</v>
      </c>
      <c r="G439" t="s">
        <v>2125</v>
      </c>
      <c r="H439" t="s">
        <v>470</v>
      </c>
      <c r="I439" t="s">
        <v>475</v>
      </c>
      <c r="J439">
        <v>24468.799999999999</v>
      </c>
    </row>
    <row r="440" spans="1:10">
      <c r="A440" s="90" t="s">
        <v>216</v>
      </c>
      <c r="B440" s="87">
        <v>45761</v>
      </c>
      <c r="C440" t="s">
        <v>2539</v>
      </c>
      <c r="D440" t="s">
        <v>2110</v>
      </c>
      <c r="E440" t="s">
        <v>1743</v>
      </c>
      <c r="F440" t="s">
        <v>598</v>
      </c>
      <c r="G440" t="s">
        <v>2125</v>
      </c>
      <c r="H440" t="s">
        <v>470</v>
      </c>
      <c r="I440" t="s">
        <v>475</v>
      </c>
      <c r="J440">
        <v>25461.200000000001</v>
      </c>
    </row>
    <row r="441" spans="1:10">
      <c r="A441" s="90" t="s">
        <v>216</v>
      </c>
      <c r="B441" s="87">
        <v>45761</v>
      </c>
      <c r="C441" t="s">
        <v>2540</v>
      </c>
      <c r="D441" t="s">
        <v>2110</v>
      </c>
      <c r="E441" t="s">
        <v>1743</v>
      </c>
      <c r="F441" t="s">
        <v>600</v>
      </c>
      <c r="G441" t="s">
        <v>2125</v>
      </c>
      <c r="H441" t="s">
        <v>470</v>
      </c>
      <c r="I441" t="s">
        <v>475</v>
      </c>
      <c r="J441">
        <v>20786.2</v>
      </c>
    </row>
    <row r="442" spans="1:10">
      <c r="A442" s="90" t="s">
        <v>216</v>
      </c>
      <c r="B442" s="87">
        <v>45761</v>
      </c>
      <c r="C442" t="s">
        <v>2541</v>
      </c>
      <c r="D442" t="s">
        <v>2110</v>
      </c>
      <c r="E442" t="s">
        <v>1285</v>
      </c>
      <c r="F442" t="s">
        <v>629</v>
      </c>
      <c r="G442" t="s">
        <v>2112</v>
      </c>
      <c r="H442" t="s">
        <v>470</v>
      </c>
      <c r="I442" t="s">
        <v>475</v>
      </c>
      <c r="J442">
        <v>55883.1</v>
      </c>
    </row>
    <row r="443" spans="1:10">
      <c r="A443" s="90" t="s">
        <v>216</v>
      </c>
      <c r="B443" s="87">
        <v>45761</v>
      </c>
      <c r="C443" t="s">
        <v>2542</v>
      </c>
      <c r="D443" t="s">
        <v>2110</v>
      </c>
      <c r="E443" t="s">
        <v>1285</v>
      </c>
      <c r="F443" t="s">
        <v>633</v>
      </c>
      <c r="G443" t="s">
        <v>2112</v>
      </c>
      <c r="H443" t="s">
        <v>470</v>
      </c>
      <c r="I443" t="s">
        <v>475</v>
      </c>
      <c r="J443">
        <v>69933.38</v>
      </c>
    </row>
    <row r="444" spans="1:10">
      <c r="A444" s="90" t="s">
        <v>216</v>
      </c>
      <c r="B444" s="87">
        <v>45761</v>
      </c>
      <c r="C444" t="s">
        <v>2543</v>
      </c>
      <c r="D444" t="s">
        <v>2110</v>
      </c>
      <c r="E444" t="s">
        <v>1285</v>
      </c>
      <c r="F444" t="s">
        <v>635</v>
      </c>
      <c r="G444" t="s">
        <v>2112</v>
      </c>
      <c r="H444" t="s">
        <v>470</v>
      </c>
      <c r="I444" t="s">
        <v>475</v>
      </c>
      <c r="J444">
        <v>70424.850000000006</v>
      </c>
    </row>
    <row r="445" spans="1:10">
      <c r="A445" s="90" t="s">
        <v>216</v>
      </c>
      <c r="B445" s="87">
        <v>45761</v>
      </c>
      <c r="C445" t="s">
        <v>2544</v>
      </c>
      <c r="D445" t="s">
        <v>2110</v>
      </c>
      <c r="E445" t="s">
        <v>1285</v>
      </c>
      <c r="F445" t="s">
        <v>637</v>
      </c>
      <c r="G445" t="s">
        <v>2112</v>
      </c>
      <c r="H445" t="s">
        <v>470</v>
      </c>
      <c r="I445" t="s">
        <v>475</v>
      </c>
      <c r="J445">
        <v>72101.63</v>
      </c>
    </row>
    <row r="446" spans="1:10">
      <c r="A446" s="90" t="s">
        <v>216</v>
      </c>
      <c r="B446" s="87">
        <v>45761</v>
      </c>
      <c r="C446" t="s">
        <v>2545</v>
      </c>
      <c r="D446" t="s">
        <v>2110</v>
      </c>
      <c r="E446" t="s">
        <v>1285</v>
      </c>
      <c r="F446" t="s">
        <v>639</v>
      </c>
      <c r="G446" t="s">
        <v>2112</v>
      </c>
      <c r="H446" t="s">
        <v>470</v>
      </c>
      <c r="I446" t="s">
        <v>475</v>
      </c>
      <c r="J446">
        <v>56663.67</v>
      </c>
    </row>
    <row r="447" spans="1:10">
      <c r="A447" s="90" t="s">
        <v>216</v>
      </c>
      <c r="B447" s="87">
        <v>45761</v>
      </c>
      <c r="C447" t="s">
        <v>2546</v>
      </c>
      <c r="D447" t="s">
        <v>2110</v>
      </c>
      <c r="E447" t="s">
        <v>535</v>
      </c>
      <c r="F447" t="s">
        <v>2537</v>
      </c>
      <c r="G447" t="s">
        <v>2112</v>
      </c>
      <c r="H447" t="s">
        <v>470</v>
      </c>
      <c r="I447" t="s">
        <v>475</v>
      </c>
      <c r="J447">
        <v>215427</v>
      </c>
    </row>
    <row r="448" spans="1:10">
      <c r="A448" s="90" t="s">
        <v>216</v>
      </c>
      <c r="B448" s="87">
        <v>45761</v>
      </c>
      <c r="C448" t="s">
        <v>2547</v>
      </c>
      <c r="D448" t="s">
        <v>2110</v>
      </c>
      <c r="E448" t="s">
        <v>1285</v>
      </c>
      <c r="F448" t="s">
        <v>641</v>
      </c>
      <c r="G448" t="s">
        <v>2112</v>
      </c>
      <c r="H448" t="s">
        <v>470</v>
      </c>
      <c r="I448" t="s">
        <v>475</v>
      </c>
      <c r="J448">
        <v>71147.600000000006</v>
      </c>
    </row>
    <row r="449" spans="1:10">
      <c r="A449" s="90" t="s">
        <v>216</v>
      </c>
      <c r="B449" s="87">
        <v>45761</v>
      </c>
      <c r="C449" t="s">
        <v>2548</v>
      </c>
      <c r="D449" t="s">
        <v>2110</v>
      </c>
      <c r="E449" t="s">
        <v>1285</v>
      </c>
      <c r="F449" t="s">
        <v>643</v>
      </c>
      <c r="G449" t="s">
        <v>2112</v>
      </c>
      <c r="H449" t="s">
        <v>470</v>
      </c>
      <c r="I449" t="s">
        <v>475</v>
      </c>
      <c r="J449">
        <v>51777.88</v>
      </c>
    </row>
    <row r="450" spans="1:10">
      <c r="A450" s="90" t="s">
        <v>216</v>
      </c>
      <c r="B450" s="87">
        <v>45761</v>
      </c>
      <c r="C450" t="s">
        <v>2549</v>
      </c>
      <c r="D450" t="s">
        <v>2110</v>
      </c>
      <c r="E450" t="s">
        <v>1285</v>
      </c>
      <c r="F450" t="s">
        <v>645</v>
      </c>
      <c r="G450" t="s">
        <v>2112</v>
      </c>
      <c r="H450" t="s">
        <v>470</v>
      </c>
      <c r="I450" t="s">
        <v>475</v>
      </c>
      <c r="J450">
        <v>59930.51</v>
      </c>
    </row>
    <row r="451" spans="1:10">
      <c r="A451" s="90" t="s">
        <v>216</v>
      </c>
      <c r="B451" s="87">
        <v>45761</v>
      </c>
      <c r="C451" t="s">
        <v>2550</v>
      </c>
      <c r="D451" t="s">
        <v>2110</v>
      </c>
      <c r="E451" t="s">
        <v>535</v>
      </c>
      <c r="F451" t="s">
        <v>701</v>
      </c>
      <c r="G451" t="s">
        <v>2112</v>
      </c>
      <c r="H451" t="s">
        <v>470</v>
      </c>
      <c r="I451" t="s">
        <v>475</v>
      </c>
      <c r="J451">
        <v>49419</v>
      </c>
    </row>
    <row r="452" spans="1:10">
      <c r="A452" s="90" t="s">
        <v>216</v>
      </c>
      <c r="B452" s="87">
        <v>45761</v>
      </c>
      <c r="C452" t="s">
        <v>2551</v>
      </c>
      <c r="D452" t="s">
        <v>2110</v>
      </c>
      <c r="E452" t="s">
        <v>1285</v>
      </c>
      <c r="F452" t="s">
        <v>647</v>
      </c>
      <c r="G452" t="s">
        <v>2112</v>
      </c>
      <c r="H452" t="s">
        <v>470</v>
      </c>
      <c r="I452" t="s">
        <v>475</v>
      </c>
      <c r="J452">
        <v>72130.539999999994</v>
      </c>
    </row>
    <row r="453" spans="1:10">
      <c r="A453" s="90" t="s">
        <v>216</v>
      </c>
      <c r="B453" s="87">
        <v>45761</v>
      </c>
      <c r="C453" t="s">
        <v>2552</v>
      </c>
      <c r="D453" t="s">
        <v>2110</v>
      </c>
      <c r="E453" t="s">
        <v>1285</v>
      </c>
      <c r="F453" t="s">
        <v>649</v>
      </c>
      <c r="G453" t="s">
        <v>2112</v>
      </c>
      <c r="H453" t="s">
        <v>470</v>
      </c>
      <c r="I453" t="s">
        <v>475</v>
      </c>
      <c r="J453">
        <v>70887.41</v>
      </c>
    </row>
    <row r="454" spans="1:10">
      <c r="A454" s="90" t="s">
        <v>216</v>
      </c>
      <c r="B454" s="87">
        <v>45761</v>
      </c>
      <c r="C454" t="s">
        <v>2553</v>
      </c>
      <c r="D454" t="s">
        <v>2110</v>
      </c>
      <c r="E454" t="s">
        <v>1285</v>
      </c>
      <c r="F454" t="s">
        <v>651</v>
      </c>
      <c r="G454" t="s">
        <v>2112</v>
      </c>
      <c r="H454" t="s">
        <v>470</v>
      </c>
      <c r="I454" t="s">
        <v>475</v>
      </c>
      <c r="J454">
        <v>58803.02</v>
      </c>
    </row>
    <row r="455" spans="1:10">
      <c r="A455" s="90" t="s">
        <v>216</v>
      </c>
      <c r="B455" s="87">
        <v>45761</v>
      </c>
      <c r="C455" t="s">
        <v>2554</v>
      </c>
      <c r="D455" t="s">
        <v>2110</v>
      </c>
      <c r="E455" t="s">
        <v>1285</v>
      </c>
      <c r="F455" t="s">
        <v>653</v>
      </c>
      <c r="G455" t="s">
        <v>2112</v>
      </c>
      <c r="H455" t="s">
        <v>470</v>
      </c>
      <c r="I455" t="s">
        <v>475</v>
      </c>
      <c r="J455">
        <v>46198.239999999998</v>
      </c>
    </row>
    <row r="456" spans="1:10">
      <c r="A456" s="90" t="s">
        <v>216</v>
      </c>
      <c r="B456" s="87">
        <v>45761</v>
      </c>
      <c r="C456" t="s">
        <v>2555</v>
      </c>
      <c r="D456" t="s">
        <v>2110</v>
      </c>
      <c r="E456" t="s">
        <v>480</v>
      </c>
      <c r="F456" t="s">
        <v>2556</v>
      </c>
      <c r="G456" t="s">
        <v>2115</v>
      </c>
      <c r="H456" t="s">
        <v>470</v>
      </c>
      <c r="I456" t="s">
        <v>475</v>
      </c>
      <c r="J456">
        <v>524.88</v>
      </c>
    </row>
    <row r="457" spans="1:10">
      <c r="A457" s="90" t="s">
        <v>216</v>
      </c>
      <c r="B457" s="87">
        <v>45761</v>
      </c>
      <c r="C457" t="s">
        <v>2555</v>
      </c>
      <c r="D457" t="s">
        <v>2110</v>
      </c>
      <c r="E457" t="s">
        <v>480</v>
      </c>
      <c r="F457" t="s">
        <v>2556</v>
      </c>
      <c r="G457" t="s">
        <v>57</v>
      </c>
      <c r="H457" t="s">
        <v>470</v>
      </c>
      <c r="I457" t="s">
        <v>475</v>
      </c>
      <c r="J457">
        <v>162.82</v>
      </c>
    </row>
    <row r="458" spans="1:10">
      <c r="A458" s="90" t="s">
        <v>216</v>
      </c>
      <c r="B458" s="87">
        <v>45761</v>
      </c>
      <c r="C458" t="s">
        <v>2557</v>
      </c>
      <c r="D458" t="s">
        <v>2110</v>
      </c>
      <c r="E458" t="s">
        <v>1285</v>
      </c>
      <c r="F458" t="s">
        <v>655</v>
      </c>
      <c r="G458" t="s">
        <v>2112</v>
      </c>
      <c r="H458" t="s">
        <v>470</v>
      </c>
      <c r="I458" t="s">
        <v>475</v>
      </c>
      <c r="J458">
        <v>53628.12</v>
      </c>
    </row>
    <row r="459" spans="1:10">
      <c r="A459" s="90" t="s">
        <v>216</v>
      </c>
      <c r="B459" s="87">
        <v>45761</v>
      </c>
      <c r="C459" t="s">
        <v>2558</v>
      </c>
      <c r="D459" t="s">
        <v>2110</v>
      </c>
      <c r="E459" t="s">
        <v>1285</v>
      </c>
      <c r="F459" t="s">
        <v>657</v>
      </c>
      <c r="G459" t="s">
        <v>2112</v>
      </c>
      <c r="H459" t="s">
        <v>470</v>
      </c>
      <c r="I459" t="s">
        <v>475</v>
      </c>
      <c r="J459">
        <v>54957.98</v>
      </c>
    </row>
    <row r="460" spans="1:10">
      <c r="A460" s="90" t="s">
        <v>216</v>
      </c>
      <c r="B460" s="87">
        <v>45761</v>
      </c>
      <c r="C460" t="s">
        <v>2559</v>
      </c>
      <c r="D460" t="s">
        <v>2110</v>
      </c>
      <c r="E460" t="s">
        <v>1285</v>
      </c>
      <c r="F460" t="s">
        <v>659</v>
      </c>
      <c r="G460" t="s">
        <v>2112</v>
      </c>
      <c r="H460" t="s">
        <v>470</v>
      </c>
      <c r="I460" t="s">
        <v>475</v>
      </c>
      <c r="J460">
        <v>71725.8</v>
      </c>
    </row>
    <row r="461" spans="1:10">
      <c r="A461" s="90" t="s">
        <v>216</v>
      </c>
      <c r="B461" s="87">
        <v>45761</v>
      </c>
      <c r="C461" t="s">
        <v>2560</v>
      </c>
      <c r="D461" t="s">
        <v>2110</v>
      </c>
      <c r="E461" t="s">
        <v>1285</v>
      </c>
      <c r="F461" t="s">
        <v>661</v>
      </c>
      <c r="G461" t="s">
        <v>2112</v>
      </c>
      <c r="H461" t="s">
        <v>470</v>
      </c>
      <c r="I461" t="s">
        <v>475</v>
      </c>
      <c r="J461">
        <v>4306.2700000000004</v>
      </c>
    </row>
    <row r="462" spans="1:10">
      <c r="A462" s="90" t="s">
        <v>216</v>
      </c>
      <c r="B462" s="87">
        <v>45761</v>
      </c>
      <c r="C462" t="s">
        <v>517</v>
      </c>
      <c r="D462" t="s">
        <v>2110</v>
      </c>
      <c r="E462" t="s">
        <v>512</v>
      </c>
      <c r="F462" t="s">
        <v>569</v>
      </c>
      <c r="G462" t="s">
        <v>474</v>
      </c>
      <c r="H462" t="s">
        <v>470</v>
      </c>
      <c r="I462" t="s">
        <v>475</v>
      </c>
      <c r="J462">
        <v>583250.1</v>
      </c>
    </row>
    <row r="463" spans="1:10">
      <c r="A463" s="90" t="s">
        <v>216</v>
      </c>
      <c r="B463" s="87">
        <v>45762</v>
      </c>
      <c r="C463" t="s">
        <v>2561</v>
      </c>
      <c r="D463" t="s">
        <v>2110</v>
      </c>
      <c r="E463" t="s">
        <v>2516</v>
      </c>
      <c r="F463" t="s">
        <v>623</v>
      </c>
      <c r="G463" t="s">
        <v>2125</v>
      </c>
      <c r="H463" t="s">
        <v>470</v>
      </c>
      <c r="I463" t="s">
        <v>487</v>
      </c>
      <c r="J463">
        <v>7728.3</v>
      </c>
    </row>
    <row r="464" spans="1:10">
      <c r="A464" s="90" t="s">
        <v>216</v>
      </c>
      <c r="B464" s="87">
        <v>45762</v>
      </c>
      <c r="C464" t="s">
        <v>2562</v>
      </c>
      <c r="D464" t="s">
        <v>2110</v>
      </c>
      <c r="E464" t="s">
        <v>2316</v>
      </c>
      <c r="F464" t="s">
        <v>569</v>
      </c>
      <c r="G464" t="s">
        <v>217</v>
      </c>
      <c r="H464" t="s">
        <v>2483</v>
      </c>
      <c r="I464" t="s">
        <v>796</v>
      </c>
      <c r="J464">
        <v>102.75</v>
      </c>
    </row>
    <row r="465" spans="1:10">
      <c r="A465" s="90" t="s">
        <v>216</v>
      </c>
      <c r="B465" s="87">
        <v>45762</v>
      </c>
      <c r="C465" t="s">
        <v>2275</v>
      </c>
      <c r="D465" t="s">
        <v>2110</v>
      </c>
      <c r="E465" t="s">
        <v>477</v>
      </c>
      <c r="F465" t="s">
        <v>569</v>
      </c>
      <c r="G465" t="s">
        <v>74</v>
      </c>
      <c r="H465" t="s">
        <v>470</v>
      </c>
      <c r="I465" t="s">
        <v>471</v>
      </c>
      <c r="J465">
        <v>10</v>
      </c>
    </row>
    <row r="466" spans="1:10">
      <c r="A466" s="90" t="s">
        <v>216</v>
      </c>
      <c r="B466" s="87">
        <v>45762</v>
      </c>
      <c r="C466" t="s">
        <v>511</v>
      </c>
      <c r="D466" t="s">
        <v>2110</v>
      </c>
      <c r="E466" t="s">
        <v>512</v>
      </c>
      <c r="F466" t="s">
        <v>569</v>
      </c>
      <c r="G466" t="s">
        <v>474</v>
      </c>
      <c r="H466" t="s">
        <v>470</v>
      </c>
      <c r="I466" t="s">
        <v>475</v>
      </c>
      <c r="J466">
        <v>7841.05</v>
      </c>
    </row>
    <row r="467" spans="1:10">
      <c r="A467" s="90" t="s">
        <v>216</v>
      </c>
      <c r="B467" s="87">
        <v>45763</v>
      </c>
      <c r="C467" t="s">
        <v>2563</v>
      </c>
      <c r="D467" t="s">
        <v>2110</v>
      </c>
      <c r="E467" t="s">
        <v>2564</v>
      </c>
      <c r="F467" t="s">
        <v>2565</v>
      </c>
      <c r="G467" t="s">
        <v>251</v>
      </c>
      <c r="H467" t="s">
        <v>470</v>
      </c>
      <c r="I467" t="s">
        <v>796</v>
      </c>
      <c r="J467">
        <v>267.02999999999997</v>
      </c>
    </row>
    <row r="468" spans="1:10">
      <c r="A468" s="90" t="s">
        <v>216</v>
      </c>
      <c r="B468" s="87">
        <v>45763</v>
      </c>
      <c r="C468" t="s">
        <v>2566</v>
      </c>
      <c r="D468" t="s">
        <v>2110</v>
      </c>
      <c r="E468" t="s">
        <v>2514</v>
      </c>
      <c r="F468" t="s">
        <v>627</v>
      </c>
      <c r="G468" t="s">
        <v>2125</v>
      </c>
      <c r="H468" t="s">
        <v>470</v>
      </c>
      <c r="I468" t="s">
        <v>487</v>
      </c>
      <c r="J468">
        <v>5977.36</v>
      </c>
    </row>
    <row r="469" spans="1:10">
      <c r="A469" s="90" t="s">
        <v>216</v>
      </c>
      <c r="B469" s="87">
        <v>45763</v>
      </c>
      <c r="C469" t="s">
        <v>2567</v>
      </c>
      <c r="D469" t="s">
        <v>2110</v>
      </c>
      <c r="E469" t="s">
        <v>2568</v>
      </c>
      <c r="F469" t="s">
        <v>708</v>
      </c>
      <c r="G469" t="s">
        <v>2112</v>
      </c>
      <c r="H469" t="s">
        <v>470</v>
      </c>
      <c r="I469" t="s">
        <v>475</v>
      </c>
      <c r="J469">
        <v>71659.66</v>
      </c>
    </row>
    <row r="470" spans="1:10">
      <c r="A470" s="90" t="s">
        <v>216</v>
      </c>
      <c r="B470" s="87">
        <v>45763</v>
      </c>
      <c r="C470" t="s">
        <v>2569</v>
      </c>
      <c r="D470" t="s">
        <v>2110</v>
      </c>
      <c r="E470" t="s">
        <v>2568</v>
      </c>
      <c r="F470" t="s">
        <v>710</v>
      </c>
      <c r="G470" t="s">
        <v>2112</v>
      </c>
      <c r="H470" t="s">
        <v>470</v>
      </c>
      <c r="I470" t="s">
        <v>475</v>
      </c>
      <c r="J470">
        <v>72003.600000000006</v>
      </c>
    </row>
    <row r="471" spans="1:10">
      <c r="A471" s="90" t="s">
        <v>216</v>
      </c>
      <c r="B471" s="87">
        <v>45763</v>
      </c>
      <c r="C471" t="s">
        <v>2275</v>
      </c>
      <c r="D471" t="s">
        <v>2110</v>
      </c>
      <c r="E471" t="s">
        <v>477</v>
      </c>
      <c r="F471" t="s">
        <v>569</v>
      </c>
      <c r="G471" t="s">
        <v>74</v>
      </c>
      <c r="H471" t="s">
        <v>470</v>
      </c>
      <c r="I471" t="s">
        <v>471</v>
      </c>
      <c r="J471">
        <v>10</v>
      </c>
    </row>
    <row r="472" spans="1:10">
      <c r="A472" s="90" t="s">
        <v>216</v>
      </c>
      <c r="B472" s="87">
        <v>45763</v>
      </c>
      <c r="C472" t="s">
        <v>511</v>
      </c>
      <c r="D472" t="s">
        <v>2110</v>
      </c>
      <c r="E472" t="s">
        <v>512</v>
      </c>
      <c r="F472" t="s">
        <v>569</v>
      </c>
      <c r="G472" t="s">
        <v>474</v>
      </c>
      <c r="H472" t="s">
        <v>470</v>
      </c>
      <c r="I472" t="s">
        <v>475</v>
      </c>
      <c r="J472">
        <v>149917.65</v>
      </c>
    </row>
    <row r="473" spans="1:10">
      <c r="A473" s="90" t="s">
        <v>216</v>
      </c>
      <c r="B473" s="87">
        <v>45764</v>
      </c>
      <c r="C473" t="s">
        <v>2570</v>
      </c>
      <c r="D473" t="s">
        <v>2110</v>
      </c>
      <c r="E473" t="s">
        <v>1743</v>
      </c>
      <c r="F473" t="s">
        <v>602</v>
      </c>
      <c r="G473" t="s">
        <v>2125</v>
      </c>
      <c r="H473" t="s">
        <v>470</v>
      </c>
      <c r="I473" t="s">
        <v>475</v>
      </c>
      <c r="J473">
        <v>25401.200000000001</v>
      </c>
    </row>
    <row r="474" spans="1:10">
      <c r="A474" s="90" t="s">
        <v>216</v>
      </c>
      <c r="B474" s="87">
        <v>45764</v>
      </c>
      <c r="C474" t="s">
        <v>2571</v>
      </c>
      <c r="D474" t="s">
        <v>2110</v>
      </c>
      <c r="E474" t="s">
        <v>1743</v>
      </c>
      <c r="F474" t="s">
        <v>610</v>
      </c>
      <c r="G474" t="s">
        <v>2125</v>
      </c>
      <c r="H474" t="s">
        <v>470</v>
      </c>
      <c r="I474" t="s">
        <v>475</v>
      </c>
      <c r="J474">
        <v>20903.2</v>
      </c>
    </row>
    <row r="475" spans="1:10">
      <c r="A475" s="90" t="s">
        <v>216</v>
      </c>
      <c r="B475" s="87">
        <v>45764</v>
      </c>
      <c r="C475" t="s">
        <v>2572</v>
      </c>
      <c r="D475" t="s">
        <v>2110</v>
      </c>
      <c r="E475" t="s">
        <v>2277</v>
      </c>
      <c r="F475" t="s">
        <v>2305</v>
      </c>
      <c r="G475" t="s">
        <v>226</v>
      </c>
      <c r="H475" t="s">
        <v>2409</v>
      </c>
      <c r="I475" t="s">
        <v>796</v>
      </c>
      <c r="J475">
        <v>144.36000000000001</v>
      </c>
    </row>
    <row r="476" spans="1:10">
      <c r="A476" s="90" t="s">
        <v>216</v>
      </c>
      <c r="B476" s="87">
        <v>45764</v>
      </c>
      <c r="C476" t="s">
        <v>2573</v>
      </c>
      <c r="D476" t="s">
        <v>2110</v>
      </c>
      <c r="E476" t="s">
        <v>2568</v>
      </c>
      <c r="F476" t="s">
        <v>712</v>
      </c>
      <c r="G476" t="s">
        <v>2112</v>
      </c>
      <c r="H476" t="s">
        <v>470</v>
      </c>
      <c r="I476" t="s">
        <v>475</v>
      </c>
      <c r="J476">
        <v>74112.12</v>
      </c>
    </row>
    <row r="477" spans="1:10">
      <c r="A477" s="90" t="s">
        <v>216</v>
      </c>
      <c r="B477" s="87">
        <v>45764</v>
      </c>
      <c r="C477" t="s">
        <v>511</v>
      </c>
      <c r="D477" t="s">
        <v>2110</v>
      </c>
      <c r="E477" t="s">
        <v>512</v>
      </c>
      <c r="F477" t="s">
        <v>569</v>
      </c>
      <c r="G477" t="s">
        <v>474</v>
      </c>
      <c r="H477" t="s">
        <v>470</v>
      </c>
      <c r="I477" t="s">
        <v>475</v>
      </c>
      <c r="J477">
        <v>120560.88</v>
      </c>
    </row>
    <row r="478" spans="1:10">
      <c r="A478" s="90" t="s">
        <v>216</v>
      </c>
      <c r="B478" s="87">
        <v>45769</v>
      </c>
      <c r="C478" t="s">
        <v>2574</v>
      </c>
      <c r="D478" t="s">
        <v>2110</v>
      </c>
      <c r="E478" t="s">
        <v>1743</v>
      </c>
      <c r="F478" t="s">
        <v>615</v>
      </c>
      <c r="G478" t="s">
        <v>2125</v>
      </c>
      <c r="H478" t="s">
        <v>470</v>
      </c>
      <c r="I478" t="s">
        <v>475</v>
      </c>
      <c r="J478">
        <v>19959.8</v>
      </c>
    </row>
    <row r="479" spans="1:10">
      <c r="A479" s="90" t="s">
        <v>216</v>
      </c>
      <c r="B479" s="87">
        <v>45769</v>
      </c>
      <c r="C479" t="s">
        <v>2575</v>
      </c>
      <c r="D479" t="s">
        <v>2110</v>
      </c>
      <c r="E479" t="s">
        <v>1285</v>
      </c>
      <c r="F479" t="s">
        <v>241</v>
      </c>
      <c r="G479" t="s">
        <v>2381</v>
      </c>
      <c r="H479" t="s">
        <v>470</v>
      </c>
      <c r="I479" t="s">
        <v>796</v>
      </c>
      <c r="J479">
        <v>2484.54</v>
      </c>
    </row>
    <row r="480" spans="1:10">
      <c r="A480" s="90" t="s">
        <v>216</v>
      </c>
      <c r="B480" s="87">
        <v>45769</v>
      </c>
      <c r="C480" t="s">
        <v>2576</v>
      </c>
      <c r="D480" t="s">
        <v>2110</v>
      </c>
      <c r="E480" t="s">
        <v>1285</v>
      </c>
      <c r="F480" t="s">
        <v>621</v>
      </c>
      <c r="G480" t="s">
        <v>2112</v>
      </c>
      <c r="H480" t="s">
        <v>470</v>
      </c>
      <c r="I480" t="s">
        <v>487</v>
      </c>
      <c r="J480">
        <v>58311.55</v>
      </c>
    </row>
    <row r="481" spans="1:10">
      <c r="A481" s="90" t="s">
        <v>216</v>
      </c>
      <c r="B481" s="87">
        <v>45769</v>
      </c>
      <c r="C481" t="s">
        <v>2577</v>
      </c>
      <c r="D481" t="s">
        <v>2110</v>
      </c>
      <c r="E481" t="s">
        <v>1285</v>
      </c>
      <c r="F481" t="s">
        <v>627</v>
      </c>
      <c r="G481" t="s">
        <v>2112</v>
      </c>
      <c r="H481" t="s">
        <v>470</v>
      </c>
      <c r="I481" t="s">
        <v>487</v>
      </c>
      <c r="J481">
        <v>56605.85</v>
      </c>
    </row>
    <row r="482" spans="1:10">
      <c r="A482" s="90" t="s">
        <v>216</v>
      </c>
      <c r="B482" s="87">
        <v>45769</v>
      </c>
      <c r="C482" t="s">
        <v>2578</v>
      </c>
      <c r="D482" t="s">
        <v>2110</v>
      </c>
      <c r="E482" t="s">
        <v>1285</v>
      </c>
      <c r="F482" t="s">
        <v>623</v>
      </c>
      <c r="G482" t="s">
        <v>2112</v>
      </c>
      <c r="H482" t="s">
        <v>470</v>
      </c>
      <c r="I482" t="s">
        <v>487</v>
      </c>
      <c r="J482">
        <v>71754.710000000006</v>
      </c>
    </row>
    <row r="483" spans="1:10">
      <c r="A483" s="90" t="s">
        <v>216</v>
      </c>
      <c r="B483" s="87">
        <v>45769</v>
      </c>
      <c r="C483" t="s">
        <v>2579</v>
      </c>
      <c r="D483" t="s">
        <v>2110</v>
      </c>
      <c r="E483" t="s">
        <v>1285</v>
      </c>
      <c r="F483" t="s">
        <v>631</v>
      </c>
      <c r="G483" t="s">
        <v>2112</v>
      </c>
      <c r="H483" t="s">
        <v>470</v>
      </c>
      <c r="I483" t="s">
        <v>487</v>
      </c>
      <c r="J483">
        <v>55651.82</v>
      </c>
    </row>
    <row r="484" spans="1:10">
      <c r="A484" s="90" t="s">
        <v>216</v>
      </c>
      <c r="B484" s="87">
        <v>45769</v>
      </c>
      <c r="C484" t="s">
        <v>2560</v>
      </c>
      <c r="D484" t="s">
        <v>2110</v>
      </c>
      <c r="E484" t="s">
        <v>1285</v>
      </c>
      <c r="F484" t="s">
        <v>661</v>
      </c>
      <c r="G484" t="s">
        <v>2112</v>
      </c>
      <c r="H484" t="s">
        <v>470</v>
      </c>
      <c r="I484" t="s">
        <v>487</v>
      </c>
      <c r="J484">
        <v>50478.25</v>
      </c>
    </row>
    <row r="485" spans="1:10">
      <c r="A485" s="90" t="s">
        <v>216</v>
      </c>
      <c r="B485" s="87">
        <v>45769</v>
      </c>
      <c r="C485" t="s">
        <v>2580</v>
      </c>
      <c r="D485" t="s">
        <v>2110</v>
      </c>
      <c r="E485" t="s">
        <v>2568</v>
      </c>
      <c r="F485" t="s">
        <v>714</v>
      </c>
      <c r="G485" t="s">
        <v>2112</v>
      </c>
      <c r="H485" t="s">
        <v>470</v>
      </c>
      <c r="I485" t="s">
        <v>475</v>
      </c>
      <c r="J485">
        <v>55957.94</v>
      </c>
    </row>
    <row r="486" spans="1:10">
      <c r="A486" s="90" t="s">
        <v>216</v>
      </c>
      <c r="B486" s="87">
        <v>45769</v>
      </c>
      <c r="C486" t="s">
        <v>2581</v>
      </c>
      <c r="D486" t="s">
        <v>2110</v>
      </c>
      <c r="E486" t="s">
        <v>2568</v>
      </c>
      <c r="F486" t="s">
        <v>716</v>
      </c>
      <c r="G486" t="s">
        <v>2112</v>
      </c>
      <c r="H486" t="s">
        <v>470</v>
      </c>
      <c r="I486" t="s">
        <v>475</v>
      </c>
      <c r="J486">
        <v>70530.990000000005</v>
      </c>
    </row>
    <row r="487" spans="1:10">
      <c r="A487" s="90" t="s">
        <v>216</v>
      </c>
      <c r="B487" s="87">
        <v>45769</v>
      </c>
      <c r="C487" t="s">
        <v>2582</v>
      </c>
      <c r="D487" t="s">
        <v>2110</v>
      </c>
      <c r="E487" t="s">
        <v>2568</v>
      </c>
      <c r="F487" t="s">
        <v>718</v>
      </c>
      <c r="G487" t="s">
        <v>2112</v>
      </c>
      <c r="H487" t="s">
        <v>470</v>
      </c>
      <c r="I487" t="s">
        <v>475</v>
      </c>
      <c r="J487">
        <v>73872.850000000006</v>
      </c>
    </row>
    <row r="488" spans="1:10">
      <c r="A488" s="90" t="s">
        <v>216</v>
      </c>
      <c r="B488" s="87">
        <v>45769</v>
      </c>
      <c r="C488" t="s">
        <v>2583</v>
      </c>
      <c r="D488" t="s">
        <v>2110</v>
      </c>
      <c r="E488" t="s">
        <v>2568</v>
      </c>
      <c r="F488" t="s">
        <v>720</v>
      </c>
      <c r="G488" t="s">
        <v>2112</v>
      </c>
      <c r="H488" t="s">
        <v>470</v>
      </c>
      <c r="I488" t="s">
        <v>475</v>
      </c>
      <c r="J488">
        <v>73080.289999999994</v>
      </c>
    </row>
    <row r="489" spans="1:10">
      <c r="A489" s="90" t="s">
        <v>216</v>
      </c>
      <c r="B489" s="87">
        <v>45769</v>
      </c>
      <c r="C489" t="s">
        <v>2584</v>
      </c>
      <c r="D489" t="s">
        <v>2110</v>
      </c>
      <c r="E489" t="s">
        <v>1285</v>
      </c>
      <c r="F489" t="s">
        <v>663</v>
      </c>
      <c r="G489" t="s">
        <v>2112</v>
      </c>
      <c r="H489" t="s">
        <v>470</v>
      </c>
      <c r="I489" t="s">
        <v>487</v>
      </c>
      <c r="J489">
        <v>70916.320000000007</v>
      </c>
    </row>
    <row r="490" spans="1:10">
      <c r="A490" s="90" t="s">
        <v>216</v>
      </c>
      <c r="B490" s="87">
        <v>45769</v>
      </c>
      <c r="C490" t="s">
        <v>2301</v>
      </c>
      <c r="D490" t="s">
        <v>2110</v>
      </c>
      <c r="E490" t="s">
        <v>2287</v>
      </c>
      <c r="F490" t="s">
        <v>569</v>
      </c>
      <c r="G490" t="s">
        <v>77</v>
      </c>
      <c r="H490" t="s">
        <v>470</v>
      </c>
      <c r="I490" t="s">
        <v>487</v>
      </c>
      <c r="J490">
        <v>3375</v>
      </c>
    </row>
    <row r="491" spans="1:10">
      <c r="A491" s="90" t="s">
        <v>216</v>
      </c>
      <c r="B491" s="87">
        <v>45769</v>
      </c>
      <c r="C491" t="s">
        <v>2497</v>
      </c>
      <c r="D491" t="s">
        <v>2110</v>
      </c>
      <c r="E491" t="s">
        <v>2376</v>
      </c>
      <c r="F491" t="s">
        <v>235</v>
      </c>
      <c r="G491" t="s">
        <v>2381</v>
      </c>
      <c r="H491" t="s">
        <v>470</v>
      </c>
      <c r="I491" t="s">
        <v>796</v>
      </c>
      <c r="J491">
        <v>1243.2</v>
      </c>
    </row>
    <row r="492" spans="1:10">
      <c r="A492" s="90" t="s">
        <v>216</v>
      </c>
      <c r="B492" s="87">
        <v>45769</v>
      </c>
      <c r="C492" t="s">
        <v>2585</v>
      </c>
      <c r="D492" t="s">
        <v>2110</v>
      </c>
      <c r="E492" t="s">
        <v>2318</v>
      </c>
      <c r="F492" t="s">
        <v>468</v>
      </c>
      <c r="G492" t="s">
        <v>78</v>
      </c>
      <c r="H492" t="s">
        <v>2409</v>
      </c>
      <c r="I492" t="s">
        <v>796</v>
      </c>
      <c r="J492">
        <v>14.97</v>
      </c>
    </row>
    <row r="493" spans="1:10">
      <c r="A493" s="90" t="s">
        <v>216</v>
      </c>
      <c r="B493" s="87">
        <v>45769</v>
      </c>
      <c r="C493" t="s">
        <v>2585</v>
      </c>
      <c r="D493" t="s">
        <v>2110</v>
      </c>
      <c r="E493" t="s">
        <v>2318</v>
      </c>
      <c r="F493" t="s">
        <v>468</v>
      </c>
      <c r="G493" t="s">
        <v>64</v>
      </c>
      <c r="H493" t="s">
        <v>2409</v>
      </c>
      <c r="I493" t="s">
        <v>796</v>
      </c>
      <c r="J493">
        <v>812</v>
      </c>
    </row>
    <row r="494" spans="1:10">
      <c r="A494" s="90" t="s">
        <v>216</v>
      </c>
      <c r="B494" s="87">
        <v>45769</v>
      </c>
      <c r="C494" t="s">
        <v>2586</v>
      </c>
      <c r="D494" t="s">
        <v>2110</v>
      </c>
      <c r="E494" t="s">
        <v>477</v>
      </c>
      <c r="F494" t="s">
        <v>2311</v>
      </c>
      <c r="G494" t="s">
        <v>515</v>
      </c>
      <c r="H494" t="s">
        <v>2587</v>
      </c>
      <c r="I494" t="s">
        <v>471</v>
      </c>
      <c r="J494">
        <v>55555.56</v>
      </c>
    </row>
    <row r="495" spans="1:10">
      <c r="A495" s="90" t="s">
        <v>216</v>
      </c>
      <c r="B495" s="87">
        <v>45769</v>
      </c>
      <c r="C495" t="s">
        <v>2586</v>
      </c>
      <c r="D495" t="s">
        <v>2110</v>
      </c>
      <c r="E495" t="s">
        <v>477</v>
      </c>
      <c r="F495" t="s">
        <v>2311</v>
      </c>
      <c r="G495" t="s">
        <v>69</v>
      </c>
      <c r="H495" t="s">
        <v>2587</v>
      </c>
      <c r="I495" t="s">
        <v>471</v>
      </c>
      <c r="J495">
        <v>5097.78</v>
      </c>
    </row>
    <row r="496" spans="1:10">
      <c r="A496" s="90" t="s">
        <v>216</v>
      </c>
      <c r="B496" s="87">
        <v>45769</v>
      </c>
      <c r="C496" t="s">
        <v>2275</v>
      </c>
      <c r="D496" t="s">
        <v>2110</v>
      </c>
      <c r="E496" t="s">
        <v>477</v>
      </c>
      <c r="F496" t="s">
        <v>569</v>
      </c>
      <c r="G496" t="s">
        <v>74</v>
      </c>
      <c r="H496" t="s">
        <v>470</v>
      </c>
      <c r="I496" t="s">
        <v>471</v>
      </c>
      <c r="J496">
        <v>20</v>
      </c>
    </row>
    <row r="497" spans="1:10">
      <c r="A497" s="90" t="s">
        <v>216</v>
      </c>
      <c r="B497" s="87">
        <v>45769</v>
      </c>
      <c r="C497" t="s">
        <v>2588</v>
      </c>
      <c r="D497" t="s">
        <v>2110</v>
      </c>
      <c r="E497" t="s">
        <v>477</v>
      </c>
      <c r="F497" t="s">
        <v>612</v>
      </c>
      <c r="G497" t="s">
        <v>69</v>
      </c>
      <c r="H497" t="s">
        <v>470</v>
      </c>
      <c r="I497" t="s">
        <v>471</v>
      </c>
      <c r="J497">
        <v>6556.6</v>
      </c>
    </row>
    <row r="498" spans="1:10">
      <c r="A498" s="90" t="s">
        <v>216</v>
      </c>
      <c r="B498" s="87">
        <v>45769</v>
      </c>
      <c r="C498" t="s">
        <v>511</v>
      </c>
      <c r="D498" t="s">
        <v>2110</v>
      </c>
      <c r="E498" t="s">
        <v>512</v>
      </c>
      <c r="F498" t="s">
        <v>569</v>
      </c>
      <c r="G498" t="s">
        <v>474</v>
      </c>
      <c r="H498" t="s">
        <v>470</v>
      </c>
      <c r="I498" t="s">
        <v>475</v>
      </c>
      <c r="J498">
        <v>258268.02</v>
      </c>
    </row>
    <row r="499" spans="1:10">
      <c r="A499" s="90" t="s">
        <v>216</v>
      </c>
      <c r="B499" s="87">
        <v>45771</v>
      </c>
      <c r="C499" t="s">
        <v>2589</v>
      </c>
      <c r="D499" t="s">
        <v>2110</v>
      </c>
      <c r="E499" t="s">
        <v>1743</v>
      </c>
      <c r="F499" t="s">
        <v>619</v>
      </c>
      <c r="G499" t="s">
        <v>2125</v>
      </c>
      <c r="H499" t="s">
        <v>470</v>
      </c>
      <c r="I499" t="s">
        <v>475</v>
      </c>
      <c r="J499">
        <v>20447.400000000001</v>
      </c>
    </row>
    <row r="500" spans="1:10">
      <c r="A500" s="90" t="s">
        <v>216</v>
      </c>
      <c r="B500" s="87">
        <v>45771</v>
      </c>
      <c r="C500" t="s">
        <v>2590</v>
      </c>
      <c r="D500" t="s">
        <v>2110</v>
      </c>
      <c r="E500" t="s">
        <v>2568</v>
      </c>
      <c r="F500" t="s">
        <v>722</v>
      </c>
      <c r="G500" t="s">
        <v>2112</v>
      </c>
      <c r="H500" t="s">
        <v>470</v>
      </c>
      <c r="I500" t="s">
        <v>475</v>
      </c>
      <c r="J500">
        <v>73439.19</v>
      </c>
    </row>
    <row r="501" spans="1:10">
      <c r="A501" s="90" t="s">
        <v>216</v>
      </c>
      <c r="B501" s="87">
        <v>45771</v>
      </c>
      <c r="C501" t="s">
        <v>511</v>
      </c>
      <c r="D501" t="s">
        <v>2110</v>
      </c>
      <c r="E501" t="s">
        <v>512</v>
      </c>
      <c r="F501" t="s">
        <v>569</v>
      </c>
      <c r="G501" t="s">
        <v>474</v>
      </c>
      <c r="H501" t="s">
        <v>470</v>
      </c>
      <c r="I501" t="s">
        <v>475</v>
      </c>
      <c r="J501">
        <v>93886.59</v>
      </c>
    </row>
    <row r="502" spans="1:10">
      <c r="A502" s="90" t="s">
        <v>216</v>
      </c>
      <c r="B502" s="87">
        <v>45772</v>
      </c>
      <c r="C502" t="s">
        <v>2591</v>
      </c>
      <c r="D502" t="s">
        <v>2110</v>
      </c>
      <c r="E502" t="s">
        <v>2290</v>
      </c>
      <c r="F502" t="s">
        <v>527</v>
      </c>
      <c r="G502" t="s">
        <v>2115</v>
      </c>
      <c r="H502" t="s">
        <v>470</v>
      </c>
      <c r="I502" t="s">
        <v>796</v>
      </c>
      <c r="J502">
        <v>505</v>
      </c>
    </row>
    <row r="503" spans="1:10">
      <c r="A503" s="90" t="s">
        <v>216</v>
      </c>
      <c r="B503" s="87">
        <v>45772</v>
      </c>
      <c r="C503" t="s">
        <v>2591</v>
      </c>
      <c r="D503" t="s">
        <v>2110</v>
      </c>
      <c r="E503" t="s">
        <v>2290</v>
      </c>
      <c r="F503" t="s">
        <v>527</v>
      </c>
      <c r="G503" t="s">
        <v>223</v>
      </c>
      <c r="H503" t="s">
        <v>470</v>
      </c>
      <c r="I503" t="s">
        <v>796</v>
      </c>
      <c r="J503">
        <v>1642.6</v>
      </c>
    </row>
    <row r="504" spans="1:10">
      <c r="A504" s="90" t="s">
        <v>216</v>
      </c>
      <c r="B504" s="87">
        <v>45772</v>
      </c>
      <c r="C504" t="s">
        <v>2592</v>
      </c>
      <c r="D504" t="s">
        <v>2110</v>
      </c>
      <c r="E504" t="s">
        <v>2568</v>
      </c>
      <c r="F504" t="s">
        <v>724</v>
      </c>
      <c r="G504" t="s">
        <v>2112</v>
      </c>
      <c r="H504" t="s">
        <v>470</v>
      </c>
      <c r="I504" t="s">
        <v>475</v>
      </c>
      <c r="J504">
        <v>73170.009999999995</v>
      </c>
    </row>
    <row r="505" spans="1:10">
      <c r="A505" s="90" t="s">
        <v>216</v>
      </c>
      <c r="B505" s="87">
        <v>45772</v>
      </c>
      <c r="C505" t="s">
        <v>2593</v>
      </c>
      <c r="D505" t="s">
        <v>2110</v>
      </c>
      <c r="E505" t="s">
        <v>2568</v>
      </c>
      <c r="F505" t="s">
        <v>726</v>
      </c>
      <c r="G505" t="s">
        <v>2112</v>
      </c>
      <c r="H505" t="s">
        <v>470</v>
      </c>
      <c r="I505" t="s">
        <v>475</v>
      </c>
      <c r="J505">
        <v>71973.69</v>
      </c>
    </row>
    <row r="506" spans="1:10">
      <c r="A506" s="90" t="s">
        <v>216</v>
      </c>
      <c r="B506" s="87">
        <v>45772</v>
      </c>
      <c r="C506" t="s">
        <v>2275</v>
      </c>
      <c r="D506" t="s">
        <v>2110</v>
      </c>
      <c r="E506" t="s">
        <v>477</v>
      </c>
      <c r="F506" t="s">
        <v>569</v>
      </c>
      <c r="G506" t="s">
        <v>74</v>
      </c>
      <c r="H506" t="s">
        <v>470</v>
      </c>
      <c r="I506" t="s">
        <v>471</v>
      </c>
      <c r="J506">
        <v>6.5</v>
      </c>
    </row>
    <row r="507" spans="1:10">
      <c r="A507" s="90" t="s">
        <v>216</v>
      </c>
      <c r="B507" s="87">
        <v>45772</v>
      </c>
      <c r="C507" t="s">
        <v>517</v>
      </c>
      <c r="D507" t="s">
        <v>2110</v>
      </c>
      <c r="E507" t="s">
        <v>512</v>
      </c>
      <c r="F507" t="s">
        <v>569</v>
      </c>
      <c r="G507" t="s">
        <v>474</v>
      </c>
      <c r="H507" t="s">
        <v>470</v>
      </c>
      <c r="I507" t="s">
        <v>475</v>
      </c>
      <c r="J507">
        <v>1298739.8799999999</v>
      </c>
    </row>
    <row r="508" spans="1:10">
      <c r="A508" s="90" t="s">
        <v>216</v>
      </c>
      <c r="B508" s="87">
        <v>45775</v>
      </c>
      <c r="C508" t="s">
        <v>611</v>
      </c>
      <c r="D508" t="s">
        <v>2110</v>
      </c>
      <c r="E508" t="s">
        <v>477</v>
      </c>
      <c r="F508" t="s">
        <v>612</v>
      </c>
      <c r="G508" t="s">
        <v>515</v>
      </c>
      <c r="H508" t="s">
        <v>470</v>
      </c>
      <c r="I508" t="s">
        <v>471</v>
      </c>
      <c r="J508">
        <v>1860000</v>
      </c>
    </row>
    <row r="509" spans="1:10">
      <c r="A509" s="90" t="s">
        <v>216</v>
      </c>
      <c r="B509" s="87">
        <v>45775</v>
      </c>
      <c r="C509" t="s">
        <v>2594</v>
      </c>
      <c r="D509" t="s">
        <v>2110</v>
      </c>
      <c r="E509" t="s">
        <v>477</v>
      </c>
      <c r="F509" t="s">
        <v>569</v>
      </c>
      <c r="G509" t="s">
        <v>62</v>
      </c>
      <c r="H509" t="s">
        <v>470</v>
      </c>
      <c r="I509" t="s">
        <v>471</v>
      </c>
      <c r="J509">
        <v>3000</v>
      </c>
    </row>
    <row r="510" spans="1:10">
      <c r="A510" s="90" t="s">
        <v>216</v>
      </c>
      <c r="B510" s="87">
        <v>45775</v>
      </c>
      <c r="C510" t="s">
        <v>2594</v>
      </c>
      <c r="D510" t="s">
        <v>2110</v>
      </c>
      <c r="E510" t="s">
        <v>477</v>
      </c>
      <c r="F510" t="s">
        <v>569</v>
      </c>
      <c r="G510" t="s">
        <v>74</v>
      </c>
      <c r="H510" t="s">
        <v>470</v>
      </c>
      <c r="I510" t="s">
        <v>471</v>
      </c>
      <c r="J510">
        <v>3</v>
      </c>
    </row>
    <row r="511" spans="1:10">
      <c r="A511" s="90" t="s">
        <v>216</v>
      </c>
      <c r="B511" s="87">
        <v>45775</v>
      </c>
      <c r="C511" t="s">
        <v>2595</v>
      </c>
      <c r="D511" t="s">
        <v>2110</v>
      </c>
      <c r="E511" t="s">
        <v>2568</v>
      </c>
      <c r="F511" t="s">
        <v>728</v>
      </c>
      <c r="G511" t="s">
        <v>2112</v>
      </c>
      <c r="H511" t="s">
        <v>470</v>
      </c>
      <c r="I511" t="s">
        <v>475</v>
      </c>
      <c r="J511">
        <v>71225.990000000005</v>
      </c>
    </row>
    <row r="512" spans="1:10">
      <c r="A512" s="90" t="s">
        <v>216</v>
      </c>
      <c r="B512" s="87">
        <v>45775</v>
      </c>
      <c r="C512" t="s">
        <v>2596</v>
      </c>
      <c r="D512" t="s">
        <v>2110</v>
      </c>
      <c r="E512" t="s">
        <v>2568</v>
      </c>
      <c r="F512" t="s">
        <v>730</v>
      </c>
      <c r="G512" t="s">
        <v>2112</v>
      </c>
      <c r="H512" t="s">
        <v>470</v>
      </c>
      <c r="I512" t="s">
        <v>475</v>
      </c>
      <c r="J512">
        <v>72362.5</v>
      </c>
    </row>
    <row r="513" spans="1:10">
      <c r="A513" s="90" t="s">
        <v>216</v>
      </c>
      <c r="B513" s="87">
        <v>45775</v>
      </c>
      <c r="C513" t="s">
        <v>2597</v>
      </c>
      <c r="D513" t="s">
        <v>2110</v>
      </c>
      <c r="E513" t="s">
        <v>2568</v>
      </c>
      <c r="F513" t="s">
        <v>732</v>
      </c>
      <c r="G513" t="s">
        <v>2112</v>
      </c>
      <c r="H513" t="s">
        <v>470</v>
      </c>
      <c r="I513" t="s">
        <v>475</v>
      </c>
      <c r="J513">
        <v>72721.38</v>
      </c>
    </row>
    <row r="514" spans="1:10">
      <c r="A514" s="90" t="s">
        <v>216</v>
      </c>
      <c r="B514" s="87">
        <v>45775</v>
      </c>
      <c r="C514" t="s">
        <v>517</v>
      </c>
      <c r="D514" t="s">
        <v>2110</v>
      </c>
      <c r="E514" t="s">
        <v>512</v>
      </c>
      <c r="F514" t="s">
        <v>569</v>
      </c>
      <c r="G514" t="s">
        <v>474</v>
      </c>
      <c r="H514" t="s">
        <v>470</v>
      </c>
      <c r="I514" t="s">
        <v>475</v>
      </c>
      <c r="J514">
        <v>2000000</v>
      </c>
    </row>
    <row r="515" spans="1:10">
      <c r="A515" s="90" t="s">
        <v>216</v>
      </c>
      <c r="B515" s="87">
        <v>45775</v>
      </c>
      <c r="C515" t="s">
        <v>2598</v>
      </c>
      <c r="D515" t="s">
        <v>2110</v>
      </c>
      <c r="E515" t="s">
        <v>477</v>
      </c>
      <c r="F515" t="s">
        <v>2325</v>
      </c>
      <c r="G515" t="s">
        <v>515</v>
      </c>
      <c r="H515" t="s">
        <v>2599</v>
      </c>
      <c r="I515" t="s">
        <v>471</v>
      </c>
      <c r="J515">
        <v>33666.57</v>
      </c>
    </row>
    <row r="516" spans="1:10">
      <c r="A516" s="90" t="s">
        <v>216</v>
      </c>
      <c r="B516" s="87">
        <v>45775</v>
      </c>
      <c r="C516" t="s">
        <v>2598</v>
      </c>
      <c r="D516" t="s">
        <v>2110</v>
      </c>
      <c r="E516" t="s">
        <v>477</v>
      </c>
      <c r="F516" t="s">
        <v>2325</v>
      </c>
      <c r="G516" t="s">
        <v>69</v>
      </c>
      <c r="H516" t="s">
        <v>2599</v>
      </c>
      <c r="I516" t="s">
        <v>471</v>
      </c>
      <c r="J516">
        <v>7792.81</v>
      </c>
    </row>
    <row r="517" spans="1:10">
      <c r="A517" s="90" t="s">
        <v>216</v>
      </c>
      <c r="B517" s="87">
        <v>45775</v>
      </c>
      <c r="C517" t="s">
        <v>511</v>
      </c>
      <c r="D517" t="s">
        <v>2110</v>
      </c>
      <c r="E517" t="s">
        <v>512</v>
      </c>
      <c r="F517" t="s">
        <v>569</v>
      </c>
      <c r="G517" t="s">
        <v>474</v>
      </c>
      <c r="H517" t="s">
        <v>470</v>
      </c>
      <c r="I517" t="s">
        <v>475</v>
      </c>
      <c r="J517">
        <v>1320772.25</v>
      </c>
    </row>
    <row r="518" spans="1:10">
      <c r="A518" s="90" t="s">
        <v>216</v>
      </c>
      <c r="B518" s="87">
        <v>45776</v>
      </c>
      <c r="C518" t="s">
        <v>2600</v>
      </c>
      <c r="D518" t="s">
        <v>2110</v>
      </c>
      <c r="E518" t="s">
        <v>2520</v>
      </c>
      <c r="F518" t="s">
        <v>617</v>
      </c>
      <c r="G518" t="s">
        <v>2125</v>
      </c>
      <c r="H518" t="s">
        <v>470</v>
      </c>
      <c r="I518" t="s">
        <v>487</v>
      </c>
      <c r="J518">
        <v>26215</v>
      </c>
    </row>
    <row r="519" spans="1:10">
      <c r="A519" s="90" t="s">
        <v>216</v>
      </c>
      <c r="B519" s="87">
        <v>45776</v>
      </c>
      <c r="C519" t="s">
        <v>2601</v>
      </c>
      <c r="D519" t="s">
        <v>2110</v>
      </c>
      <c r="E519" t="s">
        <v>2520</v>
      </c>
      <c r="F519" t="s">
        <v>631</v>
      </c>
      <c r="G519" t="s">
        <v>2125</v>
      </c>
      <c r="H519" t="s">
        <v>470</v>
      </c>
      <c r="I519" t="s">
        <v>487</v>
      </c>
      <c r="J519">
        <v>20597.5</v>
      </c>
    </row>
    <row r="520" spans="1:10">
      <c r="A520" s="90" t="s">
        <v>216</v>
      </c>
      <c r="B520" s="87">
        <v>45776</v>
      </c>
      <c r="C520" t="s">
        <v>2602</v>
      </c>
      <c r="D520" t="s">
        <v>2110</v>
      </c>
      <c r="E520" t="s">
        <v>1743</v>
      </c>
      <c r="F520" t="s">
        <v>2603</v>
      </c>
      <c r="G520" t="s">
        <v>2125</v>
      </c>
      <c r="H520" t="s">
        <v>470</v>
      </c>
      <c r="I520" t="s">
        <v>475</v>
      </c>
      <c r="J520">
        <v>25471.8</v>
      </c>
    </row>
    <row r="521" spans="1:10">
      <c r="A521" s="90" t="s">
        <v>216</v>
      </c>
      <c r="B521" s="87">
        <v>45776</v>
      </c>
      <c r="C521" t="s">
        <v>2275</v>
      </c>
      <c r="D521" t="s">
        <v>2110</v>
      </c>
      <c r="E521" t="s">
        <v>477</v>
      </c>
      <c r="F521" t="s">
        <v>569</v>
      </c>
      <c r="G521" t="s">
        <v>74</v>
      </c>
      <c r="H521" t="s">
        <v>470</v>
      </c>
      <c r="I521" t="s">
        <v>471</v>
      </c>
      <c r="J521">
        <v>10</v>
      </c>
    </row>
    <row r="522" spans="1:10">
      <c r="A522" s="90" t="s">
        <v>216</v>
      </c>
      <c r="B522" s="87">
        <v>45776</v>
      </c>
      <c r="C522" t="s">
        <v>511</v>
      </c>
      <c r="D522" t="s">
        <v>2110</v>
      </c>
      <c r="E522" t="s">
        <v>512</v>
      </c>
      <c r="F522" t="s">
        <v>569</v>
      </c>
      <c r="G522" t="s">
        <v>474</v>
      </c>
      <c r="H522" t="s">
        <v>470</v>
      </c>
      <c r="I522" t="s">
        <v>475</v>
      </c>
      <c r="J522">
        <v>72294.3</v>
      </c>
    </row>
    <row r="523" spans="1:10">
      <c r="A523" s="90" t="s">
        <v>216</v>
      </c>
      <c r="B523" s="87">
        <v>45777</v>
      </c>
      <c r="C523" t="s">
        <v>2604</v>
      </c>
      <c r="D523" t="s">
        <v>2110</v>
      </c>
      <c r="E523" t="s">
        <v>1137</v>
      </c>
      <c r="F523" t="s">
        <v>2605</v>
      </c>
      <c r="G523" t="s">
        <v>61</v>
      </c>
      <c r="H523" t="s">
        <v>2483</v>
      </c>
      <c r="I523" t="s">
        <v>487</v>
      </c>
      <c r="J523">
        <v>1518</v>
      </c>
    </row>
    <row r="524" spans="1:10">
      <c r="A524" s="90" t="s">
        <v>216</v>
      </c>
      <c r="B524" s="87">
        <v>45777</v>
      </c>
      <c r="C524" t="s">
        <v>2606</v>
      </c>
      <c r="D524" t="s">
        <v>2110</v>
      </c>
      <c r="E524" t="s">
        <v>2300</v>
      </c>
      <c r="F524" t="s">
        <v>569</v>
      </c>
      <c r="G524" t="s">
        <v>220</v>
      </c>
      <c r="H524" t="s">
        <v>2607</v>
      </c>
      <c r="I524" t="s">
        <v>796</v>
      </c>
      <c r="J524">
        <v>2916.2</v>
      </c>
    </row>
    <row r="525" spans="1:10">
      <c r="A525" s="90" t="s">
        <v>216</v>
      </c>
      <c r="B525" s="87">
        <v>45777</v>
      </c>
      <c r="C525" t="s">
        <v>2336</v>
      </c>
      <c r="D525" t="s">
        <v>2110</v>
      </c>
      <c r="E525" t="s">
        <v>480</v>
      </c>
      <c r="F525" t="s">
        <v>569</v>
      </c>
      <c r="G525" t="s">
        <v>71</v>
      </c>
      <c r="H525" t="s">
        <v>2483</v>
      </c>
      <c r="I525" t="s">
        <v>475</v>
      </c>
      <c r="J525">
        <v>2314</v>
      </c>
    </row>
    <row r="526" spans="1:10">
      <c r="A526" s="90" t="s">
        <v>216</v>
      </c>
      <c r="B526" s="87">
        <v>45777</v>
      </c>
      <c r="C526" t="s">
        <v>2608</v>
      </c>
      <c r="D526" t="s">
        <v>2110</v>
      </c>
      <c r="E526" t="s">
        <v>1756</v>
      </c>
      <c r="F526" t="s">
        <v>569</v>
      </c>
      <c r="G526" t="s">
        <v>59</v>
      </c>
      <c r="H526" t="s">
        <v>470</v>
      </c>
      <c r="I526" t="s">
        <v>796</v>
      </c>
      <c r="J526">
        <v>360.95</v>
      </c>
    </row>
    <row r="527" spans="1:10">
      <c r="A527" s="90" t="s">
        <v>216</v>
      </c>
      <c r="B527" s="87">
        <v>45777</v>
      </c>
      <c r="C527" t="s">
        <v>2608</v>
      </c>
      <c r="D527" t="s">
        <v>2110</v>
      </c>
      <c r="E527" t="s">
        <v>1756</v>
      </c>
      <c r="F527" t="s">
        <v>569</v>
      </c>
      <c r="G527" t="s">
        <v>67</v>
      </c>
      <c r="H527" t="s">
        <v>470</v>
      </c>
      <c r="I527" t="s">
        <v>796</v>
      </c>
      <c r="J527">
        <v>102.63</v>
      </c>
    </row>
    <row r="528" spans="1:10">
      <c r="A528" s="90" t="s">
        <v>216</v>
      </c>
      <c r="B528" s="87">
        <v>45777</v>
      </c>
      <c r="C528" t="s">
        <v>702</v>
      </c>
      <c r="D528" t="s">
        <v>2110</v>
      </c>
      <c r="E528" t="s">
        <v>512</v>
      </c>
      <c r="F528" t="s">
        <v>569</v>
      </c>
      <c r="G528" t="s">
        <v>474</v>
      </c>
      <c r="H528" t="s">
        <v>470</v>
      </c>
      <c r="I528" t="s">
        <v>475</v>
      </c>
      <c r="J528">
        <v>1344000</v>
      </c>
    </row>
    <row r="529" spans="1:10">
      <c r="A529" s="90" t="s">
        <v>216</v>
      </c>
      <c r="B529" s="87">
        <v>45777</v>
      </c>
      <c r="C529" t="s">
        <v>2609</v>
      </c>
      <c r="D529" t="s">
        <v>2110</v>
      </c>
      <c r="E529" t="s">
        <v>1285</v>
      </c>
      <c r="F529" t="s">
        <v>258</v>
      </c>
      <c r="G529" t="s">
        <v>2112</v>
      </c>
      <c r="H529" t="s">
        <v>470</v>
      </c>
      <c r="I529" t="s">
        <v>487</v>
      </c>
      <c r="J529">
        <v>709808.89</v>
      </c>
    </row>
    <row r="530" spans="1:10">
      <c r="A530" s="90" t="s">
        <v>216</v>
      </c>
      <c r="B530" s="87">
        <v>45777</v>
      </c>
      <c r="C530" t="s">
        <v>2275</v>
      </c>
      <c r="D530" t="s">
        <v>2110</v>
      </c>
      <c r="E530" t="s">
        <v>477</v>
      </c>
      <c r="F530" t="s">
        <v>569</v>
      </c>
      <c r="G530" t="s">
        <v>74</v>
      </c>
      <c r="H530" t="s">
        <v>470</v>
      </c>
      <c r="I530" t="s">
        <v>471</v>
      </c>
      <c r="J530">
        <v>20</v>
      </c>
    </row>
    <row r="531" spans="1:10">
      <c r="A531" s="90" t="s">
        <v>216</v>
      </c>
      <c r="B531" s="87">
        <v>45777</v>
      </c>
      <c r="C531" t="s">
        <v>511</v>
      </c>
      <c r="D531" t="s">
        <v>2110</v>
      </c>
      <c r="E531" t="s">
        <v>512</v>
      </c>
      <c r="F531" t="s">
        <v>569</v>
      </c>
      <c r="G531" t="s">
        <v>474</v>
      </c>
      <c r="H531" t="s">
        <v>470</v>
      </c>
      <c r="I531" t="s">
        <v>475</v>
      </c>
      <c r="J531">
        <v>213100.29</v>
      </c>
    </row>
    <row r="532" spans="1:10">
      <c r="A532" s="90" t="s">
        <v>216</v>
      </c>
      <c r="B532" s="87">
        <v>45777</v>
      </c>
      <c r="C532" t="s">
        <v>511</v>
      </c>
      <c r="D532" t="s">
        <v>2110</v>
      </c>
      <c r="E532" t="s">
        <v>512</v>
      </c>
      <c r="F532" t="s">
        <v>569</v>
      </c>
      <c r="G532" t="s">
        <v>474</v>
      </c>
      <c r="H532" t="s">
        <v>470</v>
      </c>
      <c r="I532" t="s">
        <v>475</v>
      </c>
      <c r="J532">
        <v>503940.38</v>
      </c>
    </row>
    <row r="533" spans="1:10">
      <c r="A533" s="90" t="s">
        <v>216</v>
      </c>
      <c r="B533" s="87">
        <v>45777</v>
      </c>
      <c r="C533" t="s">
        <v>2347</v>
      </c>
      <c r="D533" t="s">
        <v>2110</v>
      </c>
      <c r="E533" t="s">
        <v>477</v>
      </c>
      <c r="F533" t="s">
        <v>569</v>
      </c>
      <c r="G533" t="s">
        <v>68</v>
      </c>
      <c r="H533" t="s">
        <v>470</v>
      </c>
      <c r="I533" t="s">
        <v>471</v>
      </c>
      <c r="J533">
        <v>27.22</v>
      </c>
    </row>
    <row r="534" spans="1:10">
      <c r="A534" s="90" t="s">
        <v>216</v>
      </c>
      <c r="B534" s="87">
        <v>45777</v>
      </c>
      <c r="C534" t="s">
        <v>2348</v>
      </c>
      <c r="D534" t="s">
        <v>2110</v>
      </c>
      <c r="E534" t="s">
        <v>477</v>
      </c>
      <c r="F534" t="s">
        <v>569</v>
      </c>
      <c r="G534" t="s">
        <v>66</v>
      </c>
      <c r="H534" t="s">
        <v>470</v>
      </c>
      <c r="I534" t="s">
        <v>471</v>
      </c>
      <c r="J534">
        <v>288.14999999999998</v>
      </c>
    </row>
    <row r="535" spans="1:10">
      <c r="A535" s="90" t="s">
        <v>216</v>
      </c>
      <c r="B535" s="87">
        <v>45777</v>
      </c>
      <c r="C535" t="s">
        <v>2610</v>
      </c>
      <c r="D535" t="s">
        <v>2110</v>
      </c>
      <c r="E535" t="s">
        <v>477</v>
      </c>
      <c r="F535" t="s">
        <v>569</v>
      </c>
      <c r="G535" t="s">
        <v>68</v>
      </c>
      <c r="H535" t="s">
        <v>470</v>
      </c>
      <c r="I535" t="s">
        <v>471</v>
      </c>
      <c r="J535">
        <v>2646.31</v>
      </c>
    </row>
    <row r="536" spans="1:10">
      <c r="A536" s="90" t="s">
        <v>216</v>
      </c>
      <c r="B536" s="87">
        <v>45779</v>
      </c>
      <c r="C536" t="s">
        <v>2611</v>
      </c>
      <c r="D536" t="s">
        <v>2110</v>
      </c>
      <c r="E536" t="s">
        <v>2262</v>
      </c>
      <c r="F536" t="s">
        <v>2612</v>
      </c>
      <c r="G536" t="s">
        <v>73</v>
      </c>
      <c r="H536" t="s">
        <v>2613</v>
      </c>
      <c r="I536" t="s">
        <v>796</v>
      </c>
      <c r="J536">
        <v>633.01</v>
      </c>
    </row>
    <row r="537" spans="1:10">
      <c r="A537" s="90" t="s">
        <v>216</v>
      </c>
      <c r="B537" s="87">
        <v>45779</v>
      </c>
      <c r="C537" t="s">
        <v>2267</v>
      </c>
      <c r="D537" t="s">
        <v>2110</v>
      </c>
      <c r="E537" t="s">
        <v>477</v>
      </c>
      <c r="F537" t="s">
        <v>2268</v>
      </c>
      <c r="G537" t="s">
        <v>2269</v>
      </c>
      <c r="H537" t="s">
        <v>2614</v>
      </c>
      <c r="I537" t="s">
        <v>471</v>
      </c>
      <c r="J537">
        <v>1200</v>
      </c>
    </row>
    <row r="538" spans="1:10">
      <c r="A538" s="90" t="s">
        <v>216</v>
      </c>
      <c r="B538" s="87">
        <v>45779</v>
      </c>
      <c r="C538" t="s">
        <v>2267</v>
      </c>
      <c r="D538" t="s">
        <v>2110</v>
      </c>
      <c r="E538" t="s">
        <v>477</v>
      </c>
      <c r="F538" t="s">
        <v>2268</v>
      </c>
      <c r="G538" t="s">
        <v>2269</v>
      </c>
      <c r="H538" t="s">
        <v>2614</v>
      </c>
      <c r="I538" t="s">
        <v>471</v>
      </c>
      <c r="J538">
        <v>1125</v>
      </c>
    </row>
    <row r="539" spans="1:10">
      <c r="A539" s="90" t="s">
        <v>216</v>
      </c>
      <c r="B539" s="87">
        <v>45779</v>
      </c>
      <c r="C539" t="s">
        <v>2267</v>
      </c>
      <c r="D539" t="s">
        <v>2110</v>
      </c>
      <c r="E539" t="s">
        <v>477</v>
      </c>
      <c r="F539" t="s">
        <v>2268</v>
      </c>
      <c r="G539" t="s">
        <v>2269</v>
      </c>
      <c r="H539" t="s">
        <v>2614</v>
      </c>
      <c r="I539" t="s">
        <v>471</v>
      </c>
      <c r="J539">
        <v>750</v>
      </c>
    </row>
    <row r="540" spans="1:10">
      <c r="A540" s="90" t="s">
        <v>216</v>
      </c>
      <c r="B540" s="87">
        <v>45779</v>
      </c>
      <c r="C540" t="s">
        <v>2267</v>
      </c>
      <c r="D540" t="s">
        <v>2110</v>
      </c>
      <c r="E540" t="s">
        <v>477</v>
      </c>
      <c r="F540" t="s">
        <v>2268</v>
      </c>
      <c r="G540" t="s">
        <v>2271</v>
      </c>
      <c r="H540" t="s">
        <v>2614</v>
      </c>
      <c r="I540" t="s">
        <v>471</v>
      </c>
      <c r="J540">
        <v>129.07</v>
      </c>
    </row>
    <row r="541" spans="1:10">
      <c r="A541" s="90" t="s">
        <v>216</v>
      </c>
      <c r="B541" s="87">
        <v>45779</v>
      </c>
      <c r="C541" t="s">
        <v>2615</v>
      </c>
      <c r="D541" t="s">
        <v>2110</v>
      </c>
      <c r="E541" t="s">
        <v>477</v>
      </c>
      <c r="F541" t="s">
        <v>2273</v>
      </c>
      <c r="G541" t="s">
        <v>2269</v>
      </c>
      <c r="H541" t="s">
        <v>2616</v>
      </c>
      <c r="I541" t="s">
        <v>471</v>
      </c>
      <c r="J541">
        <v>10125</v>
      </c>
    </row>
    <row r="542" spans="1:10">
      <c r="A542" s="90" t="s">
        <v>216</v>
      </c>
      <c r="B542" s="87">
        <v>45779</v>
      </c>
      <c r="C542" t="s">
        <v>2615</v>
      </c>
      <c r="D542" t="s">
        <v>2110</v>
      </c>
      <c r="E542" t="s">
        <v>477</v>
      </c>
      <c r="F542" t="s">
        <v>2273</v>
      </c>
      <c r="G542" t="s">
        <v>2271</v>
      </c>
      <c r="H542" t="s">
        <v>2616</v>
      </c>
      <c r="I542" t="s">
        <v>471</v>
      </c>
      <c r="J542">
        <v>1626.76</v>
      </c>
    </row>
    <row r="543" spans="1:10">
      <c r="A543" s="90" t="s">
        <v>216</v>
      </c>
      <c r="B543" s="87">
        <v>45779</v>
      </c>
      <c r="C543" t="s">
        <v>2617</v>
      </c>
      <c r="D543" t="s">
        <v>2110</v>
      </c>
      <c r="E543" t="s">
        <v>477</v>
      </c>
      <c r="F543" t="s">
        <v>612</v>
      </c>
      <c r="G543" t="s">
        <v>66</v>
      </c>
      <c r="H543" t="s">
        <v>470</v>
      </c>
      <c r="I543" t="s">
        <v>471</v>
      </c>
      <c r="J543">
        <v>8135.64</v>
      </c>
    </row>
    <row r="544" spans="1:10">
      <c r="A544" s="90" t="s">
        <v>216</v>
      </c>
      <c r="B544" s="87">
        <v>45779</v>
      </c>
      <c r="C544" t="s">
        <v>2275</v>
      </c>
      <c r="D544" t="s">
        <v>2110</v>
      </c>
      <c r="E544" t="s">
        <v>477</v>
      </c>
      <c r="F544" t="s">
        <v>706</v>
      </c>
      <c r="G544" t="s">
        <v>74</v>
      </c>
      <c r="H544" t="s">
        <v>470</v>
      </c>
      <c r="I544" t="s">
        <v>471</v>
      </c>
      <c r="J544">
        <v>15</v>
      </c>
    </row>
    <row r="545" spans="1:10">
      <c r="A545" s="90" t="s">
        <v>216</v>
      </c>
      <c r="B545" s="87">
        <v>45779</v>
      </c>
      <c r="C545" t="s">
        <v>517</v>
      </c>
      <c r="D545" t="s">
        <v>2110</v>
      </c>
      <c r="E545" t="s">
        <v>512</v>
      </c>
      <c r="F545" t="s">
        <v>706</v>
      </c>
      <c r="G545" t="s">
        <v>474</v>
      </c>
      <c r="H545" t="s">
        <v>470</v>
      </c>
      <c r="I545" t="s">
        <v>475</v>
      </c>
      <c r="J545">
        <v>9725.32</v>
      </c>
    </row>
    <row r="546" spans="1:10">
      <c r="A546" s="90" t="s">
        <v>216</v>
      </c>
      <c r="B546" s="87">
        <v>45782</v>
      </c>
      <c r="C546" t="s">
        <v>2618</v>
      </c>
      <c r="D546" t="s">
        <v>2110</v>
      </c>
      <c r="E546" t="s">
        <v>1285</v>
      </c>
      <c r="F546" t="s">
        <v>241</v>
      </c>
      <c r="G546" t="s">
        <v>2494</v>
      </c>
      <c r="H546" t="s">
        <v>470</v>
      </c>
      <c r="I546" t="s">
        <v>796</v>
      </c>
      <c r="J546">
        <v>18526.57</v>
      </c>
    </row>
    <row r="547" spans="1:10">
      <c r="A547" s="90" t="s">
        <v>216</v>
      </c>
      <c r="B547" s="87">
        <v>45782</v>
      </c>
      <c r="C547" t="s">
        <v>2619</v>
      </c>
      <c r="D547" t="s">
        <v>2110</v>
      </c>
      <c r="E547" t="s">
        <v>1285</v>
      </c>
      <c r="F547" t="s">
        <v>246</v>
      </c>
      <c r="G547" t="s">
        <v>2494</v>
      </c>
      <c r="H547" t="s">
        <v>470</v>
      </c>
      <c r="I547" t="s">
        <v>796</v>
      </c>
      <c r="J547">
        <v>35771.699999999997</v>
      </c>
    </row>
    <row r="548" spans="1:10">
      <c r="A548" s="90" t="s">
        <v>216</v>
      </c>
      <c r="B548" s="87">
        <v>45782</v>
      </c>
      <c r="C548" t="s">
        <v>2620</v>
      </c>
      <c r="D548" t="s">
        <v>2110</v>
      </c>
      <c r="E548" t="s">
        <v>2568</v>
      </c>
      <c r="F548" t="s">
        <v>248</v>
      </c>
      <c r="G548" t="s">
        <v>2494</v>
      </c>
      <c r="H548" t="s">
        <v>470</v>
      </c>
      <c r="I548" t="s">
        <v>796</v>
      </c>
      <c r="J548">
        <v>30223.93</v>
      </c>
    </row>
    <row r="549" spans="1:10">
      <c r="A549" s="90" t="s">
        <v>216</v>
      </c>
      <c r="B549" s="87">
        <v>45782</v>
      </c>
      <c r="C549" t="s">
        <v>2621</v>
      </c>
      <c r="D549" t="s">
        <v>2110</v>
      </c>
      <c r="E549" t="s">
        <v>2568</v>
      </c>
      <c r="F549" t="s">
        <v>248</v>
      </c>
      <c r="G549" t="s">
        <v>2494</v>
      </c>
      <c r="H549" t="s">
        <v>470</v>
      </c>
      <c r="I549" t="s">
        <v>796</v>
      </c>
      <c r="J549">
        <v>1737.88</v>
      </c>
    </row>
    <row r="550" spans="1:10">
      <c r="A550" s="90" t="s">
        <v>216</v>
      </c>
      <c r="B550" s="87">
        <v>45782</v>
      </c>
      <c r="C550" t="s">
        <v>2622</v>
      </c>
      <c r="D550" t="s">
        <v>2110</v>
      </c>
      <c r="E550" t="s">
        <v>1285</v>
      </c>
      <c r="F550" t="s">
        <v>241</v>
      </c>
      <c r="G550" t="s">
        <v>2494</v>
      </c>
      <c r="H550" t="s">
        <v>470</v>
      </c>
      <c r="I550" t="s">
        <v>796</v>
      </c>
      <c r="J550">
        <v>1065.28</v>
      </c>
    </row>
    <row r="551" spans="1:10">
      <c r="A551" s="90" t="s">
        <v>216</v>
      </c>
      <c r="B551" s="87">
        <v>45782</v>
      </c>
      <c r="C551" t="s">
        <v>2623</v>
      </c>
      <c r="D551" t="s">
        <v>2110</v>
      </c>
      <c r="E551" t="s">
        <v>1285</v>
      </c>
      <c r="F551" t="s">
        <v>246</v>
      </c>
      <c r="G551" t="s">
        <v>2494</v>
      </c>
      <c r="H551" t="s">
        <v>470</v>
      </c>
      <c r="I551" t="s">
        <v>796</v>
      </c>
      <c r="J551">
        <v>2056.87</v>
      </c>
    </row>
    <row r="552" spans="1:10">
      <c r="A552" s="90" t="s">
        <v>216</v>
      </c>
      <c r="B552" s="87">
        <v>45782</v>
      </c>
      <c r="C552" t="s">
        <v>2624</v>
      </c>
      <c r="D552" t="s">
        <v>2110</v>
      </c>
      <c r="E552" t="s">
        <v>2277</v>
      </c>
      <c r="F552" t="s">
        <v>2625</v>
      </c>
      <c r="G552" t="s">
        <v>65</v>
      </c>
      <c r="H552" t="s">
        <v>2483</v>
      </c>
      <c r="I552" t="s">
        <v>796</v>
      </c>
      <c r="J552">
        <v>179.98</v>
      </c>
    </row>
    <row r="553" spans="1:10">
      <c r="A553" s="90" t="s">
        <v>216</v>
      </c>
      <c r="B553" s="87">
        <v>45782</v>
      </c>
      <c r="C553" t="s">
        <v>511</v>
      </c>
      <c r="D553" t="s">
        <v>2110</v>
      </c>
      <c r="E553" t="s">
        <v>512</v>
      </c>
      <c r="F553" t="s">
        <v>706</v>
      </c>
      <c r="G553" t="s">
        <v>474</v>
      </c>
      <c r="H553" t="s">
        <v>470</v>
      </c>
      <c r="I553" t="s">
        <v>475</v>
      </c>
      <c r="J553">
        <v>9725.3700000000008</v>
      </c>
    </row>
    <row r="554" spans="1:10">
      <c r="A554" s="90" t="s">
        <v>216</v>
      </c>
      <c r="B554" s="87">
        <v>45782</v>
      </c>
      <c r="C554" t="s">
        <v>511</v>
      </c>
      <c r="D554" t="s">
        <v>2110</v>
      </c>
      <c r="E554" t="s">
        <v>512</v>
      </c>
      <c r="F554" t="s">
        <v>706</v>
      </c>
      <c r="G554" t="s">
        <v>474</v>
      </c>
      <c r="H554" t="s">
        <v>470</v>
      </c>
      <c r="I554" t="s">
        <v>475</v>
      </c>
      <c r="J554">
        <v>79836.84</v>
      </c>
    </row>
    <row r="555" spans="1:10">
      <c r="A555" s="90" t="s">
        <v>216</v>
      </c>
      <c r="B555" s="87">
        <v>45782</v>
      </c>
      <c r="C555" t="s">
        <v>2275</v>
      </c>
      <c r="D555" t="s">
        <v>2110</v>
      </c>
      <c r="E555" t="s">
        <v>2393</v>
      </c>
      <c r="F555" t="s">
        <v>706</v>
      </c>
      <c r="G555" t="s">
        <v>74</v>
      </c>
      <c r="H555" t="s">
        <v>470</v>
      </c>
      <c r="I555" t="s">
        <v>471</v>
      </c>
      <c r="J555">
        <v>40</v>
      </c>
    </row>
    <row r="556" spans="1:10">
      <c r="A556" s="90" t="s">
        <v>216</v>
      </c>
      <c r="B556" s="87">
        <v>45783</v>
      </c>
      <c r="C556" t="s">
        <v>2489</v>
      </c>
      <c r="D556" t="s">
        <v>2110</v>
      </c>
      <c r="E556" t="s">
        <v>2372</v>
      </c>
      <c r="F556" t="s">
        <v>706</v>
      </c>
      <c r="G556" t="s">
        <v>219</v>
      </c>
      <c r="H556" t="s">
        <v>2626</v>
      </c>
      <c r="I556" t="s">
        <v>796</v>
      </c>
      <c r="J556">
        <v>1360</v>
      </c>
    </row>
    <row r="557" spans="1:10">
      <c r="A557" s="90" t="s">
        <v>216</v>
      </c>
      <c r="B557" s="87">
        <v>45783</v>
      </c>
      <c r="C557" t="s">
        <v>2627</v>
      </c>
      <c r="D557" t="s">
        <v>2110</v>
      </c>
      <c r="E557" t="s">
        <v>2628</v>
      </c>
      <c r="F557" t="s">
        <v>2629</v>
      </c>
      <c r="G557" t="s">
        <v>76</v>
      </c>
      <c r="H557" t="s">
        <v>470</v>
      </c>
      <c r="I557" t="s">
        <v>475</v>
      </c>
      <c r="J557">
        <v>200</v>
      </c>
    </row>
    <row r="558" spans="1:10">
      <c r="A558" s="90" t="s">
        <v>216</v>
      </c>
      <c r="B558" s="87">
        <v>45783</v>
      </c>
      <c r="C558" t="s">
        <v>2275</v>
      </c>
      <c r="D558" t="s">
        <v>2110</v>
      </c>
      <c r="E558" t="s">
        <v>477</v>
      </c>
      <c r="F558" t="s">
        <v>706</v>
      </c>
      <c r="G558" t="s">
        <v>74</v>
      </c>
      <c r="H558" t="s">
        <v>470</v>
      </c>
      <c r="I558" t="s">
        <v>471</v>
      </c>
      <c r="J558">
        <v>5</v>
      </c>
    </row>
    <row r="559" spans="1:10">
      <c r="A559" s="90" t="s">
        <v>216</v>
      </c>
      <c r="B559" s="87">
        <v>45783</v>
      </c>
      <c r="C559" t="s">
        <v>511</v>
      </c>
      <c r="D559" t="s">
        <v>2110</v>
      </c>
      <c r="E559" t="s">
        <v>512</v>
      </c>
      <c r="F559" t="s">
        <v>706</v>
      </c>
      <c r="G559" t="s">
        <v>474</v>
      </c>
      <c r="H559" t="s">
        <v>470</v>
      </c>
      <c r="I559" t="s">
        <v>475</v>
      </c>
      <c r="J559">
        <v>1565</v>
      </c>
    </row>
    <row r="560" spans="1:10">
      <c r="A560" s="90" t="s">
        <v>216</v>
      </c>
      <c r="B560" s="87">
        <v>45784</v>
      </c>
      <c r="C560" t="s">
        <v>2630</v>
      </c>
      <c r="D560" t="s">
        <v>2110</v>
      </c>
      <c r="E560" t="s">
        <v>2631</v>
      </c>
      <c r="F560" t="s">
        <v>2632</v>
      </c>
      <c r="G560" t="s">
        <v>260</v>
      </c>
      <c r="H560" t="s">
        <v>470</v>
      </c>
      <c r="I560" t="s">
        <v>487</v>
      </c>
      <c r="J560">
        <v>540</v>
      </c>
    </row>
    <row r="561" spans="1:10">
      <c r="A561" s="90" t="s">
        <v>216</v>
      </c>
      <c r="B561" s="87">
        <v>45784</v>
      </c>
      <c r="C561" t="s">
        <v>2275</v>
      </c>
      <c r="D561" t="s">
        <v>2110</v>
      </c>
      <c r="E561" t="s">
        <v>477</v>
      </c>
      <c r="F561" t="s">
        <v>706</v>
      </c>
      <c r="G561" t="s">
        <v>74</v>
      </c>
      <c r="H561" t="s">
        <v>470</v>
      </c>
      <c r="I561" t="s">
        <v>471</v>
      </c>
      <c r="J561">
        <v>5.34</v>
      </c>
    </row>
    <row r="562" spans="1:10">
      <c r="A562" s="90" t="s">
        <v>216</v>
      </c>
      <c r="B562" s="87">
        <v>45784</v>
      </c>
      <c r="C562" t="s">
        <v>511</v>
      </c>
      <c r="D562" t="s">
        <v>2110</v>
      </c>
      <c r="E562" t="s">
        <v>512</v>
      </c>
      <c r="F562" t="s">
        <v>706</v>
      </c>
      <c r="G562" t="s">
        <v>474</v>
      </c>
      <c r="H562" t="s">
        <v>470</v>
      </c>
      <c r="I562" t="s">
        <v>475</v>
      </c>
      <c r="J562">
        <v>545.34</v>
      </c>
    </row>
    <row r="563" spans="1:10">
      <c r="A563" s="90" t="s">
        <v>216</v>
      </c>
      <c r="B563" s="87">
        <v>45786</v>
      </c>
      <c r="C563" t="s">
        <v>2633</v>
      </c>
      <c r="D563" t="s">
        <v>2110</v>
      </c>
      <c r="E563" t="s">
        <v>2300</v>
      </c>
      <c r="F563" t="s">
        <v>706</v>
      </c>
      <c r="G563" t="s">
        <v>70</v>
      </c>
      <c r="H563" t="s">
        <v>470</v>
      </c>
      <c r="I563" t="s">
        <v>796</v>
      </c>
      <c r="J563">
        <v>210</v>
      </c>
    </row>
    <row r="564" spans="1:10">
      <c r="A564" s="90" t="s">
        <v>216</v>
      </c>
      <c r="B564" s="87">
        <v>45786</v>
      </c>
      <c r="C564" t="s">
        <v>2634</v>
      </c>
      <c r="D564" t="s">
        <v>2110</v>
      </c>
      <c r="E564" t="s">
        <v>2287</v>
      </c>
      <c r="F564" t="s">
        <v>2635</v>
      </c>
      <c r="G564" t="s">
        <v>63</v>
      </c>
      <c r="H564" t="s">
        <v>2613</v>
      </c>
      <c r="I564" t="s">
        <v>796</v>
      </c>
      <c r="J564">
        <v>1021.95</v>
      </c>
    </row>
    <row r="565" spans="1:10">
      <c r="A565" s="90" t="s">
        <v>216</v>
      </c>
      <c r="B565" s="87">
        <v>45786</v>
      </c>
      <c r="C565" t="s">
        <v>517</v>
      </c>
      <c r="D565" t="s">
        <v>2110</v>
      </c>
      <c r="E565" t="s">
        <v>512</v>
      </c>
      <c r="F565" t="s">
        <v>706</v>
      </c>
      <c r="G565" t="s">
        <v>474</v>
      </c>
      <c r="H565" t="s">
        <v>470</v>
      </c>
      <c r="I565" t="s">
        <v>475</v>
      </c>
      <c r="J565">
        <v>1023768.05</v>
      </c>
    </row>
    <row r="566" spans="1:10">
      <c r="A566" s="90" t="s">
        <v>216</v>
      </c>
      <c r="B566" s="87">
        <v>45789</v>
      </c>
      <c r="C566" t="s">
        <v>2636</v>
      </c>
      <c r="D566" t="s">
        <v>2110</v>
      </c>
      <c r="E566" t="s">
        <v>2509</v>
      </c>
      <c r="F566" t="s">
        <v>2637</v>
      </c>
      <c r="G566" t="s">
        <v>2115</v>
      </c>
      <c r="H566" t="s">
        <v>470</v>
      </c>
      <c r="I566" t="s">
        <v>796</v>
      </c>
      <c r="J566">
        <v>110</v>
      </c>
    </row>
    <row r="567" spans="1:10">
      <c r="A567" s="90" t="s">
        <v>216</v>
      </c>
      <c r="B567" s="87">
        <v>45789</v>
      </c>
      <c r="C567" t="s">
        <v>2636</v>
      </c>
      <c r="D567" t="s">
        <v>2110</v>
      </c>
      <c r="E567" t="s">
        <v>2509</v>
      </c>
      <c r="F567" t="s">
        <v>2637</v>
      </c>
      <c r="G567" t="s">
        <v>251</v>
      </c>
      <c r="H567" t="s">
        <v>470</v>
      </c>
      <c r="I567" t="s">
        <v>796</v>
      </c>
      <c r="J567">
        <v>12.5</v>
      </c>
    </row>
    <row r="568" spans="1:10">
      <c r="A568" s="90" t="s">
        <v>216</v>
      </c>
      <c r="B568" s="87">
        <v>45789</v>
      </c>
      <c r="C568" t="s">
        <v>2454</v>
      </c>
      <c r="D568" t="s">
        <v>2110</v>
      </c>
      <c r="E568" t="s">
        <v>480</v>
      </c>
      <c r="F568" t="s">
        <v>706</v>
      </c>
      <c r="G568" t="s">
        <v>568</v>
      </c>
      <c r="H568" t="s">
        <v>470</v>
      </c>
      <c r="I568" t="s">
        <v>475</v>
      </c>
      <c r="J568">
        <v>700000</v>
      </c>
    </row>
    <row r="569" spans="1:10">
      <c r="A569" s="90" t="s">
        <v>216</v>
      </c>
      <c r="B569" s="87">
        <v>45789</v>
      </c>
      <c r="C569" t="s">
        <v>2370</v>
      </c>
      <c r="D569" t="s">
        <v>2110</v>
      </c>
      <c r="E569" t="s">
        <v>477</v>
      </c>
      <c r="F569" t="s">
        <v>514</v>
      </c>
      <c r="G569" t="s">
        <v>69</v>
      </c>
      <c r="H569" t="s">
        <v>470</v>
      </c>
      <c r="I569" t="s">
        <v>471</v>
      </c>
      <c r="J569">
        <v>35136</v>
      </c>
    </row>
    <row r="570" spans="1:10">
      <c r="A570" s="90" t="s">
        <v>216</v>
      </c>
      <c r="B570" s="87">
        <v>45789</v>
      </c>
      <c r="C570" t="s">
        <v>2275</v>
      </c>
      <c r="D570" t="s">
        <v>2110</v>
      </c>
      <c r="E570" t="s">
        <v>477</v>
      </c>
      <c r="F570" t="s">
        <v>706</v>
      </c>
      <c r="G570" t="s">
        <v>74</v>
      </c>
      <c r="H570" t="s">
        <v>470</v>
      </c>
      <c r="I570" t="s">
        <v>471</v>
      </c>
      <c r="J570">
        <v>95</v>
      </c>
    </row>
    <row r="571" spans="1:10">
      <c r="A571" s="90" t="s">
        <v>216</v>
      </c>
      <c r="B571" s="87">
        <v>45789</v>
      </c>
      <c r="C571" t="s">
        <v>2275</v>
      </c>
      <c r="D571" t="s">
        <v>2110</v>
      </c>
      <c r="E571" t="s">
        <v>477</v>
      </c>
      <c r="F571" t="s">
        <v>706</v>
      </c>
      <c r="G571" t="s">
        <v>74</v>
      </c>
      <c r="H571" t="s">
        <v>470</v>
      </c>
      <c r="I571" t="s">
        <v>471</v>
      </c>
      <c r="J571">
        <v>215.1</v>
      </c>
    </row>
    <row r="572" spans="1:10">
      <c r="A572" s="90" t="s">
        <v>216</v>
      </c>
      <c r="B572" s="87">
        <v>45789</v>
      </c>
      <c r="C572" t="s">
        <v>2295</v>
      </c>
      <c r="D572" t="s">
        <v>2110</v>
      </c>
      <c r="E572" t="s">
        <v>477</v>
      </c>
      <c r="F572" t="s">
        <v>706</v>
      </c>
      <c r="G572" t="s">
        <v>2295</v>
      </c>
      <c r="H572" t="s">
        <v>470</v>
      </c>
      <c r="I572" t="s">
        <v>471</v>
      </c>
      <c r="J572">
        <v>2575.48</v>
      </c>
    </row>
    <row r="573" spans="1:10">
      <c r="A573" s="90" t="s">
        <v>216</v>
      </c>
      <c r="B573" s="87">
        <v>45789</v>
      </c>
      <c r="C573" t="s">
        <v>511</v>
      </c>
      <c r="D573" t="s">
        <v>2110</v>
      </c>
      <c r="E573" t="s">
        <v>512</v>
      </c>
      <c r="F573" t="s">
        <v>706</v>
      </c>
      <c r="G573" t="s">
        <v>474</v>
      </c>
      <c r="H573" t="s">
        <v>470</v>
      </c>
      <c r="I573" t="s">
        <v>475</v>
      </c>
      <c r="J573">
        <v>738144.08</v>
      </c>
    </row>
    <row r="574" spans="1:10">
      <c r="A574" s="90" t="s">
        <v>216</v>
      </c>
      <c r="B574" s="87">
        <v>45790</v>
      </c>
      <c r="C574" t="s">
        <v>2638</v>
      </c>
      <c r="D574" t="s">
        <v>2110</v>
      </c>
      <c r="E574" t="s">
        <v>1667</v>
      </c>
      <c r="F574" t="s">
        <v>706</v>
      </c>
      <c r="G574" t="s">
        <v>259</v>
      </c>
      <c r="H574" t="s">
        <v>470</v>
      </c>
      <c r="I574" t="s">
        <v>475</v>
      </c>
      <c r="J574">
        <v>911.98</v>
      </c>
    </row>
    <row r="575" spans="1:10">
      <c r="A575" s="90" t="s">
        <v>216</v>
      </c>
      <c r="B575" s="87">
        <v>45790</v>
      </c>
      <c r="C575" t="s">
        <v>2638</v>
      </c>
      <c r="D575" t="s">
        <v>2110</v>
      </c>
      <c r="E575" t="s">
        <v>1667</v>
      </c>
      <c r="F575" t="s">
        <v>706</v>
      </c>
      <c r="G575" t="s">
        <v>71</v>
      </c>
      <c r="H575" t="s">
        <v>470</v>
      </c>
      <c r="I575" t="s">
        <v>475</v>
      </c>
      <c r="J575">
        <v>60.42</v>
      </c>
    </row>
    <row r="576" spans="1:10">
      <c r="A576" s="90" t="s">
        <v>216</v>
      </c>
      <c r="B576" s="87">
        <v>45790</v>
      </c>
      <c r="C576" t="s">
        <v>517</v>
      </c>
      <c r="D576" t="s">
        <v>2110</v>
      </c>
      <c r="E576" t="s">
        <v>512</v>
      </c>
      <c r="F576" t="s">
        <v>706</v>
      </c>
      <c r="G576" t="s">
        <v>474</v>
      </c>
      <c r="H576" t="s">
        <v>470</v>
      </c>
      <c r="I576" t="s">
        <v>475</v>
      </c>
      <c r="J576">
        <v>700000</v>
      </c>
    </row>
    <row r="577" spans="1:10">
      <c r="A577" s="90" t="s">
        <v>216</v>
      </c>
      <c r="B577" s="87">
        <v>45791</v>
      </c>
      <c r="C577" t="s">
        <v>2639</v>
      </c>
      <c r="D577" t="s">
        <v>2110</v>
      </c>
      <c r="E577" t="s">
        <v>2300</v>
      </c>
      <c r="F577" t="s">
        <v>706</v>
      </c>
      <c r="G577" t="s">
        <v>70</v>
      </c>
      <c r="H577" t="s">
        <v>470</v>
      </c>
      <c r="I577" t="s">
        <v>487</v>
      </c>
      <c r="J577">
        <v>24</v>
      </c>
    </row>
    <row r="578" spans="1:10">
      <c r="A578" s="90" t="s">
        <v>216</v>
      </c>
      <c r="B578" s="87">
        <v>45791</v>
      </c>
      <c r="C578" t="s">
        <v>511</v>
      </c>
      <c r="D578" t="s">
        <v>2110</v>
      </c>
      <c r="E578" t="s">
        <v>512</v>
      </c>
      <c r="F578" t="s">
        <v>706</v>
      </c>
      <c r="G578" t="s">
        <v>474</v>
      </c>
      <c r="H578" t="s">
        <v>470</v>
      </c>
      <c r="I578" t="s">
        <v>475</v>
      </c>
      <c r="J578">
        <v>210287.63</v>
      </c>
    </row>
    <row r="579" spans="1:10">
      <c r="A579" s="90" t="s">
        <v>216</v>
      </c>
      <c r="B579" s="87">
        <v>45792</v>
      </c>
      <c r="C579" t="s">
        <v>2640</v>
      </c>
      <c r="D579" t="s">
        <v>2110</v>
      </c>
      <c r="E579" t="s">
        <v>2316</v>
      </c>
      <c r="F579" t="s">
        <v>706</v>
      </c>
      <c r="G579" t="s">
        <v>217</v>
      </c>
      <c r="H579" t="s">
        <v>2613</v>
      </c>
      <c r="I579" t="s">
        <v>796</v>
      </c>
      <c r="J579">
        <v>102.75</v>
      </c>
    </row>
    <row r="580" spans="1:10">
      <c r="A580" s="90" t="s">
        <v>216</v>
      </c>
      <c r="B580" s="87">
        <v>45792</v>
      </c>
      <c r="C580" t="s">
        <v>2417</v>
      </c>
      <c r="D580" t="s">
        <v>2110</v>
      </c>
      <c r="E580" t="s">
        <v>477</v>
      </c>
      <c r="F580" t="s">
        <v>706</v>
      </c>
      <c r="G580" t="s">
        <v>74</v>
      </c>
      <c r="H580" t="s">
        <v>470</v>
      </c>
      <c r="I580" t="s">
        <v>471</v>
      </c>
      <c r="J580">
        <v>10</v>
      </c>
    </row>
    <row r="581" spans="1:10">
      <c r="A581" s="90" t="s">
        <v>216</v>
      </c>
      <c r="B581" s="87">
        <v>45792</v>
      </c>
      <c r="C581" t="s">
        <v>511</v>
      </c>
      <c r="D581" t="s">
        <v>2110</v>
      </c>
      <c r="E581" t="s">
        <v>512</v>
      </c>
      <c r="F581" t="s">
        <v>706</v>
      </c>
      <c r="G581" t="s">
        <v>474</v>
      </c>
      <c r="H581" t="s">
        <v>470</v>
      </c>
      <c r="I581" t="s">
        <v>475</v>
      </c>
      <c r="J581">
        <v>9612.58</v>
      </c>
    </row>
    <row r="582" spans="1:10">
      <c r="A582" s="90" t="s">
        <v>216</v>
      </c>
      <c r="B582" s="87">
        <v>45792</v>
      </c>
      <c r="C582" t="s">
        <v>2641</v>
      </c>
      <c r="D582" t="s">
        <v>2110</v>
      </c>
      <c r="E582" t="s">
        <v>480</v>
      </c>
      <c r="F582" t="s">
        <v>981</v>
      </c>
      <c r="G582" t="s">
        <v>2125</v>
      </c>
      <c r="H582" t="s">
        <v>470</v>
      </c>
      <c r="I582" t="s">
        <v>487</v>
      </c>
      <c r="J582">
        <v>9499.83</v>
      </c>
    </row>
    <row r="583" spans="1:10">
      <c r="A583" s="90" t="s">
        <v>216</v>
      </c>
      <c r="B583" s="87">
        <v>45793</v>
      </c>
      <c r="C583" t="s">
        <v>517</v>
      </c>
      <c r="D583" t="s">
        <v>2110</v>
      </c>
      <c r="E583" t="s">
        <v>512</v>
      </c>
      <c r="F583" t="s">
        <v>706</v>
      </c>
      <c r="G583" t="s">
        <v>474</v>
      </c>
      <c r="H583" t="s">
        <v>470</v>
      </c>
      <c r="I583" t="s">
        <v>475</v>
      </c>
      <c r="J583">
        <v>34744</v>
      </c>
    </row>
    <row r="584" spans="1:10">
      <c r="A584" s="90" t="s">
        <v>216</v>
      </c>
      <c r="B584" s="87">
        <v>45796</v>
      </c>
      <c r="C584" t="s">
        <v>2365</v>
      </c>
      <c r="D584" t="s">
        <v>2110</v>
      </c>
      <c r="E584" t="s">
        <v>2366</v>
      </c>
      <c r="F584" t="s">
        <v>706</v>
      </c>
      <c r="G584" t="s">
        <v>219</v>
      </c>
      <c r="H584" t="s">
        <v>470</v>
      </c>
      <c r="I584" t="s">
        <v>796</v>
      </c>
      <c r="J584">
        <v>105.31</v>
      </c>
    </row>
    <row r="585" spans="1:10">
      <c r="A585" s="90" t="s">
        <v>216</v>
      </c>
      <c r="B585" s="87">
        <v>45796</v>
      </c>
      <c r="C585" t="s">
        <v>2642</v>
      </c>
      <c r="D585" t="s">
        <v>2110</v>
      </c>
      <c r="E585" t="s">
        <v>2277</v>
      </c>
      <c r="F585" t="s">
        <v>2305</v>
      </c>
      <c r="G585" t="s">
        <v>226</v>
      </c>
      <c r="H585" t="s">
        <v>2483</v>
      </c>
      <c r="I585" t="s">
        <v>796</v>
      </c>
      <c r="J585">
        <v>144.36000000000001</v>
      </c>
    </row>
    <row r="586" spans="1:10">
      <c r="A586" s="90" t="s">
        <v>216</v>
      </c>
      <c r="B586" s="87">
        <v>45796</v>
      </c>
      <c r="C586" t="s">
        <v>511</v>
      </c>
      <c r="D586" t="s">
        <v>2110</v>
      </c>
      <c r="E586" t="s">
        <v>512</v>
      </c>
      <c r="F586" t="s">
        <v>706</v>
      </c>
      <c r="G586" t="s">
        <v>474</v>
      </c>
      <c r="H586" t="s">
        <v>470</v>
      </c>
      <c r="I586" t="s">
        <v>475</v>
      </c>
      <c r="J586">
        <v>32077.17</v>
      </c>
    </row>
    <row r="587" spans="1:10">
      <c r="A587" s="90" t="s">
        <v>216</v>
      </c>
      <c r="B587" s="87">
        <v>45797</v>
      </c>
      <c r="C587" t="s">
        <v>2643</v>
      </c>
      <c r="D587" t="s">
        <v>2110</v>
      </c>
      <c r="E587" t="s">
        <v>2290</v>
      </c>
      <c r="F587" t="s">
        <v>468</v>
      </c>
      <c r="G587" t="s">
        <v>2115</v>
      </c>
      <c r="H587" t="s">
        <v>470</v>
      </c>
      <c r="I587" t="s">
        <v>796</v>
      </c>
      <c r="J587">
        <v>70</v>
      </c>
    </row>
    <row r="588" spans="1:10">
      <c r="A588" s="90" t="s">
        <v>216</v>
      </c>
      <c r="B588" s="87">
        <v>45797</v>
      </c>
      <c r="C588" t="s">
        <v>2643</v>
      </c>
      <c r="D588" t="s">
        <v>2110</v>
      </c>
      <c r="E588" t="s">
        <v>2290</v>
      </c>
      <c r="F588" t="s">
        <v>468</v>
      </c>
      <c r="G588" t="s">
        <v>223</v>
      </c>
      <c r="H588" t="s">
        <v>470</v>
      </c>
      <c r="I588" t="s">
        <v>796</v>
      </c>
      <c r="J588">
        <v>2077.6</v>
      </c>
    </row>
    <row r="589" spans="1:10">
      <c r="A589" s="90" t="s">
        <v>216</v>
      </c>
      <c r="B589" s="87">
        <v>45797</v>
      </c>
      <c r="C589" t="s">
        <v>2644</v>
      </c>
      <c r="D589" t="s">
        <v>2110</v>
      </c>
      <c r="E589" t="s">
        <v>2568</v>
      </c>
      <c r="F589" t="s">
        <v>248</v>
      </c>
      <c r="G589" t="s">
        <v>2381</v>
      </c>
      <c r="H589" t="s">
        <v>470</v>
      </c>
      <c r="I589" t="s">
        <v>796</v>
      </c>
      <c r="J589">
        <v>1923.98</v>
      </c>
    </row>
    <row r="590" spans="1:10">
      <c r="A590" s="90" t="s">
        <v>216</v>
      </c>
      <c r="B590" s="87">
        <v>45797</v>
      </c>
      <c r="C590" t="s">
        <v>2645</v>
      </c>
      <c r="D590" t="s">
        <v>2110</v>
      </c>
      <c r="E590" t="s">
        <v>1285</v>
      </c>
      <c r="F590" t="s">
        <v>241</v>
      </c>
      <c r="G590" t="s">
        <v>2381</v>
      </c>
      <c r="H590" t="s">
        <v>470</v>
      </c>
      <c r="I590" t="s">
        <v>796</v>
      </c>
      <c r="J590">
        <v>1138.1400000000001</v>
      </c>
    </row>
    <row r="591" spans="1:10">
      <c r="A591" s="90" t="s">
        <v>216</v>
      </c>
      <c r="B591" s="87">
        <v>45797</v>
      </c>
      <c r="C591" t="s">
        <v>2646</v>
      </c>
      <c r="D591" t="s">
        <v>2110</v>
      </c>
      <c r="E591" t="s">
        <v>1285</v>
      </c>
      <c r="F591" t="s">
        <v>246</v>
      </c>
      <c r="G591" t="s">
        <v>2381</v>
      </c>
      <c r="H591" t="s">
        <v>470</v>
      </c>
      <c r="I591" t="s">
        <v>796</v>
      </c>
      <c r="J591">
        <v>2206.86</v>
      </c>
    </row>
    <row r="592" spans="1:10">
      <c r="A592" s="90" t="s">
        <v>216</v>
      </c>
      <c r="B592" s="87">
        <v>45797</v>
      </c>
      <c r="C592" t="s">
        <v>2647</v>
      </c>
      <c r="D592" t="s">
        <v>2110</v>
      </c>
      <c r="E592" t="s">
        <v>2117</v>
      </c>
      <c r="F592" t="s">
        <v>2648</v>
      </c>
      <c r="G592" t="s">
        <v>2112</v>
      </c>
      <c r="H592" t="s">
        <v>470</v>
      </c>
      <c r="I592" t="s">
        <v>475</v>
      </c>
      <c r="J592">
        <v>121834.97</v>
      </c>
    </row>
    <row r="593" spans="1:10">
      <c r="A593" s="90" t="s">
        <v>216</v>
      </c>
      <c r="B593" s="87">
        <v>45797</v>
      </c>
      <c r="C593" t="s">
        <v>2649</v>
      </c>
      <c r="D593" t="s">
        <v>2110</v>
      </c>
      <c r="E593" t="s">
        <v>2117</v>
      </c>
      <c r="F593" t="s">
        <v>2650</v>
      </c>
      <c r="G593" t="s">
        <v>2112</v>
      </c>
      <c r="H593" t="s">
        <v>470</v>
      </c>
      <c r="I593" t="s">
        <v>475</v>
      </c>
      <c r="J593">
        <v>117796.72</v>
      </c>
    </row>
    <row r="594" spans="1:10">
      <c r="A594" s="90" t="s">
        <v>216</v>
      </c>
      <c r="B594" s="87">
        <v>45797</v>
      </c>
      <c r="C594" t="s">
        <v>2651</v>
      </c>
      <c r="D594" t="s">
        <v>2110</v>
      </c>
      <c r="E594" t="s">
        <v>2318</v>
      </c>
      <c r="F594" t="s">
        <v>569</v>
      </c>
      <c r="G594" t="s">
        <v>64</v>
      </c>
      <c r="H594" t="s">
        <v>2483</v>
      </c>
      <c r="I594" t="s">
        <v>796</v>
      </c>
      <c r="J594">
        <v>819.02</v>
      </c>
    </row>
    <row r="595" spans="1:10">
      <c r="A595" s="90" t="s">
        <v>216</v>
      </c>
      <c r="B595" s="87">
        <v>45797</v>
      </c>
      <c r="C595" t="s">
        <v>2652</v>
      </c>
      <c r="D595" t="s">
        <v>2110</v>
      </c>
      <c r="E595" t="s">
        <v>970</v>
      </c>
      <c r="F595" t="s">
        <v>261</v>
      </c>
      <c r="G595" t="s">
        <v>2112</v>
      </c>
      <c r="H595" t="s">
        <v>470</v>
      </c>
      <c r="I595" t="s">
        <v>487</v>
      </c>
      <c r="J595">
        <v>70000</v>
      </c>
    </row>
    <row r="596" spans="1:10">
      <c r="A596" s="90" t="s">
        <v>216</v>
      </c>
      <c r="B596" s="87">
        <v>45797</v>
      </c>
      <c r="C596" t="s">
        <v>2653</v>
      </c>
      <c r="D596" t="s">
        <v>2110</v>
      </c>
      <c r="E596" t="s">
        <v>477</v>
      </c>
      <c r="F596" t="s">
        <v>2311</v>
      </c>
      <c r="G596" t="s">
        <v>515</v>
      </c>
      <c r="H596" t="s">
        <v>2654</v>
      </c>
      <c r="I596" t="s">
        <v>471</v>
      </c>
      <c r="J596">
        <v>55555.56</v>
      </c>
    </row>
    <row r="597" spans="1:10">
      <c r="A597" s="90" t="s">
        <v>216</v>
      </c>
      <c r="B597" s="87">
        <v>45797</v>
      </c>
      <c r="C597" t="s">
        <v>2653</v>
      </c>
      <c r="D597" t="s">
        <v>2110</v>
      </c>
      <c r="E597" t="s">
        <v>477</v>
      </c>
      <c r="F597" t="s">
        <v>2311</v>
      </c>
      <c r="G597" t="s">
        <v>69</v>
      </c>
      <c r="H597" t="s">
        <v>2654</v>
      </c>
      <c r="I597" t="s">
        <v>471</v>
      </c>
      <c r="J597">
        <v>4111.1099999999997</v>
      </c>
    </row>
    <row r="598" spans="1:10">
      <c r="A598" s="90" t="s">
        <v>216</v>
      </c>
      <c r="B598" s="87">
        <v>45797</v>
      </c>
      <c r="C598" t="s">
        <v>2588</v>
      </c>
      <c r="D598" t="s">
        <v>2110</v>
      </c>
      <c r="E598" t="s">
        <v>477</v>
      </c>
      <c r="F598" t="s">
        <v>612</v>
      </c>
      <c r="G598" t="s">
        <v>69</v>
      </c>
      <c r="H598" t="s">
        <v>470</v>
      </c>
      <c r="I598" t="s">
        <v>471</v>
      </c>
      <c r="J598">
        <v>6572.85</v>
      </c>
    </row>
    <row r="599" spans="1:10">
      <c r="A599" s="90" t="s">
        <v>216</v>
      </c>
      <c r="B599" s="87">
        <v>45797</v>
      </c>
      <c r="C599" t="s">
        <v>2275</v>
      </c>
      <c r="D599" t="s">
        <v>2110</v>
      </c>
      <c r="E599" t="s">
        <v>477</v>
      </c>
      <c r="F599" t="s">
        <v>706</v>
      </c>
      <c r="G599" t="s">
        <v>74</v>
      </c>
      <c r="H599" t="s">
        <v>470</v>
      </c>
      <c r="I599" t="s">
        <v>471</v>
      </c>
      <c r="J599">
        <v>10</v>
      </c>
    </row>
    <row r="600" spans="1:10">
      <c r="A600" s="90" t="s">
        <v>216</v>
      </c>
      <c r="B600" s="87">
        <v>45797</v>
      </c>
      <c r="C600" t="s">
        <v>511</v>
      </c>
      <c r="D600" t="s">
        <v>2110</v>
      </c>
      <c r="E600" t="s">
        <v>512</v>
      </c>
      <c r="F600" t="s">
        <v>706</v>
      </c>
      <c r="G600" t="s">
        <v>474</v>
      </c>
      <c r="H600" t="s">
        <v>470</v>
      </c>
      <c r="I600" t="s">
        <v>475</v>
      </c>
      <c r="J600">
        <v>67432.92</v>
      </c>
    </row>
    <row r="601" spans="1:10">
      <c r="A601" s="90" t="s">
        <v>216</v>
      </c>
      <c r="B601" s="87">
        <v>45797</v>
      </c>
      <c r="C601" t="s">
        <v>511</v>
      </c>
      <c r="D601" t="s">
        <v>2110</v>
      </c>
      <c r="E601" t="s">
        <v>512</v>
      </c>
      <c r="F601" t="s">
        <v>706</v>
      </c>
      <c r="G601" t="s">
        <v>474</v>
      </c>
      <c r="H601" t="s">
        <v>470</v>
      </c>
      <c r="I601" t="s">
        <v>475</v>
      </c>
      <c r="J601">
        <v>316683.89</v>
      </c>
    </row>
    <row r="602" spans="1:10">
      <c r="A602" s="90" t="s">
        <v>216</v>
      </c>
      <c r="B602" s="87">
        <v>45798</v>
      </c>
      <c r="C602" t="s">
        <v>2655</v>
      </c>
      <c r="D602" t="s">
        <v>2110</v>
      </c>
      <c r="E602" t="s">
        <v>480</v>
      </c>
      <c r="F602" t="s">
        <v>706</v>
      </c>
      <c r="G602" t="s">
        <v>259</v>
      </c>
      <c r="H602" t="s">
        <v>470</v>
      </c>
      <c r="I602" t="s">
        <v>475</v>
      </c>
      <c r="J602">
        <v>2023.45</v>
      </c>
    </row>
    <row r="603" spans="1:10">
      <c r="A603" s="90" t="s">
        <v>216</v>
      </c>
      <c r="B603" s="87">
        <v>45798</v>
      </c>
      <c r="C603" t="s">
        <v>2655</v>
      </c>
      <c r="D603" t="s">
        <v>2110</v>
      </c>
      <c r="E603" t="s">
        <v>480</v>
      </c>
      <c r="F603" t="s">
        <v>706</v>
      </c>
      <c r="G603" t="s">
        <v>71</v>
      </c>
      <c r="H603" t="s">
        <v>470</v>
      </c>
      <c r="I603" t="s">
        <v>475</v>
      </c>
      <c r="J603">
        <v>27.22</v>
      </c>
    </row>
    <row r="604" spans="1:10">
      <c r="A604" s="90" t="s">
        <v>216</v>
      </c>
      <c r="B604" s="87">
        <v>45798</v>
      </c>
      <c r="C604" t="s">
        <v>2656</v>
      </c>
      <c r="D604" t="s">
        <v>2110</v>
      </c>
      <c r="E604" t="s">
        <v>2300</v>
      </c>
      <c r="F604" t="s">
        <v>706</v>
      </c>
      <c r="G604" t="s">
        <v>70</v>
      </c>
      <c r="H604" t="s">
        <v>470</v>
      </c>
      <c r="I604" t="s">
        <v>796</v>
      </c>
      <c r="J604">
        <v>99.9</v>
      </c>
    </row>
    <row r="605" spans="1:10">
      <c r="A605" s="90" t="s">
        <v>216</v>
      </c>
      <c r="B605" s="87">
        <v>45798</v>
      </c>
      <c r="C605" t="s">
        <v>2275</v>
      </c>
      <c r="D605" t="s">
        <v>2110</v>
      </c>
      <c r="E605" t="s">
        <v>477</v>
      </c>
      <c r="F605" t="s">
        <v>706</v>
      </c>
      <c r="G605" t="s">
        <v>74</v>
      </c>
      <c r="H605" t="s">
        <v>470</v>
      </c>
      <c r="I605" t="s">
        <v>471</v>
      </c>
      <c r="J605">
        <v>10</v>
      </c>
    </row>
    <row r="606" spans="1:10">
      <c r="A606" s="90" t="s">
        <v>216</v>
      </c>
      <c r="B606" s="87">
        <v>45798</v>
      </c>
      <c r="C606" t="s">
        <v>511</v>
      </c>
      <c r="D606" t="s">
        <v>2110</v>
      </c>
      <c r="E606" t="s">
        <v>512</v>
      </c>
      <c r="F606" t="s">
        <v>706</v>
      </c>
      <c r="G606" t="s">
        <v>474</v>
      </c>
      <c r="H606" t="s">
        <v>470</v>
      </c>
      <c r="I606" t="s">
        <v>475</v>
      </c>
      <c r="J606">
        <v>19430.52</v>
      </c>
    </row>
    <row r="607" spans="1:10">
      <c r="A607" s="90" t="s">
        <v>216</v>
      </c>
      <c r="B607" s="87">
        <v>45803</v>
      </c>
      <c r="C607" t="s">
        <v>2657</v>
      </c>
      <c r="D607" t="s">
        <v>2110</v>
      </c>
      <c r="E607" t="s">
        <v>2658</v>
      </c>
      <c r="F607" t="s">
        <v>2648</v>
      </c>
      <c r="G607" t="s">
        <v>2125</v>
      </c>
      <c r="H607" t="s">
        <v>470</v>
      </c>
      <c r="I607" t="s">
        <v>487</v>
      </c>
      <c r="J607">
        <v>10701.6</v>
      </c>
    </row>
    <row r="608" spans="1:10">
      <c r="A608" s="90" t="s">
        <v>216</v>
      </c>
      <c r="B608" s="87">
        <v>45803</v>
      </c>
      <c r="C608" t="s">
        <v>2659</v>
      </c>
      <c r="D608" t="s">
        <v>2110</v>
      </c>
      <c r="E608" t="s">
        <v>2660</v>
      </c>
      <c r="F608" t="s">
        <v>2650</v>
      </c>
      <c r="G608" t="s">
        <v>2125</v>
      </c>
      <c r="H608" t="s">
        <v>470</v>
      </c>
      <c r="I608" t="s">
        <v>487</v>
      </c>
      <c r="J608">
        <v>10361.4</v>
      </c>
    </row>
    <row r="609" spans="1:10">
      <c r="A609" s="90" t="s">
        <v>216</v>
      </c>
      <c r="B609" s="87">
        <v>45803</v>
      </c>
      <c r="C609" t="s">
        <v>2661</v>
      </c>
      <c r="D609" t="s">
        <v>2110</v>
      </c>
      <c r="E609" t="s">
        <v>477</v>
      </c>
      <c r="F609" t="s">
        <v>2325</v>
      </c>
      <c r="G609" t="s">
        <v>515</v>
      </c>
      <c r="H609" t="s">
        <v>2662</v>
      </c>
      <c r="I609" t="s">
        <v>471</v>
      </c>
      <c r="J609">
        <v>33666.57</v>
      </c>
    </row>
    <row r="610" spans="1:10">
      <c r="A610" s="90" t="s">
        <v>216</v>
      </c>
      <c r="B610" s="87">
        <v>45803</v>
      </c>
      <c r="C610" t="s">
        <v>2661</v>
      </c>
      <c r="D610" t="s">
        <v>2110</v>
      </c>
      <c r="E610" t="s">
        <v>477</v>
      </c>
      <c r="F610" t="s">
        <v>2325</v>
      </c>
      <c r="G610" t="s">
        <v>2271</v>
      </c>
      <c r="H610" t="s">
        <v>2662</v>
      </c>
      <c r="I610" t="s">
        <v>471</v>
      </c>
      <c r="J610">
        <v>7070.1</v>
      </c>
    </row>
    <row r="611" spans="1:10">
      <c r="A611" s="90" t="s">
        <v>216</v>
      </c>
      <c r="B611" s="87">
        <v>45803</v>
      </c>
      <c r="C611" t="s">
        <v>2275</v>
      </c>
      <c r="D611" t="s">
        <v>2110</v>
      </c>
      <c r="E611" t="s">
        <v>477</v>
      </c>
      <c r="F611" t="s">
        <v>706</v>
      </c>
      <c r="G611" t="s">
        <v>74</v>
      </c>
      <c r="H611" t="s">
        <v>470</v>
      </c>
      <c r="I611" t="s">
        <v>471</v>
      </c>
      <c r="J611">
        <v>10</v>
      </c>
    </row>
    <row r="612" spans="1:10">
      <c r="A612" s="90" t="s">
        <v>216</v>
      </c>
      <c r="B612" s="87">
        <v>45803</v>
      </c>
      <c r="C612" t="s">
        <v>2275</v>
      </c>
      <c r="D612" t="s">
        <v>2110</v>
      </c>
      <c r="E612" t="s">
        <v>477</v>
      </c>
      <c r="F612" t="s">
        <v>706</v>
      </c>
      <c r="G612" t="s">
        <v>74</v>
      </c>
      <c r="H612" t="s">
        <v>470</v>
      </c>
      <c r="I612" t="s">
        <v>471</v>
      </c>
      <c r="J612">
        <v>6.5</v>
      </c>
    </row>
    <row r="613" spans="1:10">
      <c r="A613" s="90" t="s">
        <v>216</v>
      </c>
      <c r="B613" s="87">
        <v>45803</v>
      </c>
      <c r="C613" t="s">
        <v>511</v>
      </c>
      <c r="D613" t="s">
        <v>2110</v>
      </c>
      <c r="E613" t="s">
        <v>512</v>
      </c>
      <c r="F613" t="s">
        <v>706</v>
      </c>
      <c r="G613" t="s">
        <v>474</v>
      </c>
      <c r="H613" t="s">
        <v>470</v>
      </c>
      <c r="I613" t="s">
        <v>475</v>
      </c>
      <c r="J613">
        <v>61816.17</v>
      </c>
    </row>
    <row r="614" spans="1:10">
      <c r="A614" s="90" t="s">
        <v>216</v>
      </c>
      <c r="B614" s="87">
        <v>45804</v>
      </c>
      <c r="C614" t="s">
        <v>2663</v>
      </c>
      <c r="D614" t="s">
        <v>2110</v>
      </c>
      <c r="E614" t="s">
        <v>480</v>
      </c>
      <c r="F614" t="s">
        <v>706</v>
      </c>
      <c r="G614" t="s">
        <v>72</v>
      </c>
      <c r="H614" t="s">
        <v>470</v>
      </c>
      <c r="I614" t="s">
        <v>475</v>
      </c>
      <c r="J614">
        <v>11</v>
      </c>
    </row>
    <row r="615" spans="1:10">
      <c r="A615" s="90" t="s">
        <v>216</v>
      </c>
      <c r="B615" s="87">
        <v>45804</v>
      </c>
      <c r="C615" t="s">
        <v>2663</v>
      </c>
      <c r="D615" t="s">
        <v>2110</v>
      </c>
      <c r="E615" t="s">
        <v>480</v>
      </c>
      <c r="F615" t="s">
        <v>706</v>
      </c>
      <c r="G615" t="s">
        <v>198</v>
      </c>
      <c r="H615" t="s">
        <v>470</v>
      </c>
      <c r="I615" t="s">
        <v>475</v>
      </c>
      <c r="J615">
        <v>184.9</v>
      </c>
    </row>
    <row r="616" spans="1:10">
      <c r="A616" s="90" t="s">
        <v>216</v>
      </c>
      <c r="B616" s="87">
        <v>45804</v>
      </c>
      <c r="C616" t="s">
        <v>2663</v>
      </c>
      <c r="D616" t="s">
        <v>2110</v>
      </c>
      <c r="E616" t="s">
        <v>480</v>
      </c>
      <c r="F616" t="s">
        <v>706</v>
      </c>
      <c r="G616" t="s">
        <v>62</v>
      </c>
      <c r="H616" t="s">
        <v>470</v>
      </c>
      <c r="I616" t="s">
        <v>475</v>
      </c>
      <c r="J616">
        <v>880.8</v>
      </c>
    </row>
    <row r="617" spans="1:10">
      <c r="A617" s="90" t="s">
        <v>216</v>
      </c>
      <c r="B617" s="87">
        <v>45804</v>
      </c>
      <c r="C617" t="s">
        <v>511</v>
      </c>
      <c r="D617" t="s">
        <v>2110</v>
      </c>
      <c r="E617" t="s">
        <v>512</v>
      </c>
      <c r="F617" t="s">
        <v>706</v>
      </c>
      <c r="G617" t="s">
        <v>474</v>
      </c>
      <c r="H617" t="s">
        <v>470</v>
      </c>
      <c r="I617" t="s">
        <v>475</v>
      </c>
      <c r="J617">
        <v>1076.7</v>
      </c>
    </row>
    <row r="618" spans="1:10">
      <c r="A618" s="90" t="s">
        <v>216</v>
      </c>
      <c r="B618" s="87">
        <v>45805</v>
      </c>
      <c r="C618" t="s">
        <v>2664</v>
      </c>
      <c r="D618" t="s">
        <v>2110</v>
      </c>
      <c r="E618" t="s">
        <v>480</v>
      </c>
      <c r="F618" t="s">
        <v>706</v>
      </c>
      <c r="G618" t="s">
        <v>259</v>
      </c>
      <c r="H618" t="s">
        <v>470</v>
      </c>
      <c r="I618" t="s">
        <v>475</v>
      </c>
      <c r="J618">
        <v>858.03</v>
      </c>
    </row>
    <row r="619" spans="1:10">
      <c r="A619" s="90" t="s">
        <v>216</v>
      </c>
      <c r="B619" s="87">
        <v>45805</v>
      </c>
      <c r="C619" t="s">
        <v>2664</v>
      </c>
      <c r="D619" t="s">
        <v>2110</v>
      </c>
      <c r="E619" t="s">
        <v>480</v>
      </c>
      <c r="F619" t="s">
        <v>706</v>
      </c>
      <c r="G619" t="s">
        <v>71</v>
      </c>
      <c r="H619" t="s">
        <v>470</v>
      </c>
      <c r="I619" t="s">
        <v>475</v>
      </c>
      <c r="J619">
        <v>14.27</v>
      </c>
    </row>
    <row r="620" spans="1:10">
      <c r="A620" s="90" t="s">
        <v>216</v>
      </c>
      <c r="B620" s="87">
        <v>45805</v>
      </c>
      <c r="C620" t="s">
        <v>2665</v>
      </c>
      <c r="D620" t="s">
        <v>2110</v>
      </c>
      <c r="E620" t="s">
        <v>477</v>
      </c>
      <c r="F620" t="s">
        <v>706</v>
      </c>
      <c r="G620" t="s">
        <v>232</v>
      </c>
      <c r="H620" t="s">
        <v>470</v>
      </c>
      <c r="I620" t="s">
        <v>471</v>
      </c>
      <c r="J620">
        <v>436.25</v>
      </c>
    </row>
    <row r="621" spans="1:10">
      <c r="A621" s="90" t="s">
        <v>216</v>
      </c>
      <c r="B621" s="87">
        <v>45805</v>
      </c>
      <c r="C621" t="s">
        <v>2665</v>
      </c>
      <c r="D621" t="s">
        <v>2110</v>
      </c>
      <c r="E621" t="s">
        <v>477</v>
      </c>
      <c r="F621" t="s">
        <v>706</v>
      </c>
      <c r="G621" t="s">
        <v>219</v>
      </c>
      <c r="H621" t="s">
        <v>470</v>
      </c>
      <c r="I621" t="s">
        <v>471</v>
      </c>
      <c r="J621">
        <v>2377</v>
      </c>
    </row>
    <row r="622" spans="1:10">
      <c r="A622" s="90" t="s">
        <v>216</v>
      </c>
      <c r="B622" s="87">
        <v>45805</v>
      </c>
      <c r="C622" t="s">
        <v>2665</v>
      </c>
      <c r="D622" t="s">
        <v>2110</v>
      </c>
      <c r="E622" t="s">
        <v>477</v>
      </c>
      <c r="F622" t="s">
        <v>706</v>
      </c>
      <c r="G622" t="s">
        <v>62</v>
      </c>
      <c r="H622" t="s">
        <v>470</v>
      </c>
      <c r="I622" t="s">
        <v>471</v>
      </c>
      <c r="J622">
        <v>3000</v>
      </c>
    </row>
    <row r="623" spans="1:10">
      <c r="A623" s="90" t="s">
        <v>216</v>
      </c>
      <c r="B623" s="87">
        <v>45805</v>
      </c>
      <c r="C623" t="s">
        <v>2665</v>
      </c>
      <c r="D623" t="s">
        <v>2110</v>
      </c>
      <c r="E623" t="s">
        <v>477</v>
      </c>
      <c r="F623" t="s">
        <v>706</v>
      </c>
      <c r="G623" t="s">
        <v>74</v>
      </c>
      <c r="H623" t="s">
        <v>470</v>
      </c>
      <c r="I623" t="s">
        <v>471</v>
      </c>
      <c r="J623">
        <v>7</v>
      </c>
    </row>
    <row r="624" spans="1:10">
      <c r="A624" s="90" t="s">
        <v>216</v>
      </c>
      <c r="B624" s="87">
        <v>45805</v>
      </c>
      <c r="C624" t="s">
        <v>517</v>
      </c>
      <c r="D624" t="s">
        <v>2110</v>
      </c>
      <c r="E624" t="s">
        <v>512</v>
      </c>
      <c r="F624" t="s">
        <v>706</v>
      </c>
      <c r="G624" t="s">
        <v>474</v>
      </c>
      <c r="H624" t="s">
        <v>470</v>
      </c>
      <c r="I624" t="s">
        <v>475</v>
      </c>
      <c r="J624">
        <v>11565.75</v>
      </c>
    </row>
    <row r="625" spans="1:10">
      <c r="A625" s="90" t="s">
        <v>216</v>
      </c>
      <c r="B625" s="87">
        <v>45807</v>
      </c>
      <c r="C625" t="s">
        <v>2666</v>
      </c>
      <c r="D625" t="s">
        <v>2110</v>
      </c>
      <c r="E625" t="s">
        <v>2300</v>
      </c>
      <c r="F625" t="s">
        <v>706</v>
      </c>
      <c r="G625" t="s">
        <v>220</v>
      </c>
      <c r="H625" t="s">
        <v>2667</v>
      </c>
      <c r="I625" t="s">
        <v>796</v>
      </c>
      <c r="J625">
        <v>2932.73</v>
      </c>
    </row>
    <row r="626" spans="1:10">
      <c r="A626" s="90" t="s">
        <v>216</v>
      </c>
      <c r="B626" s="87">
        <v>45807</v>
      </c>
      <c r="C626" t="s">
        <v>2668</v>
      </c>
      <c r="D626" t="s">
        <v>2110</v>
      </c>
      <c r="E626" t="s">
        <v>1137</v>
      </c>
      <c r="F626" t="s">
        <v>2669</v>
      </c>
      <c r="G626" t="s">
        <v>61</v>
      </c>
      <c r="H626" t="s">
        <v>2613</v>
      </c>
      <c r="I626" t="s">
        <v>487</v>
      </c>
      <c r="J626">
        <v>2018</v>
      </c>
    </row>
    <row r="627" spans="1:10">
      <c r="A627" s="90" t="s">
        <v>216</v>
      </c>
      <c r="B627" s="87">
        <v>45807</v>
      </c>
      <c r="C627" t="s">
        <v>2336</v>
      </c>
      <c r="D627" t="s">
        <v>2110</v>
      </c>
      <c r="E627" t="s">
        <v>480</v>
      </c>
      <c r="F627" t="s">
        <v>706</v>
      </c>
      <c r="G627" t="s">
        <v>71</v>
      </c>
      <c r="H627" t="s">
        <v>2613</v>
      </c>
      <c r="I627" t="s">
        <v>475</v>
      </c>
      <c r="J627">
        <v>2314</v>
      </c>
    </row>
    <row r="628" spans="1:10">
      <c r="A628" s="90" t="s">
        <v>216</v>
      </c>
      <c r="B628" s="87">
        <v>45807</v>
      </c>
      <c r="C628" t="s">
        <v>2275</v>
      </c>
      <c r="D628" t="s">
        <v>2110</v>
      </c>
      <c r="E628" t="s">
        <v>477</v>
      </c>
      <c r="F628" t="s">
        <v>706</v>
      </c>
      <c r="G628" t="s">
        <v>74</v>
      </c>
      <c r="H628" t="s">
        <v>470</v>
      </c>
      <c r="I628" t="s">
        <v>471</v>
      </c>
      <c r="J628">
        <v>10</v>
      </c>
    </row>
    <row r="629" spans="1:10">
      <c r="A629" s="90" t="s">
        <v>216</v>
      </c>
      <c r="B629" s="87">
        <v>45807</v>
      </c>
      <c r="C629" t="s">
        <v>511</v>
      </c>
      <c r="D629" t="s">
        <v>2110</v>
      </c>
      <c r="E629" t="s">
        <v>512</v>
      </c>
      <c r="F629" t="s">
        <v>706</v>
      </c>
      <c r="G629" t="s">
        <v>474</v>
      </c>
      <c r="H629" t="s">
        <v>470</v>
      </c>
      <c r="I629" t="s">
        <v>475</v>
      </c>
      <c r="J629">
        <v>7672.57</v>
      </c>
    </row>
    <row r="630" spans="1:10">
      <c r="A630" s="90" t="s">
        <v>216</v>
      </c>
      <c r="B630" s="87">
        <v>45807</v>
      </c>
      <c r="C630" t="s">
        <v>2347</v>
      </c>
      <c r="D630" t="s">
        <v>2110</v>
      </c>
      <c r="E630" t="s">
        <v>477</v>
      </c>
      <c r="F630" t="s">
        <v>706</v>
      </c>
      <c r="G630" t="s">
        <v>68</v>
      </c>
      <c r="H630" t="s">
        <v>470</v>
      </c>
      <c r="I630" t="s">
        <v>471</v>
      </c>
      <c r="J630">
        <v>4.24</v>
      </c>
    </row>
    <row r="631" spans="1:10">
      <c r="A631" s="90" t="s">
        <v>216</v>
      </c>
      <c r="B631" s="87">
        <v>45807</v>
      </c>
      <c r="C631" t="s">
        <v>2348</v>
      </c>
      <c r="D631" t="s">
        <v>2110</v>
      </c>
      <c r="E631" t="s">
        <v>477</v>
      </c>
      <c r="F631" t="s">
        <v>706</v>
      </c>
      <c r="G631" t="s">
        <v>66</v>
      </c>
      <c r="H631" t="s">
        <v>470</v>
      </c>
      <c r="I631" t="s">
        <v>471</v>
      </c>
      <c r="J631">
        <v>85.35</v>
      </c>
    </row>
    <row r="632" spans="1:10">
      <c r="A632" s="90" t="s">
        <v>216</v>
      </c>
      <c r="B632" s="87">
        <v>45807</v>
      </c>
      <c r="C632" t="s">
        <v>2347</v>
      </c>
      <c r="D632" t="s">
        <v>2110</v>
      </c>
      <c r="E632" t="s">
        <v>477</v>
      </c>
      <c r="F632" t="s">
        <v>706</v>
      </c>
      <c r="G632" t="s">
        <v>68</v>
      </c>
      <c r="H632" t="s">
        <v>470</v>
      </c>
      <c r="I632" t="s">
        <v>471</v>
      </c>
      <c r="J632">
        <v>5453.66</v>
      </c>
    </row>
    <row r="633" spans="1:10">
      <c r="A633" s="90" t="s">
        <v>216</v>
      </c>
      <c r="B633" s="87">
        <v>45807</v>
      </c>
      <c r="C633" t="s">
        <v>2348</v>
      </c>
      <c r="D633" t="s">
        <v>2110</v>
      </c>
      <c r="E633" t="s">
        <v>477</v>
      </c>
      <c r="F633" t="s">
        <v>706</v>
      </c>
      <c r="G633" t="s">
        <v>66</v>
      </c>
      <c r="H633" t="s">
        <v>470</v>
      </c>
      <c r="I633" t="s">
        <v>471</v>
      </c>
      <c r="J633">
        <v>510.77</v>
      </c>
    </row>
    <row r="634" spans="1:10">
      <c r="A634" s="90" t="s">
        <v>216</v>
      </c>
      <c r="B634" s="87">
        <v>45807</v>
      </c>
      <c r="C634" t="s">
        <v>2347</v>
      </c>
      <c r="D634" t="s">
        <v>2110</v>
      </c>
      <c r="E634" t="s">
        <v>477</v>
      </c>
      <c r="F634" t="s">
        <v>706</v>
      </c>
      <c r="G634" t="s">
        <v>68</v>
      </c>
      <c r="H634" t="s">
        <v>470</v>
      </c>
      <c r="I634" t="s">
        <v>471</v>
      </c>
      <c r="J634">
        <v>2549.23</v>
      </c>
    </row>
    <row r="635" spans="1:10">
      <c r="A635" s="90" t="s">
        <v>216</v>
      </c>
      <c r="B635" s="87">
        <v>45810</v>
      </c>
      <c r="C635" t="s">
        <v>2644</v>
      </c>
      <c r="D635" t="s">
        <v>2110</v>
      </c>
      <c r="E635" t="s">
        <v>2568</v>
      </c>
      <c r="F635" t="s">
        <v>248</v>
      </c>
      <c r="G635" t="s">
        <v>2381</v>
      </c>
      <c r="H635" t="s">
        <v>470</v>
      </c>
      <c r="I635" t="s">
        <v>796</v>
      </c>
      <c r="J635">
        <v>0</v>
      </c>
    </row>
    <row r="636" spans="1:10">
      <c r="A636" s="90" t="s">
        <v>216</v>
      </c>
      <c r="B636" s="87">
        <v>45810</v>
      </c>
      <c r="C636" t="s">
        <v>2670</v>
      </c>
      <c r="D636" t="s">
        <v>2110</v>
      </c>
      <c r="E636" t="s">
        <v>1667</v>
      </c>
      <c r="F636" t="s">
        <v>706</v>
      </c>
      <c r="G636" t="s">
        <v>259</v>
      </c>
      <c r="H636" t="s">
        <v>470</v>
      </c>
      <c r="I636" t="s">
        <v>475</v>
      </c>
      <c r="J636">
        <v>1130.06</v>
      </c>
    </row>
    <row r="637" spans="1:10">
      <c r="A637" s="90" t="s">
        <v>216</v>
      </c>
      <c r="B637" s="87">
        <v>45810</v>
      </c>
      <c r="C637" t="s">
        <v>2670</v>
      </c>
      <c r="D637" t="s">
        <v>2110</v>
      </c>
      <c r="E637" t="s">
        <v>1667</v>
      </c>
      <c r="F637" t="s">
        <v>706</v>
      </c>
      <c r="G637" t="s">
        <v>71</v>
      </c>
      <c r="H637" t="s">
        <v>470</v>
      </c>
      <c r="I637" t="s">
        <v>475</v>
      </c>
      <c r="J637">
        <v>8.34</v>
      </c>
    </row>
    <row r="638" spans="1:10">
      <c r="A638" s="90" t="s">
        <v>216</v>
      </c>
      <c r="B638" s="87">
        <v>45810</v>
      </c>
      <c r="C638" t="s">
        <v>2671</v>
      </c>
      <c r="D638" t="s">
        <v>2110</v>
      </c>
      <c r="E638" t="s">
        <v>2672</v>
      </c>
      <c r="F638" t="s">
        <v>2673</v>
      </c>
      <c r="G638" t="s">
        <v>2125</v>
      </c>
      <c r="H638" t="s">
        <v>470</v>
      </c>
      <c r="I638" t="s">
        <v>487</v>
      </c>
      <c r="J638">
        <v>8501</v>
      </c>
    </row>
    <row r="639" spans="1:10">
      <c r="A639" s="90" t="s">
        <v>216</v>
      </c>
      <c r="B639" s="87">
        <v>45810</v>
      </c>
      <c r="C639" t="s">
        <v>2674</v>
      </c>
      <c r="D639" t="s">
        <v>2110</v>
      </c>
      <c r="E639" t="s">
        <v>2658</v>
      </c>
      <c r="F639" t="s">
        <v>2675</v>
      </c>
      <c r="G639" t="s">
        <v>2125</v>
      </c>
      <c r="H639" t="s">
        <v>470</v>
      </c>
      <c r="I639" t="s">
        <v>487</v>
      </c>
      <c r="J639">
        <v>11753</v>
      </c>
    </row>
    <row r="640" spans="1:10">
      <c r="A640" s="90" t="s">
        <v>216</v>
      </c>
      <c r="B640" s="87">
        <v>45810</v>
      </c>
      <c r="C640" t="s">
        <v>2676</v>
      </c>
      <c r="D640" t="s">
        <v>2110</v>
      </c>
      <c r="E640" t="s">
        <v>2262</v>
      </c>
      <c r="F640" t="s">
        <v>2677</v>
      </c>
      <c r="G640" t="s">
        <v>73</v>
      </c>
      <c r="H640" t="s">
        <v>2678</v>
      </c>
      <c r="I640" t="s">
        <v>796</v>
      </c>
      <c r="J640">
        <v>633.01</v>
      </c>
    </row>
    <row r="641" spans="1:10">
      <c r="A641" s="90" t="s">
        <v>216</v>
      </c>
      <c r="B641" s="87">
        <v>45810</v>
      </c>
      <c r="C641" t="s">
        <v>2267</v>
      </c>
      <c r="D641" t="s">
        <v>2110</v>
      </c>
      <c r="E641" t="s">
        <v>477</v>
      </c>
      <c r="F641" t="s">
        <v>2268</v>
      </c>
      <c r="G641" t="s">
        <v>2269</v>
      </c>
      <c r="H641" t="s">
        <v>2679</v>
      </c>
      <c r="I641" t="s">
        <v>471</v>
      </c>
      <c r="J641">
        <v>750</v>
      </c>
    </row>
    <row r="642" spans="1:10">
      <c r="A642" s="90" t="s">
        <v>216</v>
      </c>
      <c r="B642" s="87">
        <v>45810</v>
      </c>
      <c r="C642" t="s">
        <v>2267</v>
      </c>
      <c r="D642" t="s">
        <v>2110</v>
      </c>
      <c r="E642" t="s">
        <v>477</v>
      </c>
      <c r="F642" t="s">
        <v>2268</v>
      </c>
      <c r="G642" t="s">
        <v>2269</v>
      </c>
      <c r="H642" t="s">
        <v>2679</v>
      </c>
      <c r="I642" t="s">
        <v>471</v>
      </c>
      <c r="J642">
        <v>1200</v>
      </c>
    </row>
    <row r="643" spans="1:10">
      <c r="A643" s="90" t="s">
        <v>216</v>
      </c>
      <c r="B643" s="87">
        <v>45810</v>
      </c>
      <c r="C643" t="s">
        <v>2267</v>
      </c>
      <c r="D643" t="s">
        <v>2110</v>
      </c>
      <c r="E643" t="s">
        <v>477</v>
      </c>
      <c r="F643" t="s">
        <v>2268</v>
      </c>
      <c r="G643" t="s">
        <v>2269</v>
      </c>
      <c r="H643" t="s">
        <v>2679</v>
      </c>
      <c r="I643" t="s">
        <v>471</v>
      </c>
      <c r="J643">
        <v>1125</v>
      </c>
    </row>
    <row r="644" spans="1:10">
      <c r="A644" s="90" t="s">
        <v>216</v>
      </c>
      <c r="B644" s="87">
        <v>45810</v>
      </c>
      <c r="C644" t="s">
        <v>2267</v>
      </c>
      <c r="D644" t="s">
        <v>2110</v>
      </c>
      <c r="E644" t="s">
        <v>477</v>
      </c>
      <c r="F644" t="s">
        <v>2268</v>
      </c>
      <c r="G644" t="s">
        <v>2271</v>
      </c>
      <c r="H644" t="s">
        <v>2679</v>
      </c>
      <c r="I644" t="s">
        <v>471</v>
      </c>
      <c r="J644">
        <v>58.79</v>
      </c>
    </row>
    <row r="645" spans="1:10">
      <c r="A645" s="90" t="s">
        <v>216</v>
      </c>
      <c r="B645" s="87">
        <v>45810</v>
      </c>
      <c r="C645" t="s">
        <v>2680</v>
      </c>
      <c r="D645" t="s">
        <v>2110</v>
      </c>
      <c r="E645" t="s">
        <v>477</v>
      </c>
      <c r="F645" t="s">
        <v>2273</v>
      </c>
      <c r="G645" t="s">
        <v>2269</v>
      </c>
      <c r="H645" t="s">
        <v>2681</v>
      </c>
      <c r="I645" t="s">
        <v>471</v>
      </c>
      <c r="J645">
        <v>10125</v>
      </c>
    </row>
    <row r="646" spans="1:10">
      <c r="A646" s="90" t="s">
        <v>216</v>
      </c>
      <c r="B646" s="87">
        <v>45810</v>
      </c>
      <c r="C646" t="s">
        <v>2680</v>
      </c>
      <c r="D646" t="s">
        <v>2110</v>
      </c>
      <c r="E646" t="s">
        <v>477</v>
      </c>
      <c r="F646" t="s">
        <v>2273</v>
      </c>
      <c r="G646" t="s">
        <v>2271</v>
      </c>
      <c r="H646" t="s">
        <v>2681</v>
      </c>
      <c r="I646" t="s">
        <v>471</v>
      </c>
      <c r="J646">
        <v>935.64</v>
      </c>
    </row>
    <row r="647" spans="1:10">
      <c r="A647" s="90" t="s">
        <v>216</v>
      </c>
      <c r="B647" s="87">
        <v>45810</v>
      </c>
      <c r="C647" t="s">
        <v>2275</v>
      </c>
      <c r="D647" t="s">
        <v>2110</v>
      </c>
      <c r="E647" t="s">
        <v>477</v>
      </c>
      <c r="F647" t="s">
        <v>741</v>
      </c>
      <c r="G647" t="s">
        <v>74</v>
      </c>
      <c r="H647" t="s">
        <v>470</v>
      </c>
      <c r="I647" t="s">
        <v>471</v>
      </c>
      <c r="J647">
        <v>20</v>
      </c>
    </row>
    <row r="648" spans="1:10">
      <c r="A648" s="90" t="s">
        <v>216</v>
      </c>
      <c r="B648" s="87">
        <v>45810</v>
      </c>
      <c r="C648" t="s">
        <v>517</v>
      </c>
      <c r="D648" t="s">
        <v>2110</v>
      </c>
      <c r="E648" t="s">
        <v>512</v>
      </c>
      <c r="F648" t="s">
        <v>741</v>
      </c>
      <c r="G648" t="s">
        <v>474</v>
      </c>
      <c r="H648" t="s">
        <v>470</v>
      </c>
      <c r="I648" t="s">
        <v>475</v>
      </c>
      <c r="J648">
        <v>74109.539999999994</v>
      </c>
    </row>
    <row r="649" spans="1:10">
      <c r="A649" s="90" t="s">
        <v>216</v>
      </c>
      <c r="B649" s="87">
        <v>45810</v>
      </c>
      <c r="C649" t="s">
        <v>2275</v>
      </c>
      <c r="D649" t="s">
        <v>2110</v>
      </c>
      <c r="E649" t="s">
        <v>477</v>
      </c>
      <c r="F649" t="s">
        <v>741</v>
      </c>
      <c r="G649" t="s">
        <v>74</v>
      </c>
      <c r="H649" t="s">
        <v>470</v>
      </c>
      <c r="I649" t="s">
        <v>471</v>
      </c>
      <c r="J649">
        <v>15</v>
      </c>
    </row>
    <row r="650" spans="1:10">
      <c r="A650" s="90" t="s">
        <v>216</v>
      </c>
      <c r="B650" s="87">
        <v>45811</v>
      </c>
      <c r="C650" t="s">
        <v>2682</v>
      </c>
      <c r="D650" t="s">
        <v>2110</v>
      </c>
      <c r="E650" t="s">
        <v>1667</v>
      </c>
      <c r="F650" t="s">
        <v>2683</v>
      </c>
      <c r="G650" t="s">
        <v>2115</v>
      </c>
      <c r="H650" t="s">
        <v>470</v>
      </c>
      <c r="I650" t="s">
        <v>475</v>
      </c>
      <c r="J650">
        <v>694.5</v>
      </c>
    </row>
    <row r="651" spans="1:10">
      <c r="A651" s="90" t="s">
        <v>216</v>
      </c>
      <c r="B651" s="87">
        <v>45811</v>
      </c>
      <c r="C651" t="s">
        <v>2684</v>
      </c>
      <c r="D651" t="s">
        <v>2110</v>
      </c>
      <c r="E651" t="s">
        <v>2685</v>
      </c>
      <c r="F651" t="s">
        <v>2686</v>
      </c>
      <c r="G651" t="s">
        <v>2125</v>
      </c>
      <c r="H651" t="s">
        <v>470</v>
      </c>
      <c r="I651" t="s">
        <v>487</v>
      </c>
      <c r="J651">
        <v>1836</v>
      </c>
    </row>
    <row r="652" spans="1:10">
      <c r="A652" s="90" t="s">
        <v>216</v>
      </c>
      <c r="B652" s="87">
        <v>45811</v>
      </c>
      <c r="C652" t="s">
        <v>2275</v>
      </c>
      <c r="D652" t="s">
        <v>2110</v>
      </c>
      <c r="E652" t="s">
        <v>2393</v>
      </c>
      <c r="F652" t="s">
        <v>741</v>
      </c>
      <c r="G652" t="s">
        <v>74</v>
      </c>
      <c r="H652" t="s">
        <v>470</v>
      </c>
      <c r="I652" t="s">
        <v>471</v>
      </c>
      <c r="J652">
        <v>29.9</v>
      </c>
    </row>
    <row r="653" spans="1:10">
      <c r="A653" s="90" t="s">
        <v>216</v>
      </c>
      <c r="B653" s="87">
        <v>45811</v>
      </c>
      <c r="C653" t="s">
        <v>511</v>
      </c>
      <c r="D653" t="s">
        <v>2110</v>
      </c>
      <c r="E653" t="s">
        <v>512</v>
      </c>
      <c r="F653" t="s">
        <v>741</v>
      </c>
      <c r="G653" t="s">
        <v>474</v>
      </c>
      <c r="H653" t="s">
        <v>470</v>
      </c>
      <c r="I653" t="s">
        <v>475</v>
      </c>
      <c r="J653">
        <v>18689.64</v>
      </c>
    </row>
    <row r="654" spans="1:10">
      <c r="A654" s="90" t="s">
        <v>216</v>
      </c>
      <c r="B654" s="87">
        <v>45811</v>
      </c>
      <c r="C654" t="s">
        <v>2687</v>
      </c>
      <c r="D654" t="s">
        <v>2688</v>
      </c>
      <c r="E654" t="s">
        <v>480</v>
      </c>
      <c r="F654" t="s">
        <v>741</v>
      </c>
      <c r="G654" t="s">
        <v>71</v>
      </c>
      <c r="H654" t="s">
        <v>470</v>
      </c>
      <c r="I654" t="s">
        <v>487</v>
      </c>
      <c r="J654">
        <v>1000</v>
      </c>
    </row>
    <row r="655" spans="1:10">
      <c r="A655" s="90" t="s">
        <v>216</v>
      </c>
      <c r="B655" s="87">
        <v>45812</v>
      </c>
      <c r="C655" t="s">
        <v>2689</v>
      </c>
      <c r="D655" t="s">
        <v>2110</v>
      </c>
      <c r="E655" t="s">
        <v>1285</v>
      </c>
      <c r="F655" t="s">
        <v>258</v>
      </c>
      <c r="G655" t="s">
        <v>2494</v>
      </c>
      <c r="H655" t="s">
        <v>470</v>
      </c>
      <c r="I655" t="s">
        <v>796</v>
      </c>
      <c r="J655">
        <v>27547.48</v>
      </c>
    </row>
    <row r="656" spans="1:10">
      <c r="A656" s="90" t="s">
        <v>216</v>
      </c>
      <c r="B656" s="87">
        <v>45812</v>
      </c>
      <c r="C656" t="s">
        <v>2690</v>
      </c>
      <c r="D656" t="s">
        <v>2110</v>
      </c>
      <c r="E656" t="s">
        <v>1285</v>
      </c>
      <c r="F656" t="s">
        <v>258</v>
      </c>
      <c r="G656" t="s">
        <v>2494</v>
      </c>
      <c r="H656" t="s">
        <v>470</v>
      </c>
      <c r="I656" t="s">
        <v>796</v>
      </c>
      <c r="J656">
        <v>1583.98</v>
      </c>
    </row>
    <row r="657" spans="1:10">
      <c r="A657" s="90" t="s">
        <v>216</v>
      </c>
      <c r="B657" s="87">
        <v>45812</v>
      </c>
      <c r="C657" t="s">
        <v>2691</v>
      </c>
      <c r="D657" t="s">
        <v>2110</v>
      </c>
      <c r="E657" t="s">
        <v>2117</v>
      </c>
      <c r="F657" t="s">
        <v>252</v>
      </c>
      <c r="G657" t="s">
        <v>2494</v>
      </c>
      <c r="H657" t="s">
        <v>470</v>
      </c>
      <c r="I657" t="s">
        <v>796</v>
      </c>
      <c r="J657">
        <v>1466.35</v>
      </c>
    </row>
    <row r="658" spans="1:10">
      <c r="A658" s="90" t="s">
        <v>216</v>
      </c>
      <c r="B658" s="87">
        <v>45812</v>
      </c>
      <c r="C658" t="s">
        <v>2692</v>
      </c>
      <c r="D658" t="s">
        <v>2110</v>
      </c>
      <c r="E658" t="s">
        <v>2117</v>
      </c>
      <c r="F658" t="s">
        <v>252</v>
      </c>
      <c r="G658" t="s">
        <v>2494</v>
      </c>
      <c r="H658" t="s">
        <v>470</v>
      </c>
      <c r="I658" t="s">
        <v>796</v>
      </c>
      <c r="J658">
        <v>977.56</v>
      </c>
    </row>
    <row r="659" spans="1:10">
      <c r="A659" s="90" t="s">
        <v>216</v>
      </c>
      <c r="B659" s="87">
        <v>45812</v>
      </c>
      <c r="C659" t="s">
        <v>2693</v>
      </c>
      <c r="D659" t="s">
        <v>2110</v>
      </c>
      <c r="E659" t="s">
        <v>970</v>
      </c>
      <c r="F659" t="s">
        <v>254</v>
      </c>
      <c r="G659" t="s">
        <v>2494</v>
      </c>
      <c r="H659" t="s">
        <v>470</v>
      </c>
      <c r="I659" t="s">
        <v>796</v>
      </c>
      <c r="J659">
        <v>368.74</v>
      </c>
    </row>
    <row r="660" spans="1:10">
      <c r="A660" s="90" t="s">
        <v>216</v>
      </c>
      <c r="B660" s="87">
        <v>45812</v>
      </c>
      <c r="C660" t="s">
        <v>2694</v>
      </c>
      <c r="D660" t="s">
        <v>2110</v>
      </c>
      <c r="E660" t="s">
        <v>970</v>
      </c>
      <c r="F660" t="s">
        <v>254</v>
      </c>
      <c r="G660" t="s">
        <v>2494</v>
      </c>
      <c r="H660" t="s">
        <v>470</v>
      </c>
      <c r="I660" t="s">
        <v>796</v>
      </c>
      <c r="J660">
        <v>245.83</v>
      </c>
    </row>
    <row r="661" spans="1:10">
      <c r="A661" s="90" t="s">
        <v>216</v>
      </c>
      <c r="B661" s="87">
        <v>45812</v>
      </c>
      <c r="C661" t="s">
        <v>2695</v>
      </c>
      <c r="D661" t="s">
        <v>2110</v>
      </c>
      <c r="E661" t="s">
        <v>480</v>
      </c>
      <c r="F661" t="s">
        <v>741</v>
      </c>
      <c r="G661" t="s">
        <v>259</v>
      </c>
      <c r="H661" t="s">
        <v>470</v>
      </c>
      <c r="I661" t="s">
        <v>475</v>
      </c>
      <c r="J661">
        <v>175</v>
      </c>
    </row>
    <row r="662" spans="1:10">
      <c r="A662" s="90" t="s">
        <v>216</v>
      </c>
      <c r="B662" s="87">
        <v>45812</v>
      </c>
      <c r="C662" t="s">
        <v>2696</v>
      </c>
      <c r="D662" t="s">
        <v>2110</v>
      </c>
      <c r="E662" t="s">
        <v>480</v>
      </c>
      <c r="F662" t="s">
        <v>706</v>
      </c>
      <c r="G662" t="s">
        <v>71</v>
      </c>
      <c r="H662" t="s">
        <v>470</v>
      </c>
      <c r="I662" t="s">
        <v>475</v>
      </c>
      <c r="J662">
        <v>1904.4</v>
      </c>
    </row>
    <row r="663" spans="1:10">
      <c r="A663" s="90" t="s">
        <v>216</v>
      </c>
      <c r="B663" s="87">
        <v>45812</v>
      </c>
      <c r="C663" t="s">
        <v>2275</v>
      </c>
      <c r="D663" t="s">
        <v>2110</v>
      </c>
      <c r="E663" t="s">
        <v>477</v>
      </c>
      <c r="F663" t="s">
        <v>741</v>
      </c>
      <c r="G663" t="s">
        <v>74</v>
      </c>
      <c r="H663" t="s">
        <v>470</v>
      </c>
      <c r="I663" t="s">
        <v>471</v>
      </c>
      <c r="J663">
        <v>5</v>
      </c>
    </row>
    <row r="664" spans="1:10">
      <c r="A664" s="90" t="s">
        <v>216</v>
      </c>
      <c r="B664" s="87">
        <v>45812</v>
      </c>
      <c r="C664" t="s">
        <v>2275</v>
      </c>
      <c r="D664" t="s">
        <v>2110</v>
      </c>
      <c r="E664" t="s">
        <v>477</v>
      </c>
      <c r="F664" t="s">
        <v>741</v>
      </c>
      <c r="G664" t="s">
        <v>74</v>
      </c>
      <c r="H664" t="s">
        <v>470</v>
      </c>
      <c r="I664" t="s">
        <v>471</v>
      </c>
      <c r="J664">
        <v>10</v>
      </c>
    </row>
    <row r="665" spans="1:10">
      <c r="A665" s="90" t="s">
        <v>216</v>
      </c>
      <c r="B665" s="87">
        <v>45812</v>
      </c>
      <c r="C665" t="s">
        <v>511</v>
      </c>
      <c r="D665" t="s">
        <v>2110</v>
      </c>
      <c r="E665" t="s">
        <v>512</v>
      </c>
      <c r="F665" t="s">
        <v>741</v>
      </c>
      <c r="G665" t="s">
        <v>474</v>
      </c>
      <c r="H665" t="s">
        <v>470</v>
      </c>
      <c r="I665" t="s">
        <v>475</v>
      </c>
      <c r="J665">
        <v>49748.74</v>
      </c>
    </row>
    <row r="666" spans="1:10">
      <c r="A666" s="90" t="s">
        <v>216</v>
      </c>
      <c r="B666" s="87">
        <v>45813</v>
      </c>
      <c r="C666" t="s">
        <v>2697</v>
      </c>
      <c r="D666" t="s">
        <v>2110</v>
      </c>
      <c r="E666" t="s">
        <v>2277</v>
      </c>
      <c r="F666" t="s">
        <v>2698</v>
      </c>
      <c r="G666" t="s">
        <v>65</v>
      </c>
      <c r="H666" t="s">
        <v>2613</v>
      </c>
      <c r="I666" t="s">
        <v>796</v>
      </c>
      <c r="J666">
        <v>183</v>
      </c>
    </row>
    <row r="667" spans="1:10">
      <c r="A667" s="90" t="s">
        <v>216</v>
      </c>
      <c r="B667" s="87">
        <v>45813</v>
      </c>
      <c r="C667" t="s">
        <v>2131</v>
      </c>
      <c r="D667" t="s">
        <v>2110</v>
      </c>
      <c r="E667" t="s">
        <v>493</v>
      </c>
      <c r="F667" t="s">
        <v>2132</v>
      </c>
      <c r="G667" t="s">
        <v>192</v>
      </c>
      <c r="H667" t="s">
        <v>470</v>
      </c>
      <c r="I667" t="s">
        <v>487</v>
      </c>
      <c r="J667">
        <v>22528.799999999999</v>
      </c>
    </row>
    <row r="668" spans="1:10">
      <c r="A668" s="90" t="s">
        <v>216</v>
      </c>
      <c r="B668" s="87">
        <v>45813</v>
      </c>
      <c r="C668" t="s">
        <v>2275</v>
      </c>
      <c r="D668" t="s">
        <v>2110</v>
      </c>
      <c r="E668" t="s">
        <v>2393</v>
      </c>
      <c r="F668" t="s">
        <v>706</v>
      </c>
      <c r="G668" t="s">
        <v>74</v>
      </c>
      <c r="H668" t="s">
        <v>470</v>
      </c>
      <c r="I668" t="s">
        <v>471</v>
      </c>
      <c r="J668">
        <v>40</v>
      </c>
    </row>
    <row r="669" spans="1:10">
      <c r="A669" s="90" t="s">
        <v>216</v>
      </c>
      <c r="B669" s="87">
        <v>45814</v>
      </c>
      <c r="C669" t="s">
        <v>2699</v>
      </c>
      <c r="D669" t="s">
        <v>2110</v>
      </c>
      <c r="E669" t="s">
        <v>2300</v>
      </c>
      <c r="F669" t="s">
        <v>706</v>
      </c>
      <c r="G669" t="s">
        <v>2700</v>
      </c>
      <c r="H669" t="s">
        <v>470</v>
      </c>
      <c r="I669" t="s">
        <v>796</v>
      </c>
      <c r="J669">
        <v>4150.7</v>
      </c>
    </row>
    <row r="670" spans="1:10">
      <c r="A670" s="90" t="s">
        <v>216</v>
      </c>
      <c r="B670" s="87">
        <v>45814</v>
      </c>
      <c r="C670" t="s">
        <v>2275</v>
      </c>
      <c r="D670" t="s">
        <v>2110</v>
      </c>
      <c r="E670" t="s">
        <v>477</v>
      </c>
      <c r="F670" t="s">
        <v>741</v>
      </c>
      <c r="G670" t="s">
        <v>74</v>
      </c>
      <c r="H670" t="s">
        <v>470</v>
      </c>
      <c r="I670" t="s">
        <v>471</v>
      </c>
      <c r="J670">
        <v>10</v>
      </c>
    </row>
    <row r="671" spans="1:10">
      <c r="A671" s="90" t="s">
        <v>216</v>
      </c>
      <c r="B671" s="87">
        <v>45814</v>
      </c>
      <c r="C671" t="s">
        <v>511</v>
      </c>
      <c r="D671" t="s">
        <v>2110</v>
      </c>
      <c r="E671" t="s">
        <v>512</v>
      </c>
      <c r="F671" t="s">
        <v>741</v>
      </c>
      <c r="G671" t="s">
        <v>474</v>
      </c>
      <c r="H671" t="s">
        <v>470</v>
      </c>
      <c r="I671" t="s">
        <v>475</v>
      </c>
      <c r="J671">
        <v>18769</v>
      </c>
    </row>
    <row r="672" spans="1:10">
      <c r="A672" s="90" t="s">
        <v>216</v>
      </c>
      <c r="B672" s="87">
        <v>45818</v>
      </c>
      <c r="C672" t="s">
        <v>2701</v>
      </c>
      <c r="D672" t="s">
        <v>2110</v>
      </c>
      <c r="E672" t="s">
        <v>2702</v>
      </c>
      <c r="F672" t="s">
        <v>2153</v>
      </c>
      <c r="G672" t="s">
        <v>63</v>
      </c>
      <c r="H672" t="s">
        <v>470</v>
      </c>
      <c r="I672" t="s">
        <v>796</v>
      </c>
      <c r="J672">
        <v>896.95</v>
      </c>
    </row>
    <row r="673" spans="1:10">
      <c r="A673" s="90" t="s">
        <v>216</v>
      </c>
      <c r="B673" s="87">
        <v>45818</v>
      </c>
      <c r="C673" t="s">
        <v>2703</v>
      </c>
      <c r="D673" t="s">
        <v>2110</v>
      </c>
      <c r="E673" t="s">
        <v>2509</v>
      </c>
      <c r="F673" t="s">
        <v>2704</v>
      </c>
      <c r="G673" t="s">
        <v>2115</v>
      </c>
      <c r="H673" t="s">
        <v>470</v>
      </c>
      <c r="I673" t="s">
        <v>796</v>
      </c>
      <c r="J673">
        <v>20</v>
      </c>
    </row>
    <row r="674" spans="1:10">
      <c r="A674" s="90" t="s">
        <v>216</v>
      </c>
      <c r="B674" s="87">
        <v>45818</v>
      </c>
      <c r="C674" t="s">
        <v>2703</v>
      </c>
      <c r="D674" t="s">
        <v>2110</v>
      </c>
      <c r="E674" t="s">
        <v>2509</v>
      </c>
      <c r="F674" t="s">
        <v>2704</v>
      </c>
      <c r="G674" t="s">
        <v>251</v>
      </c>
      <c r="H674" t="s">
        <v>470</v>
      </c>
      <c r="I674" t="s">
        <v>796</v>
      </c>
      <c r="J674">
        <v>29</v>
      </c>
    </row>
    <row r="675" spans="1:10">
      <c r="A675" s="90" t="s">
        <v>216</v>
      </c>
      <c r="B675" s="87">
        <v>45818</v>
      </c>
      <c r="C675" t="s">
        <v>2705</v>
      </c>
      <c r="D675" t="s">
        <v>2110</v>
      </c>
      <c r="E675" t="s">
        <v>2706</v>
      </c>
      <c r="F675" t="s">
        <v>832</v>
      </c>
      <c r="G675" t="s">
        <v>2125</v>
      </c>
      <c r="H675" t="s">
        <v>470</v>
      </c>
      <c r="I675" t="s">
        <v>487</v>
      </c>
      <c r="J675">
        <v>5281.08</v>
      </c>
    </row>
    <row r="676" spans="1:10">
      <c r="A676" s="90" t="s">
        <v>216</v>
      </c>
      <c r="B676" s="87">
        <v>45818</v>
      </c>
      <c r="C676" t="s">
        <v>2707</v>
      </c>
      <c r="D676" t="s">
        <v>2110</v>
      </c>
      <c r="E676" t="s">
        <v>480</v>
      </c>
      <c r="F676" t="s">
        <v>741</v>
      </c>
      <c r="G676" t="s">
        <v>71</v>
      </c>
      <c r="H676" t="s">
        <v>470</v>
      </c>
      <c r="I676" t="s">
        <v>475</v>
      </c>
      <c r="J676">
        <v>5000</v>
      </c>
    </row>
    <row r="677" spans="1:10">
      <c r="A677" s="90" t="s">
        <v>216</v>
      </c>
      <c r="B677" s="87">
        <v>45818</v>
      </c>
      <c r="C677" t="s">
        <v>2370</v>
      </c>
      <c r="D677" t="s">
        <v>2110</v>
      </c>
      <c r="E677" t="s">
        <v>477</v>
      </c>
      <c r="F677" t="s">
        <v>514</v>
      </c>
      <c r="G677" t="s">
        <v>69</v>
      </c>
      <c r="H677" t="s">
        <v>470</v>
      </c>
      <c r="I677" t="s">
        <v>471</v>
      </c>
      <c r="J677">
        <v>36307.199999999997</v>
      </c>
    </row>
    <row r="678" spans="1:10">
      <c r="A678" s="90" t="s">
        <v>216</v>
      </c>
      <c r="B678" s="87">
        <v>45818</v>
      </c>
      <c r="C678" t="s">
        <v>2275</v>
      </c>
      <c r="D678" t="s">
        <v>2110</v>
      </c>
      <c r="E678" t="s">
        <v>477</v>
      </c>
      <c r="F678" t="s">
        <v>741</v>
      </c>
      <c r="G678" t="s">
        <v>74</v>
      </c>
      <c r="H678" t="s">
        <v>470</v>
      </c>
      <c r="I678" t="s">
        <v>471</v>
      </c>
      <c r="J678">
        <v>95</v>
      </c>
    </row>
    <row r="679" spans="1:10">
      <c r="A679" s="90" t="s">
        <v>216</v>
      </c>
      <c r="B679" s="87">
        <v>45818</v>
      </c>
      <c r="C679" t="s">
        <v>2275</v>
      </c>
      <c r="D679" t="s">
        <v>2110</v>
      </c>
      <c r="E679" t="s">
        <v>477</v>
      </c>
      <c r="F679" t="s">
        <v>741</v>
      </c>
      <c r="G679" t="s">
        <v>74</v>
      </c>
      <c r="H679" t="s">
        <v>470</v>
      </c>
      <c r="I679" t="s">
        <v>471</v>
      </c>
      <c r="J679">
        <v>10</v>
      </c>
    </row>
    <row r="680" spans="1:10">
      <c r="A680" s="90" t="s">
        <v>216</v>
      </c>
      <c r="B680" s="87">
        <v>45818</v>
      </c>
      <c r="C680" t="s">
        <v>2295</v>
      </c>
      <c r="D680" t="s">
        <v>2110</v>
      </c>
      <c r="E680" t="s">
        <v>477</v>
      </c>
      <c r="F680" t="s">
        <v>741</v>
      </c>
      <c r="G680" t="s">
        <v>2295</v>
      </c>
      <c r="H680" t="s">
        <v>470</v>
      </c>
      <c r="I680" t="s">
        <v>471</v>
      </c>
      <c r="J680">
        <v>2575.48</v>
      </c>
    </row>
    <row r="681" spans="1:10">
      <c r="A681" s="90" t="s">
        <v>216</v>
      </c>
      <c r="B681" s="87">
        <v>45818</v>
      </c>
      <c r="C681" t="s">
        <v>511</v>
      </c>
      <c r="D681" t="s">
        <v>2110</v>
      </c>
      <c r="E681" t="s">
        <v>512</v>
      </c>
      <c r="F681" t="s">
        <v>741</v>
      </c>
      <c r="G681" t="s">
        <v>474</v>
      </c>
      <c r="H681" t="s">
        <v>470</v>
      </c>
      <c r="I681" t="s">
        <v>475</v>
      </c>
      <c r="J681">
        <v>50214.71</v>
      </c>
    </row>
    <row r="682" spans="1:10">
      <c r="A682" s="90" t="s">
        <v>216</v>
      </c>
      <c r="B682" s="87">
        <v>45819</v>
      </c>
      <c r="C682" t="s">
        <v>2708</v>
      </c>
      <c r="D682" t="s">
        <v>2110</v>
      </c>
      <c r="E682" t="s">
        <v>1667</v>
      </c>
      <c r="F682" t="s">
        <v>2709</v>
      </c>
      <c r="G682" t="s">
        <v>2115</v>
      </c>
      <c r="H682" t="s">
        <v>470</v>
      </c>
      <c r="I682" t="s">
        <v>475</v>
      </c>
      <c r="J682">
        <v>819</v>
      </c>
    </row>
    <row r="683" spans="1:10">
      <c r="A683" s="90" t="s">
        <v>216</v>
      </c>
      <c r="B683" s="87">
        <v>45819</v>
      </c>
      <c r="C683" t="s">
        <v>2708</v>
      </c>
      <c r="D683" t="s">
        <v>2110</v>
      </c>
      <c r="E683" t="s">
        <v>1667</v>
      </c>
      <c r="F683" t="s">
        <v>2709</v>
      </c>
      <c r="G683" t="s">
        <v>71</v>
      </c>
      <c r="H683" t="s">
        <v>470</v>
      </c>
      <c r="I683" t="s">
        <v>475</v>
      </c>
      <c r="J683">
        <v>13.55</v>
      </c>
    </row>
    <row r="684" spans="1:10">
      <c r="A684" s="90" t="s">
        <v>216</v>
      </c>
      <c r="B684" s="87">
        <v>45819</v>
      </c>
      <c r="C684" t="s">
        <v>2710</v>
      </c>
      <c r="D684" t="s">
        <v>2110</v>
      </c>
      <c r="E684" t="s">
        <v>480</v>
      </c>
      <c r="F684" t="s">
        <v>741</v>
      </c>
      <c r="G684" t="s">
        <v>259</v>
      </c>
      <c r="H684" t="s">
        <v>470</v>
      </c>
      <c r="I684" t="s">
        <v>475</v>
      </c>
      <c r="J684">
        <v>1251.4000000000001</v>
      </c>
    </row>
    <row r="685" spans="1:10">
      <c r="A685" s="90" t="s">
        <v>216</v>
      </c>
      <c r="B685" s="87">
        <v>45819</v>
      </c>
      <c r="C685" t="s">
        <v>2275</v>
      </c>
      <c r="D685" t="s">
        <v>2110</v>
      </c>
      <c r="E685" t="s">
        <v>477</v>
      </c>
      <c r="F685" t="s">
        <v>741</v>
      </c>
      <c r="G685" t="s">
        <v>74</v>
      </c>
      <c r="H685" t="s">
        <v>470</v>
      </c>
      <c r="I685" t="s">
        <v>471</v>
      </c>
      <c r="J685">
        <v>10</v>
      </c>
    </row>
    <row r="686" spans="1:10">
      <c r="A686" s="90" t="s">
        <v>216</v>
      </c>
      <c r="B686" s="87">
        <v>45819</v>
      </c>
      <c r="C686" t="s">
        <v>511</v>
      </c>
      <c r="D686" t="s">
        <v>2110</v>
      </c>
      <c r="E686" t="s">
        <v>512</v>
      </c>
      <c r="F686" t="s">
        <v>741</v>
      </c>
      <c r="G686" t="s">
        <v>474</v>
      </c>
      <c r="H686" t="s">
        <v>470</v>
      </c>
      <c r="I686" t="s">
        <v>475</v>
      </c>
      <c r="J686">
        <v>9464.65</v>
      </c>
    </row>
    <row r="687" spans="1:10">
      <c r="A687" s="90" t="s">
        <v>216</v>
      </c>
      <c r="B687" s="87">
        <v>45820</v>
      </c>
      <c r="C687" t="s">
        <v>2711</v>
      </c>
      <c r="D687" t="s">
        <v>2110</v>
      </c>
      <c r="E687" t="s">
        <v>2712</v>
      </c>
      <c r="F687" t="s">
        <v>834</v>
      </c>
      <c r="G687" t="s">
        <v>2125</v>
      </c>
      <c r="H687" t="s">
        <v>470</v>
      </c>
      <c r="I687" t="s">
        <v>487</v>
      </c>
      <c r="J687">
        <v>5073.88</v>
      </c>
    </row>
    <row r="688" spans="1:10">
      <c r="A688" s="90" t="s">
        <v>216</v>
      </c>
      <c r="B688" s="87">
        <v>45820</v>
      </c>
      <c r="C688" t="s">
        <v>2713</v>
      </c>
      <c r="D688" t="s">
        <v>2110</v>
      </c>
      <c r="E688" t="s">
        <v>480</v>
      </c>
      <c r="F688" t="s">
        <v>741</v>
      </c>
      <c r="G688" t="s">
        <v>259</v>
      </c>
      <c r="H688" t="s">
        <v>470</v>
      </c>
      <c r="I688" t="s">
        <v>475</v>
      </c>
      <c r="J688">
        <v>1216.46</v>
      </c>
    </row>
    <row r="689" spans="1:10">
      <c r="A689" s="90" t="s">
        <v>216</v>
      </c>
      <c r="B689" s="87">
        <v>45820</v>
      </c>
      <c r="C689" t="s">
        <v>2713</v>
      </c>
      <c r="D689" t="s">
        <v>2110</v>
      </c>
      <c r="E689" t="s">
        <v>480</v>
      </c>
      <c r="F689" t="s">
        <v>741</v>
      </c>
      <c r="G689" t="s">
        <v>71</v>
      </c>
      <c r="H689" t="s">
        <v>470</v>
      </c>
      <c r="I689" t="s">
        <v>475</v>
      </c>
      <c r="J689">
        <v>13.54</v>
      </c>
    </row>
    <row r="690" spans="1:10">
      <c r="A690" s="90" t="s">
        <v>216</v>
      </c>
      <c r="B690" s="87">
        <v>45820</v>
      </c>
      <c r="C690" t="s">
        <v>2714</v>
      </c>
      <c r="D690" t="s">
        <v>2110</v>
      </c>
      <c r="E690" t="s">
        <v>2715</v>
      </c>
      <c r="F690" t="s">
        <v>2716</v>
      </c>
      <c r="G690" t="s">
        <v>2125</v>
      </c>
      <c r="H690" t="s">
        <v>470</v>
      </c>
      <c r="I690" t="s">
        <v>487</v>
      </c>
      <c r="J690">
        <v>8767.5</v>
      </c>
    </row>
    <row r="691" spans="1:10">
      <c r="A691" s="90" t="s">
        <v>216</v>
      </c>
      <c r="B691" s="87">
        <v>45820</v>
      </c>
      <c r="C691" t="s">
        <v>2275</v>
      </c>
      <c r="D691" t="s">
        <v>2110</v>
      </c>
      <c r="E691" t="s">
        <v>477</v>
      </c>
      <c r="F691" t="s">
        <v>741</v>
      </c>
      <c r="G691" t="s">
        <v>74</v>
      </c>
      <c r="H691" t="s">
        <v>470</v>
      </c>
      <c r="I691" t="s">
        <v>471</v>
      </c>
      <c r="J691">
        <v>20</v>
      </c>
    </row>
    <row r="692" spans="1:10">
      <c r="A692" s="90" t="s">
        <v>216</v>
      </c>
      <c r="B692" s="87">
        <v>45820</v>
      </c>
      <c r="C692" t="s">
        <v>511</v>
      </c>
      <c r="D692" t="s">
        <v>2110</v>
      </c>
      <c r="E692" t="s">
        <v>512</v>
      </c>
      <c r="F692" t="s">
        <v>747</v>
      </c>
      <c r="G692" t="s">
        <v>474</v>
      </c>
      <c r="H692" t="s">
        <v>470</v>
      </c>
      <c r="I692" t="s">
        <v>475</v>
      </c>
      <c r="J692">
        <v>10750.99</v>
      </c>
    </row>
    <row r="693" spans="1:10">
      <c r="A693" s="90" t="s">
        <v>216</v>
      </c>
      <c r="B693" s="87">
        <v>45821</v>
      </c>
      <c r="C693" t="s">
        <v>2717</v>
      </c>
      <c r="D693" t="s">
        <v>2110</v>
      </c>
      <c r="E693" t="s">
        <v>2715</v>
      </c>
      <c r="F693" t="s">
        <v>2716</v>
      </c>
      <c r="G693" t="s">
        <v>2125</v>
      </c>
      <c r="H693" t="s">
        <v>470</v>
      </c>
      <c r="I693" t="s">
        <v>487</v>
      </c>
      <c r="J693">
        <v>3757.5</v>
      </c>
    </row>
    <row r="694" spans="1:10">
      <c r="A694" s="90" t="s">
        <v>216</v>
      </c>
      <c r="B694" s="87">
        <v>45821</v>
      </c>
      <c r="C694" t="s">
        <v>2718</v>
      </c>
      <c r="D694" t="s">
        <v>2110</v>
      </c>
      <c r="E694" t="s">
        <v>1667</v>
      </c>
      <c r="F694" t="s">
        <v>741</v>
      </c>
      <c r="G694" t="s">
        <v>259</v>
      </c>
      <c r="H694" t="s">
        <v>470</v>
      </c>
      <c r="I694" t="s">
        <v>475</v>
      </c>
      <c r="J694">
        <v>1156.57</v>
      </c>
    </row>
    <row r="695" spans="1:10">
      <c r="A695" s="90" t="s">
        <v>216</v>
      </c>
      <c r="B695" s="87">
        <v>45821</v>
      </c>
      <c r="C695" t="s">
        <v>2719</v>
      </c>
      <c r="D695" t="s">
        <v>2110</v>
      </c>
      <c r="E695" t="s">
        <v>2720</v>
      </c>
      <c r="F695" t="s">
        <v>2721</v>
      </c>
      <c r="G695" t="s">
        <v>2125</v>
      </c>
      <c r="H695" t="s">
        <v>470</v>
      </c>
      <c r="I695" t="s">
        <v>487</v>
      </c>
      <c r="J695">
        <v>8655.5</v>
      </c>
    </row>
    <row r="696" spans="1:10">
      <c r="A696" s="90" t="s">
        <v>216</v>
      </c>
      <c r="B696" s="87">
        <v>45821</v>
      </c>
      <c r="C696" t="s">
        <v>2722</v>
      </c>
      <c r="D696" t="s">
        <v>2110</v>
      </c>
      <c r="E696" t="s">
        <v>2658</v>
      </c>
      <c r="F696" t="s">
        <v>2723</v>
      </c>
      <c r="G696" t="s">
        <v>2125</v>
      </c>
      <c r="H696" t="s">
        <v>470</v>
      </c>
      <c r="I696" t="s">
        <v>487</v>
      </c>
      <c r="J696">
        <v>13582.4</v>
      </c>
    </row>
    <row r="697" spans="1:10">
      <c r="A697" s="90" t="s">
        <v>216</v>
      </c>
      <c r="B697" s="87">
        <v>45821</v>
      </c>
      <c r="C697" t="s">
        <v>2724</v>
      </c>
      <c r="D697" t="s">
        <v>2110</v>
      </c>
      <c r="E697" t="s">
        <v>2725</v>
      </c>
      <c r="F697" t="s">
        <v>2726</v>
      </c>
      <c r="G697" t="s">
        <v>219</v>
      </c>
      <c r="H697" t="s">
        <v>470</v>
      </c>
      <c r="I697" t="s">
        <v>487</v>
      </c>
      <c r="J697">
        <v>130</v>
      </c>
    </row>
    <row r="698" spans="1:10">
      <c r="A698" s="90" t="s">
        <v>216</v>
      </c>
      <c r="B698" s="87">
        <v>45821</v>
      </c>
      <c r="C698" t="s">
        <v>2275</v>
      </c>
      <c r="D698" t="s">
        <v>2110</v>
      </c>
      <c r="E698" t="s">
        <v>477</v>
      </c>
      <c r="F698" t="s">
        <v>741</v>
      </c>
      <c r="G698" t="s">
        <v>74</v>
      </c>
      <c r="H698" t="s">
        <v>470</v>
      </c>
      <c r="I698" t="s">
        <v>471</v>
      </c>
      <c r="J698">
        <v>30</v>
      </c>
    </row>
    <row r="699" spans="1:10">
      <c r="A699" s="90" t="s">
        <v>216</v>
      </c>
      <c r="B699" s="87">
        <v>45821</v>
      </c>
      <c r="C699" t="s">
        <v>517</v>
      </c>
      <c r="D699" t="s">
        <v>2110</v>
      </c>
      <c r="E699" t="s">
        <v>512</v>
      </c>
      <c r="F699" t="s">
        <v>741</v>
      </c>
      <c r="G699" t="s">
        <v>474</v>
      </c>
      <c r="H699" t="s">
        <v>470</v>
      </c>
      <c r="I699" t="s">
        <v>475</v>
      </c>
      <c r="J699">
        <v>761954.23</v>
      </c>
    </row>
    <row r="700" spans="1:10">
      <c r="A700" s="90" t="s">
        <v>216</v>
      </c>
      <c r="B700" s="87">
        <v>45824</v>
      </c>
      <c r="C700" t="s">
        <v>2365</v>
      </c>
      <c r="D700" t="s">
        <v>2110</v>
      </c>
      <c r="E700" t="s">
        <v>2366</v>
      </c>
      <c r="F700" t="s">
        <v>741</v>
      </c>
      <c r="G700" t="s">
        <v>219</v>
      </c>
      <c r="H700" t="s">
        <v>470</v>
      </c>
      <c r="I700" t="s">
        <v>796</v>
      </c>
      <c r="J700">
        <v>105.31</v>
      </c>
    </row>
    <row r="701" spans="1:10">
      <c r="A701" s="90" t="s">
        <v>216</v>
      </c>
      <c r="B701" s="87">
        <v>45824</v>
      </c>
      <c r="C701" t="s">
        <v>2727</v>
      </c>
      <c r="D701" t="s">
        <v>2110</v>
      </c>
      <c r="E701" t="s">
        <v>2720</v>
      </c>
      <c r="F701" t="s">
        <v>2721</v>
      </c>
      <c r="G701" t="s">
        <v>2125</v>
      </c>
      <c r="H701" t="s">
        <v>470</v>
      </c>
      <c r="I701" t="s">
        <v>487</v>
      </c>
      <c r="J701">
        <v>3649.5</v>
      </c>
    </row>
    <row r="702" spans="1:10">
      <c r="A702" s="90" t="s">
        <v>216</v>
      </c>
      <c r="B702" s="87">
        <v>45824</v>
      </c>
      <c r="C702" t="s">
        <v>2728</v>
      </c>
      <c r="D702" t="s">
        <v>2110</v>
      </c>
      <c r="E702" t="s">
        <v>1667</v>
      </c>
      <c r="F702" t="s">
        <v>741</v>
      </c>
      <c r="G702" t="s">
        <v>259</v>
      </c>
      <c r="H702" t="s">
        <v>470</v>
      </c>
      <c r="I702" t="s">
        <v>475</v>
      </c>
      <c r="J702">
        <v>1168</v>
      </c>
    </row>
    <row r="703" spans="1:10">
      <c r="A703" s="90" t="s">
        <v>216</v>
      </c>
      <c r="B703" s="87">
        <v>45824</v>
      </c>
      <c r="C703" t="s">
        <v>2729</v>
      </c>
      <c r="D703" t="s">
        <v>2110</v>
      </c>
      <c r="E703" t="s">
        <v>1667</v>
      </c>
      <c r="F703" t="s">
        <v>741</v>
      </c>
      <c r="G703" t="s">
        <v>259</v>
      </c>
      <c r="H703" t="s">
        <v>470</v>
      </c>
      <c r="I703" t="s">
        <v>475</v>
      </c>
      <c r="J703">
        <v>1243.96</v>
      </c>
    </row>
    <row r="704" spans="1:10">
      <c r="A704" s="90" t="s">
        <v>216</v>
      </c>
      <c r="B704" s="87">
        <v>45824</v>
      </c>
      <c r="C704" t="s">
        <v>2729</v>
      </c>
      <c r="D704" t="s">
        <v>2110</v>
      </c>
      <c r="E704" t="s">
        <v>1667</v>
      </c>
      <c r="F704" t="s">
        <v>741</v>
      </c>
      <c r="G704" t="s">
        <v>71</v>
      </c>
      <c r="H704" t="s">
        <v>470</v>
      </c>
      <c r="I704" t="s">
        <v>475</v>
      </c>
      <c r="J704">
        <v>11.24</v>
      </c>
    </row>
    <row r="705" spans="1:10">
      <c r="A705" s="90" t="s">
        <v>216</v>
      </c>
      <c r="B705" s="87">
        <v>45824</v>
      </c>
      <c r="C705" t="s">
        <v>2730</v>
      </c>
      <c r="D705" t="s">
        <v>2110</v>
      </c>
      <c r="E705" t="s">
        <v>1667</v>
      </c>
      <c r="F705" t="s">
        <v>741</v>
      </c>
      <c r="G705" t="s">
        <v>259</v>
      </c>
      <c r="H705" t="s">
        <v>470</v>
      </c>
      <c r="I705" t="s">
        <v>475</v>
      </c>
      <c r="J705">
        <v>1169.5999999999999</v>
      </c>
    </row>
    <row r="706" spans="1:10">
      <c r="A706" s="90" t="s">
        <v>216</v>
      </c>
      <c r="B706" s="87">
        <v>45824</v>
      </c>
      <c r="C706" t="s">
        <v>2731</v>
      </c>
      <c r="D706" t="s">
        <v>2110</v>
      </c>
      <c r="E706" t="s">
        <v>1667</v>
      </c>
      <c r="F706" t="s">
        <v>741</v>
      </c>
      <c r="G706" t="s">
        <v>259</v>
      </c>
      <c r="H706" t="s">
        <v>470</v>
      </c>
      <c r="I706" t="s">
        <v>475</v>
      </c>
      <c r="J706">
        <v>847.76</v>
      </c>
    </row>
    <row r="707" spans="1:10">
      <c r="A707" s="90" t="s">
        <v>216</v>
      </c>
      <c r="B707" s="87">
        <v>45824</v>
      </c>
      <c r="C707" t="s">
        <v>2731</v>
      </c>
      <c r="D707" t="s">
        <v>2110</v>
      </c>
      <c r="E707" t="s">
        <v>1667</v>
      </c>
      <c r="F707" t="s">
        <v>741</v>
      </c>
      <c r="G707" t="s">
        <v>71</v>
      </c>
      <c r="H707" t="s">
        <v>470</v>
      </c>
      <c r="I707" t="s">
        <v>475</v>
      </c>
      <c r="J707">
        <v>7.04</v>
      </c>
    </row>
    <row r="708" spans="1:10">
      <c r="A708" s="90" t="s">
        <v>216</v>
      </c>
      <c r="B708" s="87">
        <v>45824</v>
      </c>
      <c r="C708" t="s">
        <v>2275</v>
      </c>
      <c r="D708" t="s">
        <v>2110</v>
      </c>
      <c r="E708" t="s">
        <v>477</v>
      </c>
      <c r="F708" t="s">
        <v>741</v>
      </c>
      <c r="G708" t="s">
        <v>74</v>
      </c>
      <c r="H708" t="s">
        <v>470</v>
      </c>
      <c r="I708" t="s">
        <v>471</v>
      </c>
      <c r="J708">
        <v>10</v>
      </c>
    </row>
    <row r="709" spans="1:10">
      <c r="A709" s="90" t="s">
        <v>216</v>
      </c>
      <c r="B709" s="87">
        <v>45824</v>
      </c>
      <c r="C709" t="s">
        <v>511</v>
      </c>
      <c r="D709" t="s">
        <v>2110</v>
      </c>
      <c r="E709" t="s">
        <v>512</v>
      </c>
      <c r="F709" t="s">
        <v>741</v>
      </c>
      <c r="G709" t="s">
        <v>474</v>
      </c>
      <c r="H709" t="s">
        <v>470</v>
      </c>
      <c r="I709" t="s">
        <v>475</v>
      </c>
      <c r="J709">
        <v>8212.41</v>
      </c>
    </row>
    <row r="710" spans="1:10">
      <c r="A710" s="90" t="s">
        <v>216</v>
      </c>
      <c r="B710" s="87">
        <v>45825</v>
      </c>
      <c r="C710" t="s">
        <v>2732</v>
      </c>
      <c r="D710" t="s">
        <v>2110</v>
      </c>
      <c r="E710" t="s">
        <v>2564</v>
      </c>
      <c r="F710" t="s">
        <v>2733</v>
      </c>
      <c r="G710" t="s">
        <v>251</v>
      </c>
      <c r="H710" t="s">
        <v>470</v>
      </c>
      <c r="I710" t="s">
        <v>796</v>
      </c>
      <c r="J710">
        <v>164.64</v>
      </c>
    </row>
    <row r="711" spans="1:10">
      <c r="A711" s="90" t="s">
        <v>216</v>
      </c>
      <c r="B711" s="87">
        <v>45825</v>
      </c>
      <c r="C711" t="s">
        <v>2734</v>
      </c>
      <c r="D711" t="s">
        <v>2110</v>
      </c>
      <c r="E711" t="s">
        <v>2277</v>
      </c>
      <c r="F711" t="s">
        <v>2305</v>
      </c>
      <c r="G711" t="s">
        <v>226</v>
      </c>
      <c r="H711" t="s">
        <v>2613</v>
      </c>
      <c r="I711" t="s">
        <v>796</v>
      </c>
      <c r="J711">
        <v>144.36000000000001</v>
      </c>
    </row>
    <row r="712" spans="1:10">
      <c r="A712" s="90" t="s">
        <v>216</v>
      </c>
      <c r="B712" s="87">
        <v>45825</v>
      </c>
      <c r="C712" t="s">
        <v>2735</v>
      </c>
      <c r="D712" t="s">
        <v>2110</v>
      </c>
      <c r="E712" t="s">
        <v>2736</v>
      </c>
      <c r="F712" t="s">
        <v>2737</v>
      </c>
      <c r="G712" t="s">
        <v>2125</v>
      </c>
      <c r="H712" t="s">
        <v>470</v>
      </c>
      <c r="I712" t="s">
        <v>540</v>
      </c>
      <c r="J712">
        <v>12803.7</v>
      </c>
    </row>
    <row r="713" spans="1:10">
      <c r="A713" s="90" t="s">
        <v>216</v>
      </c>
      <c r="B713" s="87">
        <v>45825</v>
      </c>
      <c r="C713" t="s">
        <v>2738</v>
      </c>
      <c r="D713" t="s">
        <v>2110</v>
      </c>
      <c r="E713" t="s">
        <v>2736</v>
      </c>
      <c r="F713" t="s">
        <v>2737</v>
      </c>
      <c r="G713" t="s">
        <v>2125</v>
      </c>
      <c r="H713" t="s">
        <v>470</v>
      </c>
      <c r="I713" t="s">
        <v>540</v>
      </c>
      <c r="J713">
        <v>454.4</v>
      </c>
    </row>
    <row r="714" spans="1:10">
      <c r="A714" s="90" t="s">
        <v>216</v>
      </c>
      <c r="B714" s="87">
        <v>45825</v>
      </c>
      <c r="C714" t="s">
        <v>2739</v>
      </c>
      <c r="D714" t="s">
        <v>2110</v>
      </c>
      <c r="E714" t="s">
        <v>2740</v>
      </c>
      <c r="F714" t="s">
        <v>2741</v>
      </c>
      <c r="G714" t="s">
        <v>2125</v>
      </c>
      <c r="H714" t="s">
        <v>470</v>
      </c>
      <c r="I714" t="s">
        <v>487</v>
      </c>
      <c r="J714">
        <v>6181.56</v>
      </c>
    </row>
    <row r="715" spans="1:10">
      <c r="A715" s="90" t="s">
        <v>216</v>
      </c>
      <c r="B715" s="87">
        <v>45825</v>
      </c>
      <c r="C715" t="s">
        <v>2742</v>
      </c>
      <c r="D715" t="s">
        <v>2110</v>
      </c>
      <c r="E715" t="s">
        <v>1667</v>
      </c>
      <c r="F715" t="s">
        <v>741</v>
      </c>
      <c r="G715" t="s">
        <v>259</v>
      </c>
      <c r="H715" t="s">
        <v>470</v>
      </c>
      <c r="I715" t="s">
        <v>475</v>
      </c>
      <c r="J715">
        <v>1156.2</v>
      </c>
    </row>
    <row r="716" spans="1:10">
      <c r="A716" s="90" t="s">
        <v>216</v>
      </c>
      <c r="B716" s="87">
        <v>45825</v>
      </c>
      <c r="C716" t="s">
        <v>2743</v>
      </c>
      <c r="D716" t="s">
        <v>2110</v>
      </c>
      <c r="E716" t="s">
        <v>2744</v>
      </c>
      <c r="F716" t="s">
        <v>2745</v>
      </c>
      <c r="G716" t="s">
        <v>2125</v>
      </c>
      <c r="H716" t="s">
        <v>470</v>
      </c>
      <c r="I716" t="s">
        <v>487</v>
      </c>
      <c r="J716">
        <v>8568</v>
      </c>
    </row>
    <row r="717" spans="1:10">
      <c r="A717" s="90" t="s">
        <v>216</v>
      </c>
      <c r="B717" s="87">
        <v>45825</v>
      </c>
      <c r="C717" t="s">
        <v>2746</v>
      </c>
      <c r="D717" t="s">
        <v>2110</v>
      </c>
      <c r="E717" t="s">
        <v>2658</v>
      </c>
      <c r="F717" t="s">
        <v>2747</v>
      </c>
      <c r="G717" t="s">
        <v>2125</v>
      </c>
      <c r="H717" t="s">
        <v>470</v>
      </c>
      <c r="I717" t="s">
        <v>487</v>
      </c>
      <c r="J717">
        <v>11774.4</v>
      </c>
    </row>
    <row r="718" spans="1:10">
      <c r="A718" s="90" t="s">
        <v>216</v>
      </c>
      <c r="B718" s="87">
        <v>45825</v>
      </c>
      <c r="C718" t="s">
        <v>2748</v>
      </c>
      <c r="D718" t="s">
        <v>2110</v>
      </c>
      <c r="E718" t="s">
        <v>2660</v>
      </c>
      <c r="F718" t="s">
        <v>2749</v>
      </c>
      <c r="G718" t="s">
        <v>2125</v>
      </c>
      <c r="H718" t="s">
        <v>470</v>
      </c>
      <c r="I718" t="s">
        <v>487</v>
      </c>
      <c r="J718">
        <v>12055</v>
      </c>
    </row>
    <row r="719" spans="1:10">
      <c r="A719" s="90" t="s">
        <v>216</v>
      </c>
      <c r="B719" s="87">
        <v>45825</v>
      </c>
      <c r="C719" t="s">
        <v>2750</v>
      </c>
      <c r="D719" t="s">
        <v>2110</v>
      </c>
      <c r="E719" t="s">
        <v>1667</v>
      </c>
      <c r="F719" t="s">
        <v>741</v>
      </c>
      <c r="G719" t="s">
        <v>259</v>
      </c>
      <c r="H719" t="s">
        <v>470</v>
      </c>
      <c r="I719" t="s">
        <v>475</v>
      </c>
      <c r="J719">
        <v>1225.8</v>
      </c>
    </row>
    <row r="720" spans="1:10">
      <c r="A720" s="90" t="s">
        <v>216</v>
      </c>
      <c r="B720" s="87">
        <v>45825</v>
      </c>
      <c r="C720" t="s">
        <v>2454</v>
      </c>
      <c r="D720" t="s">
        <v>2110</v>
      </c>
      <c r="E720" t="s">
        <v>480</v>
      </c>
      <c r="F720" t="s">
        <v>741</v>
      </c>
      <c r="G720" t="s">
        <v>71</v>
      </c>
      <c r="H720" t="s">
        <v>470</v>
      </c>
      <c r="I720" t="s">
        <v>475</v>
      </c>
      <c r="J720">
        <v>5000</v>
      </c>
    </row>
    <row r="721" spans="1:10">
      <c r="A721" s="90" t="s">
        <v>216</v>
      </c>
      <c r="B721" s="87">
        <v>45825</v>
      </c>
      <c r="C721" t="s">
        <v>2275</v>
      </c>
      <c r="D721" t="s">
        <v>2110</v>
      </c>
      <c r="E721" t="s">
        <v>477</v>
      </c>
      <c r="F721" t="s">
        <v>741</v>
      </c>
      <c r="G721" t="s">
        <v>74</v>
      </c>
      <c r="H721" t="s">
        <v>470</v>
      </c>
      <c r="I721" t="s">
        <v>471</v>
      </c>
      <c r="J721">
        <v>50</v>
      </c>
    </row>
    <row r="722" spans="1:10">
      <c r="A722" s="90" t="s">
        <v>216</v>
      </c>
      <c r="B722" s="87">
        <v>45825</v>
      </c>
      <c r="C722" t="s">
        <v>511</v>
      </c>
      <c r="D722" t="s">
        <v>2110</v>
      </c>
      <c r="E722" t="s">
        <v>512</v>
      </c>
      <c r="F722" t="s">
        <v>741</v>
      </c>
      <c r="G722" t="s">
        <v>474</v>
      </c>
      <c r="H722" t="s">
        <v>470</v>
      </c>
      <c r="I722" t="s">
        <v>475</v>
      </c>
      <c r="J722">
        <v>62296.56</v>
      </c>
    </row>
    <row r="723" spans="1:10">
      <c r="A723" s="90" t="s">
        <v>216</v>
      </c>
      <c r="B723" s="87">
        <v>45825</v>
      </c>
      <c r="C723" t="s">
        <v>2751</v>
      </c>
      <c r="D723" t="s">
        <v>2110</v>
      </c>
      <c r="E723" t="s">
        <v>2752</v>
      </c>
      <c r="F723" t="s">
        <v>741</v>
      </c>
      <c r="G723" t="s">
        <v>194</v>
      </c>
      <c r="H723" t="s">
        <v>470</v>
      </c>
      <c r="I723" t="s">
        <v>487</v>
      </c>
      <c r="J723">
        <v>2718.5</v>
      </c>
    </row>
    <row r="724" spans="1:10">
      <c r="A724" s="90" t="s">
        <v>216</v>
      </c>
      <c r="B724" s="87">
        <v>45826</v>
      </c>
      <c r="C724" t="s">
        <v>2753</v>
      </c>
      <c r="D724" t="s">
        <v>2110</v>
      </c>
      <c r="E724" t="s">
        <v>2740</v>
      </c>
      <c r="F724" t="s">
        <v>2741</v>
      </c>
      <c r="G724" t="s">
        <v>2125</v>
      </c>
      <c r="H724" t="s">
        <v>470</v>
      </c>
      <c r="I724" t="s">
        <v>487</v>
      </c>
      <c r="J724">
        <v>2584.2399999999998</v>
      </c>
    </row>
    <row r="725" spans="1:10">
      <c r="A725" s="90" t="s">
        <v>216</v>
      </c>
      <c r="B725" s="87">
        <v>45826</v>
      </c>
      <c r="C725" t="s">
        <v>2275</v>
      </c>
      <c r="D725" t="s">
        <v>2110</v>
      </c>
      <c r="E725" t="s">
        <v>477</v>
      </c>
      <c r="F725" t="s">
        <v>741</v>
      </c>
      <c r="G725" t="s">
        <v>74</v>
      </c>
      <c r="H725" t="s">
        <v>470</v>
      </c>
      <c r="I725" t="s">
        <v>471</v>
      </c>
      <c r="J725">
        <v>10</v>
      </c>
    </row>
    <row r="726" spans="1:10">
      <c r="A726" s="90" t="s">
        <v>216</v>
      </c>
      <c r="B726" s="87">
        <v>45826</v>
      </c>
      <c r="C726" t="s">
        <v>511</v>
      </c>
      <c r="D726" t="s">
        <v>2110</v>
      </c>
      <c r="E726" t="s">
        <v>512</v>
      </c>
      <c r="F726" t="s">
        <v>741</v>
      </c>
      <c r="G726" t="s">
        <v>474</v>
      </c>
      <c r="H726" t="s">
        <v>470</v>
      </c>
      <c r="I726" t="s">
        <v>475</v>
      </c>
      <c r="J726">
        <v>3517.83</v>
      </c>
    </row>
    <row r="727" spans="1:10">
      <c r="A727" s="90" t="s">
        <v>216</v>
      </c>
      <c r="B727" s="87">
        <v>45828</v>
      </c>
      <c r="C727" t="s">
        <v>2754</v>
      </c>
      <c r="D727" t="s">
        <v>2110</v>
      </c>
      <c r="E727" t="s">
        <v>1285</v>
      </c>
      <c r="F727" t="s">
        <v>771</v>
      </c>
      <c r="G727" t="s">
        <v>2112</v>
      </c>
      <c r="H727" t="s">
        <v>470</v>
      </c>
      <c r="I727" t="s">
        <v>487</v>
      </c>
      <c r="J727">
        <v>58736.68</v>
      </c>
    </row>
    <row r="728" spans="1:10">
      <c r="A728" s="90" t="s">
        <v>216</v>
      </c>
      <c r="B728" s="87">
        <v>45828</v>
      </c>
      <c r="C728" t="s">
        <v>2755</v>
      </c>
      <c r="D728" t="s">
        <v>2110</v>
      </c>
      <c r="E728" t="s">
        <v>1285</v>
      </c>
      <c r="F728" t="s">
        <v>769</v>
      </c>
      <c r="G728" t="s">
        <v>2112</v>
      </c>
      <c r="H728" t="s">
        <v>470</v>
      </c>
      <c r="I728" t="s">
        <v>487</v>
      </c>
      <c r="J728">
        <v>20347.68</v>
      </c>
    </row>
    <row r="729" spans="1:10">
      <c r="A729" s="90" t="s">
        <v>216</v>
      </c>
      <c r="B729" s="87">
        <v>45828</v>
      </c>
      <c r="C729" t="s">
        <v>2756</v>
      </c>
      <c r="D729" t="s">
        <v>2110</v>
      </c>
      <c r="E729" t="s">
        <v>1285</v>
      </c>
      <c r="F729" t="s">
        <v>775</v>
      </c>
      <c r="G729" t="s">
        <v>2112</v>
      </c>
      <c r="H729" t="s">
        <v>470</v>
      </c>
      <c r="I729" t="s">
        <v>487</v>
      </c>
      <c r="J729">
        <v>47616.33</v>
      </c>
    </row>
    <row r="730" spans="1:10">
      <c r="A730" s="90" t="s">
        <v>216</v>
      </c>
      <c r="B730" s="87">
        <v>45828</v>
      </c>
      <c r="C730" t="s">
        <v>2757</v>
      </c>
      <c r="D730" t="s">
        <v>2110</v>
      </c>
      <c r="E730" t="s">
        <v>970</v>
      </c>
      <c r="F730" t="s">
        <v>254</v>
      </c>
      <c r="G730" t="s">
        <v>2381</v>
      </c>
      <c r="H730" t="s">
        <v>470</v>
      </c>
      <c r="I730" t="s">
        <v>475</v>
      </c>
      <c r="J730">
        <v>757.2</v>
      </c>
    </row>
    <row r="731" spans="1:10">
      <c r="A731" s="90" t="s">
        <v>216</v>
      </c>
      <c r="B731" s="87">
        <v>45828</v>
      </c>
      <c r="C731" t="s">
        <v>2758</v>
      </c>
      <c r="D731" t="s">
        <v>2110</v>
      </c>
      <c r="E731" t="s">
        <v>2117</v>
      </c>
      <c r="F731" t="s">
        <v>252</v>
      </c>
      <c r="G731" t="s">
        <v>2381</v>
      </c>
      <c r="H731" t="s">
        <v>470</v>
      </c>
      <c r="I731" t="s">
        <v>475</v>
      </c>
      <c r="J731">
        <v>485.23</v>
      </c>
    </row>
    <row r="732" spans="1:10">
      <c r="A732" s="90" t="s">
        <v>216</v>
      </c>
      <c r="B732" s="87">
        <v>45828</v>
      </c>
      <c r="C732" t="s">
        <v>2759</v>
      </c>
      <c r="D732" t="s">
        <v>2110</v>
      </c>
      <c r="E732" t="s">
        <v>2744</v>
      </c>
      <c r="F732" t="s">
        <v>2745</v>
      </c>
      <c r="G732" t="s">
        <v>2125</v>
      </c>
      <c r="H732" t="s">
        <v>470</v>
      </c>
      <c r="I732" t="s">
        <v>487</v>
      </c>
      <c r="J732">
        <v>3607</v>
      </c>
    </row>
    <row r="733" spans="1:10">
      <c r="A733" s="90" t="s">
        <v>216</v>
      </c>
      <c r="B733" s="87">
        <v>45828</v>
      </c>
      <c r="C733" t="s">
        <v>2760</v>
      </c>
      <c r="D733" t="s">
        <v>2110</v>
      </c>
      <c r="E733" t="s">
        <v>1667</v>
      </c>
      <c r="F733" t="s">
        <v>2761</v>
      </c>
      <c r="G733" t="s">
        <v>2115</v>
      </c>
      <c r="H733" t="s">
        <v>470</v>
      </c>
      <c r="I733" t="s">
        <v>475</v>
      </c>
      <c r="J733">
        <v>1.65</v>
      </c>
    </row>
    <row r="734" spans="1:10">
      <c r="A734" s="90" t="s">
        <v>216</v>
      </c>
      <c r="B734" s="87">
        <v>45828</v>
      </c>
      <c r="C734" t="s">
        <v>2760</v>
      </c>
      <c r="D734" t="s">
        <v>2110</v>
      </c>
      <c r="E734" t="s">
        <v>1667</v>
      </c>
      <c r="F734" t="s">
        <v>2761</v>
      </c>
      <c r="G734" t="s">
        <v>2115</v>
      </c>
      <c r="H734" t="s">
        <v>470</v>
      </c>
      <c r="I734" t="s">
        <v>475</v>
      </c>
      <c r="J734">
        <v>1535.95</v>
      </c>
    </row>
    <row r="735" spans="1:10">
      <c r="A735" s="90" t="s">
        <v>216</v>
      </c>
      <c r="B735" s="87">
        <v>45828</v>
      </c>
      <c r="C735" t="s">
        <v>2762</v>
      </c>
      <c r="D735" t="s">
        <v>2110</v>
      </c>
      <c r="E735" t="s">
        <v>1667</v>
      </c>
      <c r="F735" t="s">
        <v>741</v>
      </c>
      <c r="G735" t="s">
        <v>259</v>
      </c>
      <c r="H735" t="s">
        <v>470</v>
      </c>
      <c r="I735" t="s">
        <v>475</v>
      </c>
      <c r="J735">
        <v>677.04</v>
      </c>
    </row>
    <row r="736" spans="1:10">
      <c r="A736" s="90" t="s">
        <v>216</v>
      </c>
      <c r="B736" s="87">
        <v>45828</v>
      </c>
      <c r="C736" t="s">
        <v>2762</v>
      </c>
      <c r="D736" t="s">
        <v>2110</v>
      </c>
      <c r="E736" t="s">
        <v>1667</v>
      </c>
      <c r="F736" t="s">
        <v>741</v>
      </c>
      <c r="G736" t="s">
        <v>71</v>
      </c>
      <c r="H736" t="s">
        <v>470</v>
      </c>
      <c r="I736" t="s">
        <v>475</v>
      </c>
      <c r="J736">
        <v>18.96</v>
      </c>
    </row>
    <row r="737" spans="1:10">
      <c r="A737" s="90" t="s">
        <v>216</v>
      </c>
      <c r="B737" s="87">
        <v>45828</v>
      </c>
      <c r="C737" t="s">
        <v>2763</v>
      </c>
      <c r="D737" t="s">
        <v>2110</v>
      </c>
      <c r="E737" t="s">
        <v>477</v>
      </c>
      <c r="F737" t="s">
        <v>2311</v>
      </c>
      <c r="G737" t="s">
        <v>515</v>
      </c>
      <c r="H737" t="s">
        <v>2764</v>
      </c>
      <c r="I737" t="s">
        <v>471</v>
      </c>
      <c r="J737">
        <v>55555.56</v>
      </c>
    </row>
    <row r="738" spans="1:10">
      <c r="A738" s="90" t="s">
        <v>216</v>
      </c>
      <c r="B738" s="87">
        <v>45828</v>
      </c>
      <c r="C738" t="s">
        <v>2763</v>
      </c>
      <c r="D738" t="s">
        <v>2110</v>
      </c>
      <c r="E738" t="s">
        <v>477</v>
      </c>
      <c r="F738" t="s">
        <v>2311</v>
      </c>
      <c r="G738" t="s">
        <v>69</v>
      </c>
      <c r="H738" t="s">
        <v>2764</v>
      </c>
      <c r="I738" t="s">
        <v>471</v>
      </c>
      <c r="J738">
        <v>3398.52</v>
      </c>
    </row>
    <row r="739" spans="1:10">
      <c r="A739" s="90" t="s">
        <v>216</v>
      </c>
      <c r="B739" s="87">
        <v>45828</v>
      </c>
      <c r="C739" t="s">
        <v>2275</v>
      </c>
      <c r="D739" t="s">
        <v>2110</v>
      </c>
      <c r="E739" t="s">
        <v>477</v>
      </c>
      <c r="F739" t="s">
        <v>741</v>
      </c>
      <c r="G739" t="s">
        <v>74</v>
      </c>
      <c r="H739" t="s">
        <v>470</v>
      </c>
      <c r="I739" t="s">
        <v>471</v>
      </c>
      <c r="J739">
        <v>20</v>
      </c>
    </row>
    <row r="740" spans="1:10">
      <c r="A740" s="90" t="s">
        <v>216</v>
      </c>
      <c r="B740" s="87">
        <v>45828</v>
      </c>
      <c r="C740" t="s">
        <v>511</v>
      </c>
      <c r="D740" t="s">
        <v>2110</v>
      </c>
      <c r="E740" t="s">
        <v>512</v>
      </c>
      <c r="F740" t="s">
        <v>741</v>
      </c>
      <c r="G740" t="s">
        <v>474</v>
      </c>
      <c r="H740" t="s">
        <v>470</v>
      </c>
      <c r="I740" t="s">
        <v>475</v>
      </c>
      <c r="J740">
        <v>191515.37</v>
      </c>
    </row>
    <row r="741" spans="1:10">
      <c r="A741" s="90" t="s">
        <v>216</v>
      </c>
      <c r="B741" s="87">
        <v>45828</v>
      </c>
      <c r="C741" t="s">
        <v>2765</v>
      </c>
      <c r="D741" t="s">
        <v>2110</v>
      </c>
      <c r="E741" t="s">
        <v>1285</v>
      </c>
      <c r="F741" t="s">
        <v>258</v>
      </c>
      <c r="G741" t="s">
        <v>2381</v>
      </c>
      <c r="H741" t="s">
        <v>470</v>
      </c>
      <c r="I741" t="s">
        <v>475</v>
      </c>
      <c r="J741">
        <v>1734.75</v>
      </c>
    </row>
    <row r="742" spans="1:10">
      <c r="A742" s="90" t="s">
        <v>216</v>
      </c>
      <c r="B742" s="87">
        <v>45828</v>
      </c>
      <c r="C742" t="s">
        <v>2766</v>
      </c>
      <c r="D742" t="s">
        <v>2110</v>
      </c>
      <c r="E742" t="s">
        <v>2318</v>
      </c>
      <c r="F742" t="s">
        <v>2767</v>
      </c>
      <c r="G742" t="s">
        <v>64</v>
      </c>
      <c r="H742" t="s">
        <v>2613</v>
      </c>
      <c r="I742" t="s">
        <v>475</v>
      </c>
      <c r="J742">
        <v>895.89</v>
      </c>
    </row>
    <row r="743" spans="1:10">
      <c r="A743" s="90" t="s">
        <v>216</v>
      </c>
      <c r="B743" s="87">
        <v>45831</v>
      </c>
      <c r="C743" t="s">
        <v>2768</v>
      </c>
      <c r="D743" t="s">
        <v>2110</v>
      </c>
      <c r="E743" t="s">
        <v>2316</v>
      </c>
      <c r="F743" t="s">
        <v>741</v>
      </c>
      <c r="G743" t="s">
        <v>217</v>
      </c>
      <c r="H743" t="s">
        <v>2678</v>
      </c>
      <c r="I743" t="s">
        <v>796</v>
      </c>
      <c r="J743">
        <v>102.75</v>
      </c>
    </row>
    <row r="744" spans="1:10">
      <c r="A744" s="90" t="s">
        <v>216</v>
      </c>
      <c r="B744" s="87">
        <v>45831</v>
      </c>
      <c r="C744" t="s">
        <v>2769</v>
      </c>
      <c r="D744" t="s">
        <v>2110</v>
      </c>
      <c r="E744" t="s">
        <v>2658</v>
      </c>
      <c r="F744" t="s">
        <v>2770</v>
      </c>
      <c r="G744" t="s">
        <v>2125</v>
      </c>
      <c r="H744" t="s">
        <v>470</v>
      </c>
      <c r="I744" t="s">
        <v>487</v>
      </c>
      <c r="J744">
        <v>12585</v>
      </c>
    </row>
    <row r="745" spans="1:10">
      <c r="A745" s="90" t="s">
        <v>216</v>
      </c>
      <c r="B745" s="87">
        <v>45831</v>
      </c>
      <c r="C745" t="s">
        <v>2771</v>
      </c>
      <c r="D745" t="s">
        <v>2110</v>
      </c>
      <c r="E745" t="s">
        <v>2148</v>
      </c>
      <c r="F745" t="s">
        <v>2772</v>
      </c>
      <c r="G745" t="s">
        <v>2125</v>
      </c>
      <c r="H745" t="s">
        <v>470</v>
      </c>
      <c r="I745" t="s">
        <v>487</v>
      </c>
      <c r="J745">
        <v>4920</v>
      </c>
    </row>
    <row r="746" spans="1:10">
      <c r="A746" s="90" t="s">
        <v>216</v>
      </c>
      <c r="B746" s="87">
        <v>45831</v>
      </c>
      <c r="C746" t="s">
        <v>2773</v>
      </c>
      <c r="D746" t="s">
        <v>2110</v>
      </c>
      <c r="E746" t="s">
        <v>2148</v>
      </c>
      <c r="F746" t="s">
        <v>2772</v>
      </c>
      <c r="G746" t="s">
        <v>2125</v>
      </c>
      <c r="H746" t="s">
        <v>470</v>
      </c>
      <c r="I746" t="s">
        <v>487</v>
      </c>
      <c r="J746">
        <v>8.08</v>
      </c>
    </row>
    <row r="747" spans="1:10">
      <c r="A747" s="90" t="s">
        <v>216</v>
      </c>
      <c r="B747" s="87">
        <v>45831</v>
      </c>
      <c r="C747" t="s">
        <v>2773</v>
      </c>
      <c r="D747" t="s">
        <v>2110</v>
      </c>
      <c r="E747" t="s">
        <v>2148</v>
      </c>
      <c r="F747" t="s">
        <v>2772</v>
      </c>
      <c r="G747" t="s">
        <v>2125</v>
      </c>
      <c r="H747" t="s">
        <v>470</v>
      </c>
      <c r="I747" t="s">
        <v>487</v>
      </c>
      <c r="J747">
        <v>2072.0300000000002</v>
      </c>
    </row>
    <row r="748" spans="1:10">
      <c r="A748" s="90" t="s">
        <v>216</v>
      </c>
      <c r="B748" s="87">
        <v>45831</v>
      </c>
      <c r="C748" t="s">
        <v>2275</v>
      </c>
      <c r="D748" t="s">
        <v>2110</v>
      </c>
      <c r="E748" t="s">
        <v>477</v>
      </c>
      <c r="F748" t="s">
        <v>741</v>
      </c>
      <c r="G748" t="s">
        <v>74</v>
      </c>
      <c r="H748" t="s">
        <v>470</v>
      </c>
      <c r="I748" t="s">
        <v>471</v>
      </c>
      <c r="J748">
        <v>30</v>
      </c>
    </row>
    <row r="749" spans="1:10">
      <c r="A749" s="90" t="s">
        <v>216</v>
      </c>
      <c r="B749" s="87">
        <v>45831</v>
      </c>
      <c r="C749" t="s">
        <v>511</v>
      </c>
      <c r="D749" t="s">
        <v>2110</v>
      </c>
      <c r="E749" t="s">
        <v>512</v>
      </c>
      <c r="F749" t="s">
        <v>741</v>
      </c>
      <c r="G749" t="s">
        <v>474</v>
      </c>
      <c r="H749" t="s">
        <v>470</v>
      </c>
      <c r="I749" t="s">
        <v>475</v>
      </c>
      <c r="J749">
        <v>19717.87</v>
      </c>
    </row>
    <row r="750" spans="1:10">
      <c r="A750" s="90" t="s">
        <v>216</v>
      </c>
      <c r="B750" s="87">
        <v>45832</v>
      </c>
      <c r="C750" t="s">
        <v>2774</v>
      </c>
      <c r="D750" t="s">
        <v>2110</v>
      </c>
      <c r="E750" t="s">
        <v>1667</v>
      </c>
      <c r="F750" t="s">
        <v>2775</v>
      </c>
      <c r="G750" t="s">
        <v>2115</v>
      </c>
      <c r="H750" t="s">
        <v>470</v>
      </c>
      <c r="I750" t="s">
        <v>475</v>
      </c>
      <c r="J750">
        <v>1077.7</v>
      </c>
    </row>
    <row r="751" spans="1:10">
      <c r="A751" s="90" t="s">
        <v>216</v>
      </c>
      <c r="B751" s="87">
        <v>45832</v>
      </c>
      <c r="C751" t="s">
        <v>2774</v>
      </c>
      <c r="D751" t="s">
        <v>2110</v>
      </c>
      <c r="E751" t="s">
        <v>1667</v>
      </c>
      <c r="F751" t="s">
        <v>2775</v>
      </c>
      <c r="G751" t="s">
        <v>71</v>
      </c>
      <c r="H751" t="s">
        <v>470</v>
      </c>
      <c r="I751" t="s">
        <v>475</v>
      </c>
      <c r="J751">
        <v>34.799999999999997</v>
      </c>
    </row>
    <row r="752" spans="1:10">
      <c r="A752" s="90" t="s">
        <v>216</v>
      </c>
      <c r="B752" s="87">
        <v>45832</v>
      </c>
      <c r="C752" t="s">
        <v>511</v>
      </c>
      <c r="D752" t="s">
        <v>2110</v>
      </c>
      <c r="E752" t="s">
        <v>512</v>
      </c>
      <c r="F752" t="s">
        <v>741</v>
      </c>
      <c r="G752" t="s">
        <v>474</v>
      </c>
      <c r="H752" t="s">
        <v>470</v>
      </c>
      <c r="I752" t="s">
        <v>475</v>
      </c>
      <c r="J752">
        <v>1112.5</v>
      </c>
    </row>
    <row r="753" spans="1:10">
      <c r="A753" s="90" t="s">
        <v>216</v>
      </c>
      <c r="B753" s="87">
        <v>45833</v>
      </c>
      <c r="C753" t="s">
        <v>2776</v>
      </c>
      <c r="D753" t="s">
        <v>2110</v>
      </c>
      <c r="E753" t="s">
        <v>2338</v>
      </c>
      <c r="F753" t="s">
        <v>706</v>
      </c>
      <c r="G753" t="s">
        <v>269</v>
      </c>
      <c r="H753" t="s">
        <v>470</v>
      </c>
      <c r="I753" t="s">
        <v>796</v>
      </c>
      <c r="J753">
        <v>3783.28</v>
      </c>
    </row>
    <row r="754" spans="1:10">
      <c r="A754" s="90" t="s">
        <v>216</v>
      </c>
      <c r="B754" s="87">
        <v>45833</v>
      </c>
      <c r="C754" t="s">
        <v>2777</v>
      </c>
      <c r="D754" t="s">
        <v>2110</v>
      </c>
      <c r="E754" t="s">
        <v>1002</v>
      </c>
      <c r="F754" t="s">
        <v>569</v>
      </c>
      <c r="G754" t="s">
        <v>223</v>
      </c>
      <c r="H754" t="s">
        <v>470</v>
      </c>
      <c r="I754" t="s">
        <v>796</v>
      </c>
      <c r="J754">
        <v>2147.6</v>
      </c>
    </row>
    <row r="755" spans="1:10">
      <c r="A755" s="90" t="s">
        <v>216</v>
      </c>
      <c r="B755" s="87">
        <v>45833</v>
      </c>
      <c r="C755" t="s">
        <v>2454</v>
      </c>
      <c r="D755" t="s">
        <v>2110</v>
      </c>
      <c r="E755" t="s">
        <v>480</v>
      </c>
      <c r="F755" t="s">
        <v>741</v>
      </c>
      <c r="G755" t="s">
        <v>71</v>
      </c>
      <c r="H755" t="s">
        <v>470</v>
      </c>
      <c r="I755" t="s">
        <v>475</v>
      </c>
      <c r="J755">
        <v>10000</v>
      </c>
    </row>
    <row r="756" spans="1:10">
      <c r="A756" s="90" t="s">
        <v>216</v>
      </c>
      <c r="B756" s="87">
        <v>45833</v>
      </c>
      <c r="C756" t="s">
        <v>2275</v>
      </c>
      <c r="D756" t="s">
        <v>2110</v>
      </c>
      <c r="E756" t="s">
        <v>477</v>
      </c>
      <c r="F756" t="s">
        <v>741</v>
      </c>
      <c r="G756" t="s">
        <v>74</v>
      </c>
      <c r="H756" t="s">
        <v>470</v>
      </c>
      <c r="I756" t="s">
        <v>471</v>
      </c>
      <c r="J756">
        <v>6.5</v>
      </c>
    </row>
    <row r="757" spans="1:10">
      <c r="A757" s="90" t="s">
        <v>216</v>
      </c>
      <c r="B757" s="87">
        <v>45833</v>
      </c>
      <c r="C757" t="s">
        <v>511</v>
      </c>
      <c r="D757" t="s">
        <v>2110</v>
      </c>
      <c r="E757" t="s">
        <v>512</v>
      </c>
      <c r="F757" t="s">
        <v>741</v>
      </c>
      <c r="G757" t="s">
        <v>474</v>
      </c>
      <c r="H757" t="s">
        <v>470</v>
      </c>
      <c r="I757" t="s">
        <v>475</v>
      </c>
      <c r="J757">
        <v>15937.38</v>
      </c>
    </row>
    <row r="758" spans="1:10">
      <c r="A758" s="90" t="s">
        <v>216</v>
      </c>
      <c r="B758" s="87">
        <v>45834</v>
      </c>
      <c r="C758" t="s">
        <v>2778</v>
      </c>
      <c r="D758" t="s">
        <v>2110</v>
      </c>
      <c r="E758" t="s">
        <v>477</v>
      </c>
      <c r="F758" t="s">
        <v>2325</v>
      </c>
      <c r="G758" t="s">
        <v>515</v>
      </c>
      <c r="H758" t="s">
        <v>2779</v>
      </c>
      <c r="I758" t="s">
        <v>471</v>
      </c>
      <c r="J758">
        <v>33666.57</v>
      </c>
    </row>
    <row r="759" spans="1:10">
      <c r="A759" s="90" t="s">
        <v>216</v>
      </c>
      <c r="B759" s="87">
        <v>45834</v>
      </c>
      <c r="C759" t="s">
        <v>2778</v>
      </c>
      <c r="D759" t="s">
        <v>2110</v>
      </c>
      <c r="E759" t="s">
        <v>477</v>
      </c>
      <c r="F759" t="s">
        <v>2325</v>
      </c>
      <c r="G759" t="s">
        <v>69</v>
      </c>
      <c r="H759" t="s">
        <v>2779</v>
      </c>
      <c r="I759" t="s">
        <v>471</v>
      </c>
      <c r="J759">
        <v>6818.72</v>
      </c>
    </row>
    <row r="760" spans="1:10">
      <c r="A760" s="90" t="s">
        <v>216</v>
      </c>
      <c r="B760" s="87">
        <v>45834</v>
      </c>
      <c r="C760" t="s">
        <v>2275</v>
      </c>
      <c r="D760" t="s">
        <v>2110</v>
      </c>
      <c r="E760" t="s">
        <v>477</v>
      </c>
      <c r="F760" t="s">
        <v>741</v>
      </c>
      <c r="G760" t="s">
        <v>74</v>
      </c>
      <c r="H760" t="s">
        <v>470</v>
      </c>
      <c r="I760" t="s">
        <v>471</v>
      </c>
      <c r="J760">
        <v>20</v>
      </c>
    </row>
    <row r="761" spans="1:10">
      <c r="A761" s="90" t="s">
        <v>216</v>
      </c>
      <c r="B761" s="87">
        <v>45834</v>
      </c>
      <c r="C761" t="s">
        <v>511</v>
      </c>
      <c r="D761" t="s">
        <v>2110</v>
      </c>
      <c r="E761" t="s">
        <v>512</v>
      </c>
      <c r="F761" t="s">
        <v>741</v>
      </c>
      <c r="G761" t="s">
        <v>474</v>
      </c>
      <c r="H761" t="s">
        <v>470</v>
      </c>
      <c r="I761" t="s">
        <v>475</v>
      </c>
      <c r="J761">
        <v>160153.14000000001</v>
      </c>
    </row>
    <row r="762" spans="1:10">
      <c r="A762" s="90" t="s">
        <v>216</v>
      </c>
      <c r="B762" s="87">
        <v>45835</v>
      </c>
      <c r="C762" t="s">
        <v>2780</v>
      </c>
      <c r="D762" t="s">
        <v>2110</v>
      </c>
      <c r="E762" t="s">
        <v>812</v>
      </c>
      <c r="F762" t="s">
        <v>263</v>
      </c>
      <c r="G762" t="s">
        <v>2213</v>
      </c>
      <c r="H762" t="s">
        <v>470</v>
      </c>
      <c r="I762" t="s">
        <v>796</v>
      </c>
      <c r="J762">
        <v>72482.86</v>
      </c>
    </row>
    <row r="763" spans="1:10">
      <c r="A763" s="90" t="s">
        <v>216</v>
      </c>
      <c r="B763" s="87">
        <v>45835</v>
      </c>
      <c r="C763" t="s">
        <v>517</v>
      </c>
      <c r="D763" t="s">
        <v>2110</v>
      </c>
      <c r="E763" t="s">
        <v>512</v>
      </c>
      <c r="F763" t="s">
        <v>741</v>
      </c>
      <c r="G763" t="s">
        <v>474</v>
      </c>
      <c r="H763" t="s">
        <v>470</v>
      </c>
      <c r="I763" t="s">
        <v>475</v>
      </c>
      <c r="J763">
        <v>15054.94</v>
      </c>
    </row>
    <row r="764" spans="1:10">
      <c r="A764" s="90" t="s">
        <v>216</v>
      </c>
      <c r="B764" s="87">
        <v>45838</v>
      </c>
      <c r="C764" t="s">
        <v>2781</v>
      </c>
      <c r="D764" t="s">
        <v>2110</v>
      </c>
      <c r="E764" t="s">
        <v>2300</v>
      </c>
      <c r="F764" t="s">
        <v>741</v>
      </c>
      <c r="G764" t="s">
        <v>220</v>
      </c>
      <c r="H764" t="s">
        <v>2782</v>
      </c>
      <c r="I764" t="s">
        <v>796</v>
      </c>
      <c r="J764">
        <v>2950.52</v>
      </c>
    </row>
    <row r="765" spans="1:10">
      <c r="A765" s="90" t="s">
        <v>216</v>
      </c>
      <c r="B765" s="87">
        <v>45838</v>
      </c>
      <c r="C765" t="s">
        <v>2783</v>
      </c>
      <c r="D765" t="s">
        <v>2110</v>
      </c>
      <c r="E765" t="s">
        <v>477</v>
      </c>
      <c r="F765" t="s">
        <v>741</v>
      </c>
      <c r="G765" t="s">
        <v>232</v>
      </c>
      <c r="H765" t="s">
        <v>470</v>
      </c>
      <c r="I765" t="s">
        <v>796</v>
      </c>
      <c r="J765">
        <v>1935</v>
      </c>
    </row>
    <row r="766" spans="1:10">
      <c r="A766" s="90" t="s">
        <v>216</v>
      </c>
      <c r="B766" s="87">
        <v>45838</v>
      </c>
      <c r="C766" t="s">
        <v>2783</v>
      </c>
      <c r="D766" t="s">
        <v>2110</v>
      </c>
      <c r="E766" t="s">
        <v>477</v>
      </c>
      <c r="F766" t="s">
        <v>741</v>
      </c>
      <c r="G766" t="s">
        <v>74</v>
      </c>
      <c r="H766" t="s">
        <v>470</v>
      </c>
      <c r="I766" t="s">
        <v>796</v>
      </c>
      <c r="J766">
        <v>3</v>
      </c>
    </row>
    <row r="767" spans="1:10">
      <c r="A767" s="90" t="s">
        <v>216</v>
      </c>
      <c r="B767" s="87">
        <v>45838</v>
      </c>
      <c r="C767" t="s">
        <v>2784</v>
      </c>
      <c r="D767" t="s">
        <v>2110</v>
      </c>
      <c r="E767" t="s">
        <v>480</v>
      </c>
      <c r="F767" t="s">
        <v>741</v>
      </c>
      <c r="G767" t="s">
        <v>71</v>
      </c>
      <c r="H767" t="s">
        <v>2678</v>
      </c>
      <c r="I767" t="s">
        <v>475</v>
      </c>
      <c r="J767">
        <v>2314</v>
      </c>
    </row>
    <row r="768" spans="1:10">
      <c r="A768" s="90" t="s">
        <v>216</v>
      </c>
      <c r="B768" s="87">
        <v>45838</v>
      </c>
      <c r="C768" t="s">
        <v>2785</v>
      </c>
      <c r="D768" t="s">
        <v>2110</v>
      </c>
      <c r="E768" t="s">
        <v>1137</v>
      </c>
      <c r="F768" t="s">
        <v>2786</v>
      </c>
      <c r="G768" t="s">
        <v>61</v>
      </c>
      <c r="H768" t="s">
        <v>2678</v>
      </c>
      <c r="I768" t="s">
        <v>487</v>
      </c>
      <c r="J768">
        <v>1698</v>
      </c>
    </row>
    <row r="769" spans="1:10">
      <c r="A769" s="90" t="s">
        <v>216</v>
      </c>
      <c r="B769" s="87">
        <v>45838</v>
      </c>
      <c r="C769" t="s">
        <v>2787</v>
      </c>
      <c r="D769" t="s">
        <v>2110</v>
      </c>
      <c r="E769" t="s">
        <v>2300</v>
      </c>
      <c r="F769" t="s">
        <v>741</v>
      </c>
      <c r="G769" t="s">
        <v>220</v>
      </c>
      <c r="H769" t="s">
        <v>470</v>
      </c>
      <c r="I769" t="s">
        <v>796</v>
      </c>
      <c r="J769">
        <v>91138.83</v>
      </c>
    </row>
    <row r="770" spans="1:10">
      <c r="A770" s="90" t="s">
        <v>216</v>
      </c>
      <c r="B770" s="87">
        <v>45838</v>
      </c>
      <c r="C770" t="s">
        <v>2788</v>
      </c>
      <c r="D770" t="s">
        <v>2110</v>
      </c>
      <c r="E770" t="s">
        <v>2789</v>
      </c>
      <c r="F770" t="s">
        <v>839</v>
      </c>
      <c r="G770" t="s">
        <v>2125</v>
      </c>
      <c r="H770" t="s">
        <v>470</v>
      </c>
      <c r="I770" t="s">
        <v>487</v>
      </c>
      <c r="J770">
        <v>17878.560000000001</v>
      </c>
    </row>
    <row r="771" spans="1:10">
      <c r="A771" s="90" t="s">
        <v>216</v>
      </c>
      <c r="B771" s="87">
        <v>45838</v>
      </c>
      <c r="C771" t="s">
        <v>2790</v>
      </c>
      <c r="D771" t="s">
        <v>2110</v>
      </c>
      <c r="E771" t="s">
        <v>2791</v>
      </c>
      <c r="F771" t="s">
        <v>839</v>
      </c>
      <c r="G771" t="s">
        <v>2112</v>
      </c>
      <c r="H771" t="s">
        <v>470</v>
      </c>
      <c r="I771" t="s">
        <v>475</v>
      </c>
      <c r="J771">
        <v>127728.54</v>
      </c>
    </row>
    <row r="772" spans="1:10">
      <c r="A772" s="90" t="s">
        <v>216</v>
      </c>
      <c r="B772" s="87">
        <v>45838</v>
      </c>
      <c r="C772" t="s">
        <v>2792</v>
      </c>
      <c r="D772" t="s">
        <v>2110</v>
      </c>
      <c r="E772" t="s">
        <v>480</v>
      </c>
      <c r="F772" t="s">
        <v>741</v>
      </c>
      <c r="G772" t="s">
        <v>72</v>
      </c>
      <c r="H772" t="s">
        <v>470</v>
      </c>
      <c r="I772" t="s">
        <v>475</v>
      </c>
      <c r="J772">
        <v>174.82</v>
      </c>
    </row>
    <row r="773" spans="1:10">
      <c r="A773" s="90" t="s">
        <v>216</v>
      </c>
      <c r="B773" s="87">
        <v>45838</v>
      </c>
      <c r="C773" t="s">
        <v>2792</v>
      </c>
      <c r="D773" t="s">
        <v>2110</v>
      </c>
      <c r="E773" t="s">
        <v>480</v>
      </c>
      <c r="F773" t="s">
        <v>741</v>
      </c>
      <c r="G773" t="s">
        <v>58</v>
      </c>
      <c r="H773" t="s">
        <v>470</v>
      </c>
      <c r="I773" t="s">
        <v>475</v>
      </c>
      <c r="J773">
        <v>1297.19</v>
      </c>
    </row>
    <row r="774" spans="1:10">
      <c r="A774" s="90" t="s">
        <v>216</v>
      </c>
      <c r="B774" s="87">
        <v>45838</v>
      </c>
      <c r="C774" t="s">
        <v>2792</v>
      </c>
      <c r="D774" t="s">
        <v>2110</v>
      </c>
      <c r="E774" t="s">
        <v>480</v>
      </c>
      <c r="F774" t="s">
        <v>741</v>
      </c>
      <c r="G774" t="s">
        <v>191</v>
      </c>
      <c r="H774" t="s">
        <v>470</v>
      </c>
      <c r="I774" t="s">
        <v>475</v>
      </c>
      <c r="J774">
        <v>661</v>
      </c>
    </row>
    <row r="775" spans="1:10">
      <c r="A775" s="90" t="s">
        <v>216</v>
      </c>
      <c r="B775" s="87">
        <v>45838</v>
      </c>
      <c r="C775" t="s">
        <v>2792</v>
      </c>
      <c r="D775" t="s">
        <v>2110</v>
      </c>
      <c r="E775" t="s">
        <v>480</v>
      </c>
      <c r="F775" t="s">
        <v>741</v>
      </c>
      <c r="G775" t="s">
        <v>62</v>
      </c>
      <c r="H775" t="s">
        <v>470</v>
      </c>
      <c r="I775" t="s">
        <v>475</v>
      </c>
      <c r="J775">
        <v>1123</v>
      </c>
    </row>
    <row r="776" spans="1:10">
      <c r="A776" s="90" t="s">
        <v>216</v>
      </c>
      <c r="B776" s="87">
        <v>45838</v>
      </c>
      <c r="C776" t="s">
        <v>2792</v>
      </c>
      <c r="D776" t="s">
        <v>2110</v>
      </c>
      <c r="E776" t="s">
        <v>480</v>
      </c>
      <c r="F776" t="s">
        <v>741</v>
      </c>
      <c r="G776" t="s">
        <v>75</v>
      </c>
      <c r="H776" t="s">
        <v>470</v>
      </c>
      <c r="I776" t="s">
        <v>475</v>
      </c>
      <c r="J776">
        <v>700</v>
      </c>
    </row>
    <row r="777" spans="1:10">
      <c r="A777" s="90" t="s">
        <v>216</v>
      </c>
      <c r="B777" s="87">
        <v>45838</v>
      </c>
      <c r="C777" t="s">
        <v>2792</v>
      </c>
      <c r="D777" t="s">
        <v>2110</v>
      </c>
      <c r="E777" t="s">
        <v>480</v>
      </c>
      <c r="F777" t="s">
        <v>741</v>
      </c>
      <c r="G777" t="s">
        <v>194</v>
      </c>
      <c r="H777" t="s">
        <v>470</v>
      </c>
      <c r="I777" t="s">
        <v>475</v>
      </c>
      <c r="J777">
        <v>30</v>
      </c>
    </row>
    <row r="778" spans="1:10">
      <c r="A778" s="90" t="s">
        <v>216</v>
      </c>
      <c r="B778" s="87">
        <v>45838</v>
      </c>
      <c r="C778" t="s">
        <v>2275</v>
      </c>
      <c r="D778" t="s">
        <v>2110</v>
      </c>
      <c r="E778" t="s">
        <v>477</v>
      </c>
      <c r="F778" t="s">
        <v>741</v>
      </c>
      <c r="G778" t="s">
        <v>74</v>
      </c>
      <c r="H778" t="s">
        <v>470</v>
      </c>
      <c r="I778" t="s">
        <v>471</v>
      </c>
      <c r="J778">
        <v>30</v>
      </c>
    </row>
    <row r="779" spans="1:10">
      <c r="A779" s="90" t="s">
        <v>216</v>
      </c>
      <c r="B779" s="87">
        <v>45838</v>
      </c>
      <c r="C779" t="s">
        <v>511</v>
      </c>
      <c r="D779" t="s">
        <v>2110</v>
      </c>
      <c r="E779" t="s">
        <v>512</v>
      </c>
      <c r="F779" t="s">
        <v>741</v>
      </c>
      <c r="G779" t="s">
        <v>474</v>
      </c>
      <c r="H779" t="s">
        <v>470</v>
      </c>
      <c r="I779" t="s">
        <v>475</v>
      </c>
      <c r="J779">
        <v>190963.92</v>
      </c>
    </row>
    <row r="780" spans="1:10">
      <c r="A780" s="90" t="s">
        <v>216</v>
      </c>
      <c r="B780" s="87">
        <v>45838</v>
      </c>
      <c r="C780" t="s">
        <v>2348</v>
      </c>
      <c r="D780" t="s">
        <v>2110</v>
      </c>
      <c r="E780" t="s">
        <v>477</v>
      </c>
      <c r="F780" t="s">
        <v>741</v>
      </c>
      <c r="G780" t="s">
        <v>66</v>
      </c>
      <c r="H780" t="s">
        <v>470</v>
      </c>
      <c r="I780" t="s">
        <v>471</v>
      </c>
      <c r="J780">
        <v>137.71</v>
      </c>
    </row>
    <row r="781" spans="1:10">
      <c r="A781" s="90" t="s">
        <v>216</v>
      </c>
      <c r="B781" s="87">
        <v>45838</v>
      </c>
      <c r="C781" t="s">
        <v>2347</v>
      </c>
      <c r="D781" t="s">
        <v>2110</v>
      </c>
      <c r="E781" t="s">
        <v>477</v>
      </c>
      <c r="F781" t="s">
        <v>741</v>
      </c>
      <c r="G781" t="s">
        <v>68</v>
      </c>
      <c r="H781" t="s">
        <v>470</v>
      </c>
      <c r="I781" t="s">
        <v>471</v>
      </c>
      <c r="J781">
        <v>23.94</v>
      </c>
    </row>
    <row r="782" spans="1:10">
      <c r="A782" s="90" t="s">
        <v>216</v>
      </c>
      <c r="B782" s="87">
        <v>45838</v>
      </c>
      <c r="C782" t="s">
        <v>2347</v>
      </c>
      <c r="D782" t="s">
        <v>2110</v>
      </c>
      <c r="E782" t="s">
        <v>477</v>
      </c>
      <c r="F782" t="s">
        <v>741</v>
      </c>
      <c r="G782" t="s">
        <v>68</v>
      </c>
      <c r="H782" t="s">
        <v>470</v>
      </c>
      <c r="I782" t="s">
        <v>471</v>
      </c>
      <c r="J782">
        <v>123.31</v>
      </c>
    </row>
    <row r="783" spans="1:10">
      <c r="A783" s="90" t="s">
        <v>216</v>
      </c>
      <c r="B783" s="87">
        <v>45839</v>
      </c>
      <c r="C783" t="s">
        <v>2793</v>
      </c>
      <c r="D783" t="s">
        <v>2110</v>
      </c>
      <c r="E783" t="s">
        <v>2262</v>
      </c>
      <c r="F783" t="s">
        <v>2794</v>
      </c>
      <c r="G783" t="s">
        <v>73</v>
      </c>
      <c r="H783" t="s">
        <v>2795</v>
      </c>
      <c r="I783" t="s">
        <v>796</v>
      </c>
      <c r="J783">
        <v>633.01</v>
      </c>
    </row>
    <row r="784" spans="1:10">
      <c r="A784" s="90" t="s">
        <v>216</v>
      </c>
      <c r="B784" s="87">
        <v>45839</v>
      </c>
      <c r="C784" t="s">
        <v>2275</v>
      </c>
      <c r="D784" t="s">
        <v>2110</v>
      </c>
      <c r="E784" t="s">
        <v>477</v>
      </c>
      <c r="F784" t="s">
        <v>778</v>
      </c>
      <c r="G784" t="s">
        <v>74</v>
      </c>
      <c r="H784" t="s">
        <v>470</v>
      </c>
      <c r="I784" t="s">
        <v>471</v>
      </c>
      <c r="J784">
        <v>10</v>
      </c>
    </row>
    <row r="785" spans="1:10">
      <c r="A785" s="90" t="s">
        <v>216</v>
      </c>
      <c r="B785" s="87">
        <v>45839</v>
      </c>
      <c r="C785" t="s">
        <v>2479</v>
      </c>
      <c r="D785" t="s">
        <v>2110</v>
      </c>
      <c r="E785" t="s">
        <v>477</v>
      </c>
      <c r="F785" t="s">
        <v>778</v>
      </c>
      <c r="G785" t="s">
        <v>74</v>
      </c>
      <c r="H785" t="s">
        <v>470</v>
      </c>
      <c r="I785" t="s">
        <v>471</v>
      </c>
      <c r="J785">
        <v>15</v>
      </c>
    </row>
    <row r="786" spans="1:10">
      <c r="A786" s="90" t="s">
        <v>216</v>
      </c>
      <c r="B786" s="87">
        <v>45839</v>
      </c>
      <c r="C786" t="s">
        <v>2267</v>
      </c>
      <c r="D786" t="s">
        <v>2110</v>
      </c>
      <c r="E786" t="s">
        <v>477</v>
      </c>
      <c r="F786" t="s">
        <v>2268</v>
      </c>
      <c r="G786" t="s">
        <v>2269</v>
      </c>
      <c r="H786" t="s">
        <v>2796</v>
      </c>
      <c r="I786" t="s">
        <v>471</v>
      </c>
      <c r="J786">
        <v>750</v>
      </c>
    </row>
    <row r="787" spans="1:10">
      <c r="A787" s="90" t="s">
        <v>216</v>
      </c>
      <c r="B787" s="87">
        <v>45839</v>
      </c>
      <c r="C787" t="s">
        <v>2267</v>
      </c>
      <c r="D787" t="s">
        <v>2110</v>
      </c>
      <c r="E787" t="s">
        <v>477</v>
      </c>
      <c r="F787" t="s">
        <v>2268</v>
      </c>
      <c r="G787" t="s">
        <v>2269</v>
      </c>
      <c r="H787" t="s">
        <v>2796</v>
      </c>
      <c r="I787" t="s">
        <v>471</v>
      </c>
      <c r="J787">
        <v>1125</v>
      </c>
    </row>
    <row r="788" spans="1:10">
      <c r="A788" s="90" t="s">
        <v>216</v>
      </c>
      <c r="B788" s="87">
        <v>45839</v>
      </c>
      <c r="C788" t="s">
        <v>2267</v>
      </c>
      <c r="D788" t="s">
        <v>2110</v>
      </c>
      <c r="E788" t="s">
        <v>477</v>
      </c>
      <c r="F788" t="s">
        <v>2268</v>
      </c>
      <c r="G788" t="s">
        <v>2269</v>
      </c>
      <c r="H788" t="s">
        <v>2796</v>
      </c>
      <c r="I788" t="s">
        <v>471</v>
      </c>
      <c r="J788">
        <v>1200</v>
      </c>
    </row>
    <row r="789" spans="1:10">
      <c r="A789" s="90" t="s">
        <v>216</v>
      </c>
      <c r="B789" s="87">
        <v>45839</v>
      </c>
      <c r="C789" t="s">
        <v>2267</v>
      </c>
      <c r="D789" t="s">
        <v>2110</v>
      </c>
      <c r="E789" t="s">
        <v>477</v>
      </c>
      <c r="F789" t="s">
        <v>2268</v>
      </c>
      <c r="G789" t="s">
        <v>2271</v>
      </c>
      <c r="H789" t="s">
        <v>2796</v>
      </c>
      <c r="I789" t="s">
        <v>471</v>
      </c>
      <c r="J789">
        <v>28.05</v>
      </c>
    </row>
    <row r="790" spans="1:10">
      <c r="A790" s="90" t="s">
        <v>216</v>
      </c>
      <c r="B790" s="87">
        <v>45839</v>
      </c>
      <c r="C790" t="s">
        <v>2797</v>
      </c>
      <c r="D790" t="s">
        <v>2110</v>
      </c>
      <c r="E790" t="s">
        <v>477</v>
      </c>
      <c r="F790" t="s">
        <v>2273</v>
      </c>
      <c r="G790" t="s">
        <v>2269</v>
      </c>
      <c r="H790" t="s">
        <v>2798</v>
      </c>
      <c r="I790" t="s">
        <v>471</v>
      </c>
      <c r="J790">
        <v>10125</v>
      </c>
    </row>
    <row r="791" spans="1:10">
      <c r="A791" s="90" t="s">
        <v>216</v>
      </c>
      <c r="B791" s="87">
        <v>45839</v>
      </c>
      <c r="C791" t="s">
        <v>2797</v>
      </c>
      <c r="D791" t="s">
        <v>2110</v>
      </c>
      <c r="E791" t="s">
        <v>477</v>
      </c>
      <c r="F791" t="s">
        <v>2273</v>
      </c>
      <c r="G791" t="s">
        <v>2271</v>
      </c>
      <c r="H791" t="s">
        <v>2798</v>
      </c>
      <c r="I791" t="s">
        <v>471</v>
      </c>
      <c r="J791">
        <v>628.84</v>
      </c>
    </row>
    <row r="792" spans="1:10">
      <c r="A792" s="90" t="s">
        <v>216</v>
      </c>
      <c r="B792" s="87">
        <v>45839</v>
      </c>
      <c r="C792" t="s">
        <v>511</v>
      </c>
      <c r="D792" t="s">
        <v>2110</v>
      </c>
      <c r="E792" t="s">
        <v>512</v>
      </c>
      <c r="F792" t="s">
        <v>778</v>
      </c>
      <c r="G792" t="s">
        <v>474</v>
      </c>
      <c r="H792" t="s">
        <v>470</v>
      </c>
      <c r="I792" t="s">
        <v>475</v>
      </c>
      <c r="J792">
        <v>4238.62</v>
      </c>
    </row>
    <row r="793" spans="1:10">
      <c r="A793" s="90" t="s">
        <v>216</v>
      </c>
      <c r="B793" s="87">
        <v>45839</v>
      </c>
      <c r="C793" t="s">
        <v>2275</v>
      </c>
      <c r="D793" t="s">
        <v>2110</v>
      </c>
      <c r="E793" t="s">
        <v>2393</v>
      </c>
      <c r="F793" t="s">
        <v>778</v>
      </c>
      <c r="G793" t="s">
        <v>74</v>
      </c>
      <c r="H793" t="s">
        <v>470</v>
      </c>
      <c r="I793" t="s">
        <v>471</v>
      </c>
      <c r="J793">
        <v>40</v>
      </c>
    </row>
    <row r="794" spans="1:10">
      <c r="A794" s="90" t="s">
        <v>216</v>
      </c>
      <c r="B794" s="87">
        <v>45840</v>
      </c>
      <c r="C794" t="s">
        <v>2275</v>
      </c>
      <c r="D794" t="s">
        <v>2110</v>
      </c>
      <c r="E794" t="s">
        <v>477</v>
      </c>
      <c r="F794" t="s">
        <v>778</v>
      </c>
      <c r="G794" t="s">
        <v>74</v>
      </c>
      <c r="H794" t="s">
        <v>470</v>
      </c>
      <c r="I794" t="s">
        <v>471</v>
      </c>
      <c r="J794">
        <v>20</v>
      </c>
    </row>
    <row r="795" spans="1:10">
      <c r="A795" s="90" t="s">
        <v>216</v>
      </c>
      <c r="B795" s="87">
        <v>45840</v>
      </c>
      <c r="C795" t="s">
        <v>511</v>
      </c>
      <c r="D795" t="s">
        <v>2110</v>
      </c>
      <c r="E795" t="s">
        <v>512</v>
      </c>
      <c r="F795" t="s">
        <v>778</v>
      </c>
      <c r="G795" t="s">
        <v>474</v>
      </c>
      <c r="H795" t="s">
        <v>470</v>
      </c>
      <c r="I795" t="s">
        <v>475</v>
      </c>
      <c r="J795">
        <v>82469.78</v>
      </c>
    </row>
    <row r="796" spans="1:10">
      <c r="A796" s="90" t="s">
        <v>216</v>
      </c>
      <c r="B796" s="87">
        <v>45841</v>
      </c>
      <c r="C796" t="s">
        <v>2275</v>
      </c>
      <c r="D796" t="s">
        <v>2110</v>
      </c>
      <c r="E796" t="s">
        <v>477</v>
      </c>
      <c r="F796" t="s">
        <v>778</v>
      </c>
      <c r="G796" t="s">
        <v>74</v>
      </c>
      <c r="H796" t="s">
        <v>470</v>
      </c>
      <c r="I796" t="s">
        <v>471</v>
      </c>
      <c r="J796">
        <v>10</v>
      </c>
    </row>
    <row r="797" spans="1:10">
      <c r="A797" s="90" t="s">
        <v>216</v>
      </c>
      <c r="B797" s="87">
        <v>45841</v>
      </c>
      <c r="C797" t="s">
        <v>511</v>
      </c>
      <c r="D797" t="s">
        <v>2110</v>
      </c>
      <c r="E797" t="s">
        <v>512</v>
      </c>
      <c r="F797" t="s">
        <v>778</v>
      </c>
      <c r="G797" t="s">
        <v>474</v>
      </c>
      <c r="H797" t="s">
        <v>470</v>
      </c>
      <c r="I797" t="s">
        <v>475</v>
      </c>
      <c r="J797">
        <v>15361</v>
      </c>
    </row>
    <row r="798" spans="1:10">
      <c r="A798" s="90" t="s">
        <v>216</v>
      </c>
      <c r="B798" s="87">
        <v>45842</v>
      </c>
      <c r="C798" t="s">
        <v>2799</v>
      </c>
      <c r="D798" t="s">
        <v>2110</v>
      </c>
      <c r="E798" t="s">
        <v>493</v>
      </c>
      <c r="F798" t="s">
        <v>839</v>
      </c>
      <c r="G798" t="s">
        <v>2213</v>
      </c>
      <c r="H798" t="s">
        <v>470</v>
      </c>
      <c r="I798" t="s">
        <v>487</v>
      </c>
      <c r="J798">
        <v>4166</v>
      </c>
    </row>
    <row r="799" spans="1:10">
      <c r="A799" s="90" t="s">
        <v>216</v>
      </c>
      <c r="B799" s="87">
        <v>45842</v>
      </c>
      <c r="C799" t="s">
        <v>2152</v>
      </c>
      <c r="D799" t="s">
        <v>2110</v>
      </c>
      <c r="E799" t="s">
        <v>493</v>
      </c>
      <c r="F799" t="s">
        <v>2153</v>
      </c>
      <c r="G799" t="s">
        <v>192</v>
      </c>
      <c r="H799" t="s">
        <v>470</v>
      </c>
      <c r="I799" t="s">
        <v>487</v>
      </c>
      <c r="J799">
        <v>46743.34</v>
      </c>
    </row>
    <row r="800" spans="1:10">
      <c r="A800" s="90" t="s">
        <v>216</v>
      </c>
      <c r="B800" s="87">
        <v>45842</v>
      </c>
      <c r="C800" t="s">
        <v>2152</v>
      </c>
      <c r="D800" t="s">
        <v>2110</v>
      </c>
      <c r="E800" t="s">
        <v>493</v>
      </c>
      <c r="F800" t="s">
        <v>2153</v>
      </c>
      <c r="G800" t="s">
        <v>192</v>
      </c>
      <c r="H800" t="s">
        <v>470</v>
      </c>
      <c r="I800" t="s">
        <v>487</v>
      </c>
      <c r="J800">
        <v>2830.85</v>
      </c>
    </row>
    <row r="801" spans="1:10">
      <c r="A801" s="90" t="s">
        <v>216</v>
      </c>
      <c r="B801" s="87">
        <v>45842</v>
      </c>
      <c r="C801" t="s">
        <v>2152</v>
      </c>
      <c r="D801" t="s">
        <v>2110</v>
      </c>
      <c r="E801" t="s">
        <v>493</v>
      </c>
      <c r="F801" t="s">
        <v>2153</v>
      </c>
      <c r="G801" t="s">
        <v>192</v>
      </c>
      <c r="H801" t="s">
        <v>470</v>
      </c>
      <c r="I801" t="s">
        <v>487</v>
      </c>
      <c r="J801">
        <v>9353.43</v>
      </c>
    </row>
    <row r="802" spans="1:10">
      <c r="A802" s="90" t="s">
        <v>216</v>
      </c>
      <c r="B802" s="87">
        <v>45842</v>
      </c>
      <c r="C802" t="s">
        <v>2275</v>
      </c>
      <c r="D802" t="s">
        <v>2110</v>
      </c>
      <c r="E802" t="s">
        <v>477</v>
      </c>
      <c r="F802" t="s">
        <v>778</v>
      </c>
      <c r="G802" t="s">
        <v>74</v>
      </c>
      <c r="H802" t="s">
        <v>470</v>
      </c>
      <c r="I802" t="s">
        <v>471</v>
      </c>
      <c r="J802">
        <v>50</v>
      </c>
    </row>
    <row r="803" spans="1:10">
      <c r="A803" s="90" t="s">
        <v>216</v>
      </c>
      <c r="B803" s="87">
        <v>45842</v>
      </c>
      <c r="C803" t="s">
        <v>511</v>
      </c>
      <c r="D803" t="s">
        <v>2110</v>
      </c>
      <c r="E803" t="s">
        <v>512</v>
      </c>
      <c r="F803" t="s">
        <v>778</v>
      </c>
      <c r="G803" t="s">
        <v>474</v>
      </c>
      <c r="H803" t="s">
        <v>470</v>
      </c>
      <c r="I803" t="s">
        <v>475</v>
      </c>
      <c r="J803">
        <v>21632.3</v>
      </c>
    </row>
    <row r="804" spans="1:10">
      <c r="A804" s="90" t="s">
        <v>216</v>
      </c>
      <c r="B804" s="87">
        <v>45842</v>
      </c>
      <c r="C804" t="s">
        <v>511</v>
      </c>
      <c r="D804" t="s">
        <v>2110</v>
      </c>
      <c r="E804" t="s">
        <v>512</v>
      </c>
      <c r="F804" t="s">
        <v>778</v>
      </c>
      <c r="G804" t="s">
        <v>474</v>
      </c>
      <c r="H804" t="s">
        <v>470</v>
      </c>
      <c r="I804" t="s">
        <v>475</v>
      </c>
      <c r="J804">
        <v>84184.85</v>
      </c>
    </row>
    <row r="805" spans="1:10">
      <c r="A805" s="90" t="s">
        <v>216</v>
      </c>
      <c r="B805" s="87">
        <v>45845</v>
      </c>
      <c r="C805" t="s">
        <v>2800</v>
      </c>
      <c r="D805" t="s">
        <v>2110</v>
      </c>
      <c r="E805" t="s">
        <v>2789</v>
      </c>
      <c r="F805" t="s">
        <v>839</v>
      </c>
      <c r="G805" t="s">
        <v>2125</v>
      </c>
      <c r="H805" t="s">
        <v>470</v>
      </c>
      <c r="I805" t="s">
        <v>487</v>
      </c>
      <c r="J805">
        <v>7495.74</v>
      </c>
    </row>
    <row r="806" spans="1:10">
      <c r="A806" s="90" t="s">
        <v>216</v>
      </c>
      <c r="B806" s="87">
        <v>45845</v>
      </c>
      <c r="C806" t="s">
        <v>2801</v>
      </c>
      <c r="D806" t="s">
        <v>2110</v>
      </c>
      <c r="E806" t="s">
        <v>480</v>
      </c>
      <c r="F806" t="s">
        <v>839</v>
      </c>
      <c r="G806" t="s">
        <v>2115</v>
      </c>
      <c r="H806" t="s">
        <v>470</v>
      </c>
      <c r="I806" t="s">
        <v>475</v>
      </c>
      <c r="J806">
        <v>2003.4</v>
      </c>
    </row>
    <row r="807" spans="1:10">
      <c r="A807" s="90" t="s">
        <v>216</v>
      </c>
      <c r="B807" s="87">
        <v>45845</v>
      </c>
      <c r="C807" t="s">
        <v>2802</v>
      </c>
      <c r="D807" t="s">
        <v>2110</v>
      </c>
      <c r="E807" t="s">
        <v>2791</v>
      </c>
      <c r="F807" t="s">
        <v>839</v>
      </c>
      <c r="G807" t="s">
        <v>2494</v>
      </c>
      <c r="H807" t="s">
        <v>470</v>
      </c>
      <c r="I807" t="s">
        <v>796</v>
      </c>
      <c r="J807">
        <v>731.64</v>
      </c>
    </row>
    <row r="808" spans="1:10">
      <c r="A808" s="90" t="s">
        <v>216</v>
      </c>
      <c r="B808" s="87">
        <v>45845</v>
      </c>
      <c r="C808" t="s">
        <v>2454</v>
      </c>
      <c r="D808" t="s">
        <v>2110</v>
      </c>
      <c r="E808" t="s">
        <v>480</v>
      </c>
      <c r="F808" t="s">
        <v>778</v>
      </c>
      <c r="G808" t="s">
        <v>71</v>
      </c>
      <c r="H808" t="s">
        <v>470</v>
      </c>
      <c r="I808" t="s">
        <v>475</v>
      </c>
      <c r="J808">
        <v>15000</v>
      </c>
    </row>
    <row r="809" spans="1:10">
      <c r="A809" s="90" t="s">
        <v>216</v>
      </c>
      <c r="B809" s="87">
        <v>45845</v>
      </c>
      <c r="C809" t="s">
        <v>2803</v>
      </c>
      <c r="D809" t="s">
        <v>2110</v>
      </c>
      <c r="E809" t="s">
        <v>480</v>
      </c>
      <c r="F809" t="s">
        <v>741</v>
      </c>
      <c r="G809" t="s">
        <v>180</v>
      </c>
      <c r="H809" t="s">
        <v>470</v>
      </c>
      <c r="I809" t="s">
        <v>475</v>
      </c>
      <c r="J809">
        <v>3291.85</v>
      </c>
    </row>
    <row r="810" spans="1:10">
      <c r="A810" s="90" t="s">
        <v>216</v>
      </c>
      <c r="B810" s="87">
        <v>45845</v>
      </c>
      <c r="C810" t="s">
        <v>2804</v>
      </c>
      <c r="D810" t="s">
        <v>2110</v>
      </c>
      <c r="E810" t="s">
        <v>2277</v>
      </c>
      <c r="F810" t="s">
        <v>2805</v>
      </c>
      <c r="G810" t="s">
        <v>65</v>
      </c>
      <c r="H810" t="s">
        <v>2678</v>
      </c>
      <c r="I810" t="s">
        <v>796</v>
      </c>
      <c r="J810">
        <v>182.8</v>
      </c>
    </row>
    <row r="811" spans="1:10">
      <c r="A811" s="90" t="s">
        <v>216</v>
      </c>
      <c r="B811" s="87">
        <v>45845</v>
      </c>
      <c r="C811" t="s">
        <v>2806</v>
      </c>
      <c r="D811" t="s">
        <v>2110</v>
      </c>
      <c r="E811" t="s">
        <v>970</v>
      </c>
      <c r="F811" t="s">
        <v>261</v>
      </c>
      <c r="G811" t="s">
        <v>2494</v>
      </c>
      <c r="H811" t="s">
        <v>470</v>
      </c>
      <c r="I811" t="s">
        <v>796</v>
      </c>
      <c r="J811">
        <v>391.53</v>
      </c>
    </row>
    <row r="812" spans="1:10">
      <c r="A812" s="90" t="s">
        <v>216</v>
      </c>
      <c r="B812" s="87">
        <v>45845</v>
      </c>
      <c r="C812" t="s">
        <v>2807</v>
      </c>
      <c r="D812" t="s">
        <v>2110</v>
      </c>
      <c r="E812" t="s">
        <v>970</v>
      </c>
      <c r="F812" t="s">
        <v>2808</v>
      </c>
      <c r="G812" t="s">
        <v>2809</v>
      </c>
      <c r="H812" t="s">
        <v>470</v>
      </c>
      <c r="I812" t="s">
        <v>796</v>
      </c>
      <c r="J812">
        <v>261.02</v>
      </c>
    </row>
    <row r="813" spans="1:10">
      <c r="A813" s="90" t="s">
        <v>216</v>
      </c>
      <c r="B813" s="87">
        <v>45845</v>
      </c>
      <c r="C813" t="s">
        <v>2810</v>
      </c>
      <c r="D813" t="s">
        <v>2110</v>
      </c>
      <c r="E813" t="s">
        <v>2791</v>
      </c>
      <c r="F813" t="s">
        <v>839</v>
      </c>
      <c r="G813" t="s">
        <v>2809</v>
      </c>
      <c r="H813" t="s">
        <v>470</v>
      </c>
      <c r="I813" t="s">
        <v>796</v>
      </c>
      <c r="J813">
        <v>487.76</v>
      </c>
    </row>
    <row r="814" spans="1:10">
      <c r="A814" s="90" t="s">
        <v>216</v>
      </c>
      <c r="B814" s="87">
        <v>45845</v>
      </c>
      <c r="C814" t="s">
        <v>2275</v>
      </c>
      <c r="D814" t="s">
        <v>2110</v>
      </c>
      <c r="E814" t="s">
        <v>477</v>
      </c>
      <c r="F814" t="s">
        <v>778</v>
      </c>
      <c r="G814" t="s">
        <v>74</v>
      </c>
      <c r="H814" t="s">
        <v>470</v>
      </c>
      <c r="I814" t="s">
        <v>471</v>
      </c>
      <c r="J814">
        <v>30</v>
      </c>
    </row>
    <row r="815" spans="1:10">
      <c r="A815" s="90" t="s">
        <v>216</v>
      </c>
      <c r="B815" s="87">
        <v>45845</v>
      </c>
      <c r="C815" t="s">
        <v>511</v>
      </c>
      <c r="D815" t="s">
        <v>2110</v>
      </c>
      <c r="E815" t="s">
        <v>512</v>
      </c>
      <c r="F815" t="s">
        <v>778</v>
      </c>
      <c r="G815" t="s">
        <v>474</v>
      </c>
      <c r="H815" t="s">
        <v>470</v>
      </c>
      <c r="I815" t="s">
        <v>475</v>
      </c>
      <c r="J815">
        <v>109499.19</v>
      </c>
    </row>
    <row r="816" spans="1:10">
      <c r="A816" s="90" t="s">
        <v>216</v>
      </c>
      <c r="B816" s="87">
        <v>45846</v>
      </c>
      <c r="C816" t="s">
        <v>2454</v>
      </c>
      <c r="D816" t="s">
        <v>2110</v>
      </c>
      <c r="E816" t="s">
        <v>1667</v>
      </c>
      <c r="F816" t="s">
        <v>778</v>
      </c>
      <c r="G816" t="s">
        <v>71</v>
      </c>
      <c r="H816" t="s">
        <v>470</v>
      </c>
      <c r="I816" t="s">
        <v>475</v>
      </c>
      <c r="J816">
        <v>10000</v>
      </c>
    </row>
    <row r="817" spans="1:10">
      <c r="A817" s="90" t="s">
        <v>216</v>
      </c>
      <c r="B817" s="87">
        <v>45846</v>
      </c>
      <c r="C817" t="s">
        <v>2811</v>
      </c>
      <c r="D817" t="s">
        <v>2110</v>
      </c>
      <c r="E817" t="s">
        <v>2300</v>
      </c>
      <c r="F817" t="s">
        <v>778</v>
      </c>
      <c r="G817" t="s">
        <v>70</v>
      </c>
      <c r="H817" t="s">
        <v>470</v>
      </c>
      <c r="I817" t="s">
        <v>796</v>
      </c>
      <c r="J817">
        <v>100.59</v>
      </c>
    </row>
    <row r="818" spans="1:10">
      <c r="A818" s="90" t="s">
        <v>216</v>
      </c>
      <c r="B818" s="87">
        <v>45846</v>
      </c>
      <c r="C818" t="s">
        <v>2275</v>
      </c>
      <c r="D818" t="s">
        <v>2110</v>
      </c>
      <c r="E818" t="s">
        <v>477</v>
      </c>
      <c r="F818" t="s">
        <v>778</v>
      </c>
      <c r="G818" t="s">
        <v>74</v>
      </c>
      <c r="H818" t="s">
        <v>470</v>
      </c>
      <c r="I818" t="s">
        <v>471</v>
      </c>
      <c r="J818">
        <v>30</v>
      </c>
    </row>
    <row r="819" spans="1:10">
      <c r="A819" s="90" t="s">
        <v>216</v>
      </c>
      <c r="B819" s="87">
        <v>45846</v>
      </c>
      <c r="C819" t="s">
        <v>511</v>
      </c>
      <c r="D819" t="s">
        <v>2110</v>
      </c>
      <c r="E819" t="s">
        <v>512</v>
      </c>
      <c r="F819" t="s">
        <v>778</v>
      </c>
      <c r="G819" t="s">
        <v>474</v>
      </c>
      <c r="H819" t="s">
        <v>470</v>
      </c>
      <c r="I819" t="s">
        <v>475</v>
      </c>
      <c r="J819">
        <v>93827.16</v>
      </c>
    </row>
    <row r="820" spans="1:10">
      <c r="A820" s="90" t="s">
        <v>216</v>
      </c>
      <c r="B820" s="87">
        <v>45847</v>
      </c>
      <c r="C820" t="s">
        <v>2812</v>
      </c>
      <c r="D820" t="s">
        <v>2110</v>
      </c>
      <c r="E820" t="s">
        <v>2509</v>
      </c>
      <c r="F820" t="s">
        <v>2813</v>
      </c>
      <c r="G820" t="s">
        <v>2115</v>
      </c>
      <c r="H820" t="s">
        <v>470</v>
      </c>
      <c r="I820" t="s">
        <v>796</v>
      </c>
      <c r="J820">
        <v>60</v>
      </c>
    </row>
    <row r="821" spans="1:10">
      <c r="A821" s="90" t="s">
        <v>216</v>
      </c>
      <c r="B821" s="87">
        <v>45847</v>
      </c>
      <c r="C821" t="s">
        <v>2812</v>
      </c>
      <c r="D821" t="s">
        <v>2110</v>
      </c>
      <c r="E821" t="s">
        <v>2509</v>
      </c>
      <c r="F821" t="s">
        <v>2813</v>
      </c>
      <c r="G821" t="s">
        <v>251</v>
      </c>
      <c r="H821" t="s">
        <v>470</v>
      </c>
      <c r="I821" t="s">
        <v>796</v>
      </c>
      <c r="J821">
        <v>7.5</v>
      </c>
    </row>
    <row r="822" spans="1:10">
      <c r="A822" s="90" t="s">
        <v>216</v>
      </c>
      <c r="B822" s="87">
        <v>45847</v>
      </c>
      <c r="C822" t="s">
        <v>2275</v>
      </c>
      <c r="D822" t="s">
        <v>2110</v>
      </c>
      <c r="E822" t="s">
        <v>477</v>
      </c>
      <c r="F822" t="s">
        <v>778</v>
      </c>
      <c r="G822" t="s">
        <v>74</v>
      </c>
      <c r="H822" t="s">
        <v>470</v>
      </c>
      <c r="I822" t="s">
        <v>471</v>
      </c>
      <c r="J822">
        <v>20</v>
      </c>
    </row>
    <row r="823" spans="1:10">
      <c r="A823" s="90" t="s">
        <v>216</v>
      </c>
      <c r="B823" s="87">
        <v>45847</v>
      </c>
      <c r="C823" t="s">
        <v>779</v>
      </c>
      <c r="D823" t="s">
        <v>2110</v>
      </c>
      <c r="E823" t="s">
        <v>512</v>
      </c>
      <c r="F823" t="s">
        <v>778</v>
      </c>
      <c r="G823" t="s">
        <v>474</v>
      </c>
      <c r="H823" t="s">
        <v>470</v>
      </c>
      <c r="I823" t="s">
        <v>475</v>
      </c>
      <c r="J823">
        <v>81452.429999999993</v>
      </c>
    </row>
    <row r="824" spans="1:10">
      <c r="A824" s="90" t="s">
        <v>216</v>
      </c>
      <c r="B824" s="87">
        <v>45848</v>
      </c>
      <c r="C824" t="s">
        <v>2814</v>
      </c>
      <c r="D824" t="s">
        <v>2110</v>
      </c>
      <c r="E824" t="s">
        <v>2322</v>
      </c>
      <c r="F824" t="s">
        <v>2815</v>
      </c>
      <c r="G824" t="s">
        <v>191</v>
      </c>
      <c r="H824" t="s">
        <v>470</v>
      </c>
      <c r="I824" t="s">
        <v>796</v>
      </c>
      <c r="J824">
        <v>871.52</v>
      </c>
    </row>
    <row r="825" spans="1:10">
      <c r="A825" s="90" t="s">
        <v>216</v>
      </c>
      <c r="B825" s="87">
        <v>45848</v>
      </c>
      <c r="C825" t="s">
        <v>2816</v>
      </c>
      <c r="D825" t="s">
        <v>2110</v>
      </c>
      <c r="E825" t="s">
        <v>2702</v>
      </c>
      <c r="F825" t="s">
        <v>2817</v>
      </c>
      <c r="G825" t="s">
        <v>63</v>
      </c>
      <c r="H825" t="s">
        <v>470</v>
      </c>
      <c r="I825" t="s">
        <v>796</v>
      </c>
      <c r="J825">
        <v>896.95</v>
      </c>
    </row>
    <row r="826" spans="1:10">
      <c r="A826" s="90" t="s">
        <v>216</v>
      </c>
      <c r="B826" s="87">
        <v>45848</v>
      </c>
      <c r="C826" t="s">
        <v>2370</v>
      </c>
      <c r="D826" t="s">
        <v>2110</v>
      </c>
      <c r="E826" t="s">
        <v>477</v>
      </c>
      <c r="F826" t="s">
        <v>514</v>
      </c>
      <c r="G826" t="s">
        <v>69</v>
      </c>
      <c r="H826" t="s">
        <v>470</v>
      </c>
      <c r="I826" t="s">
        <v>471</v>
      </c>
      <c r="J826">
        <v>35136</v>
      </c>
    </row>
    <row r="827" spans="1:10">
      <c r="A827" s="90" t="s">
        <v>216</v>
      </c>
      <c r="B827" s="87">
        <v>45848</v>
      </c>
      <c r="C827" t="s">
        <v>2275</v>
      </c>
      <c r="D827" t="s">
        <v>2110</v>
      </c>
      <c r="E827" t="s">
        <v>477</v>
      </c>
      <c r="F827" t="s">
        <v>778</v>
      </c>
      <c r="G827" t="s">
        <v>74</v>
      </c>
      <c r="H827" t="s">
        <v>470</v>
      </c>
      <c r="I827" t="s">
        <v>471</v>
      </c>
      <c r="J827">
        <v>95</v>
      </c>
    </row>
    <row r="828" spans="1:10">
      <c r="A828" s="90" t="s">
        <v>216</v>
      </c>
      <c r="B828" s="87">
        <v>45848</v>
      </c>
      <c r="C828" t="s">
        <v>2295</v>
      </c>
      <c r="D828" t="s">
        <v>2110</v>
      </c>
      <c r="E828" t="s">
        <v>477</v>
      </c>
      <c r="F828" t="s">
        <v>778</v>
      </c>
      <c r="G828" t="s">
        <v>2295</v>
      </c>
      <c r="H828" t="s">
        <v>470</v>
      </c>
      <c r="I828" t="s">
        <v>471</v>
      </c>
      <c r="J828">
        <v>2640.46</v>
      </c>
    </row>
    <row r="829" spans="1:10">
      <c r="A829" s="90" t="s">
        <v>216</v>
      </c>
      <c r="B829" s="87">
        <v>45848</v>
      </c>
      <c r="C829" t="s">
        <v>511</v>
      </c>
      <c r="D829" t="s">
        <v>2110</v>
      </c>
      <c r="E829" t="s">
        <v>512</v>
      </c>
      <c r="F829" t="s">
        <v>778</v>
      </c>
      <c r="G829" t="s">
        <v>474</v>
      </c>
      <c r="H829" t="s">
        <v>470</v>
      </c>
      <c r="I829" t="s">
        <v>475</v>
      </c>
      <c r="J829">
        <v>30225.93</v>
      </c>
    </row>
    <row r="830" spans="1:10">
      <c r="A830" s="90" t="s">
        <v>216</v>
      </c>
      <c r="B830" s="87">
        <v>45849</v>
      </c>
      <c r="C830" t="s">
        <v>2818</v>
      </c>
      <c r="D830" t="s">
        <v>2110</v>
      </c>
      <c r="E830" t="s">
        <v>812</v>
      </c>
      <c r="F830" t="s">
        <v>265</v>
      </c>
      <c r="G830" t="s">
        <v>2213</v>
      </c>
      <c r="H830" t="s">
        <v>470</v>
      </c>
      <c r="I830" t="s">
        <v>796</v>
      </c>
      <c r="J830">
        <v>23328.06</v>
      </c>
    </row>
    <row r="831" spans="1:10">
      <c r="A831" s="90" t="s">
        <v>216</v>
      </c>
      <c r="B831" s="87">
        <v>45849</v>
      </c>
      <c r="C831" t="s">
        <v>2819</v>
      </c>
      <c r="D831" t="s">
        <v>2110</v>
      </c>
      <c r="E831" t="s">
        <v>2820</v>
      </c>
      <c r="F831" t="s">
        <v>2821</v>
      </c>
      <c r="G831" t="s">
        <v>2213</v>
      </c>
      <c r="H831" t="s">
        <v>470</v>
      </c>
      <c r="I831" t="s">
        <v>487</v>
      </c>
      <c r="J831">
        <v>19656</v>
      </c>
    </row>
    <row r="832" spans="1:10">
      <c r="A832" s="90" t="s">
        <v>216</v>
      </c>
      <c r="B832" s="87">
        <v>45849</v>
      </c>
      <c r="C832" t="s">
        <v>2822</v>
      </c>
      <c r="D832" t="s">
        <v>2110</v>
      </c>
      <c r="E832" t="s">
        <v>2820</v>
      </c>
      <c r="F832" t="s">
        <v>2821</v>
      </c>
      <c r="G832" t="s">
        <v>2213</v>
      </c>
      <c r="H832" t="s">
        <v>470</v>
      </c>
      <c r="I832" t="s">
        <v>487</v>
      </c>
      <c r="J832">
        <v>12000</v>
      </c>
    </row>
    <row r="833" spans="1:10">
      <c r="A833" s="90" t="s">
        <v>216</v>
      </c>
      <c r="B833" s="87">
        <v>45849</v>
      </c>
      <c r="C833" t="s">
        <v>2823</v>
      </c>
      <c r="D833" t="s">
        <v>2110</v>
      </c>
      <c r="E833" t="s">
        <v>2820</v>
      </c>
      <c r="F833" t="s">
        <v>2821</v>
      </c>
      <c r="G833" t="s">
        <v>2213</v>
      </c>
      <c r="H833" t="s">
        <v>470</v>
      </c>
      <c r="I833" t="s">
        <v>487</v>
      </c>
      <c r="J833">
        <v>10344</v>
      </c>
    </row>
    <row r="834" spans="1:10">
      <c r="A834" s="90" t="s">
        <v>216</v>
      </c>
      <c r="B834" s="87">
        <v>45849</v>
      </c>
      <c r="C834" t="s">
        <v>2275</v>
      </c>
      <c r="D834" t="s">
        <v>2110</v>
      </c>
      <c r="E834" t="s">
        <v>477</v>
      </c>
      <c r="F834" t="s">
        <v>778</v>
      </c>
      <c r="G834" t="s">
        <v>74</v>
      </c>
      <c r="H834" t="s">
        <v>470</v>
      </c>
      <c r="I834" t="s">
        <v>471</v>
      </c>
      <c r="J834">
        <v>40</v>
      </c>
    </row>
    <row r="835" spans="1:10">
      <c r="A835" s="90" t="s">
        <v>216</v>
      </c>
      <c r="B835" s="87">
        <v>45849</v>
      </c>
      <c r="C835" t="s">
        <v>511</v>
      </c>
      <c r="D835" t="s">
        <v>2110</v>
      </c>
      <c r="E835" t="s">
        <v>512</v>
      </c>
      <c r="F835" t="s">
        <v>780</v>
      </c>
      <c r="G835" t="s">
        <v>474</v>
      </c>
      <c r="H835" t="s">
        <v>470</v>
      </c>
      <c r="I835" t="s">
        <v>475</v>
      </c>
      <c r="J835">
        <v>104155.2</v>
      </c>
    </row>
    <row r="836" spans="1:10">
      <c r="A836" s="90" t="s">
        <v>216</v>
      </c>
      <c r="B836" s="87">
        <v>45852</v>
      </c>
      <c r="C836" t="s">
        <v>2824</v>
      </c>
      <c r="D836" t="s">
        <v>2110</v>
      </c>
      <c r="E836" t="s">
        <v>812</v>
      </c>
      <c r="F836" t="s">
        <v>263</v>
      </c>
      <c r="G836" t="s">
        <v>2213</v>
      </c>
      <c r="H836" t="s">
        <v>470</v>
      </c>
      <c r="I836" t="s">
        <v>796</v>
      </c>
      <c r="J836">
        <v>73034.94</v>
      </c>
    </row>
    <row r="837" spans="1:10">
      <c r="A837" s="90" t="s">
        <v>216</v>
      </c>
      <c r="B837" s="87">
        <v>45852</v>
      </c>
      <c r="C837" t="s">
        <v>2824</v>
      </c>
      <c r="D837" t="s">
        <v>2110</v>
      </c>
      <c r="E837" t="s">
        <v>812</v>
      </c>
      <c r="F837" t="s">
        <v>263</v>
      </c>
      <c r="G837" t="s">
        <v>78</v>
      </c>
      <c r="H837" t="s">
        <v>470</v>
      </c>
      <c r="I837" t="s">
        <v>796</v>
      </c>
      <c r="J837">
        <v>15.56</v>
      </c>
    </row>
    <row r="838" spans="1:10">
      <c r="A838" s="90" t="s">
        <v>216</v>
      </c>
      <c r="B838" s="87">
        <v>45852</v>
      </c>
      <c r="C838" t="s">
        <v>2825</v>
      </c>
      <c r="D838" t="s">
        <v>2110</v>
      </c>
      <c r="E838" t="s">
        <v>1667</v>
      </c>
      <c r="F838" t="s">
        <v>778</v>
      </c>
      <c r="G838" t="s">
        <v>71</v>
      </c>
      <c r="H838" t="s">
        <v>470</v>
      </c>
      <c r="I838" t="s">
        <v>475</v>
      </c>
      <c r="J838">
        <v>6480.47</v>
      </c>
    </row>
    <row r="839" spans="1:10">
      <c r="A839" s="90" t="s">
        <v>216</v>
      </c>
      <c r="B839" s="87">
        <v>45852</v>
      </c>
      <c r="C839" t="s">
        <v>2826</v>
      </c>
      <c r="D839" t="s">
        <v>2110</v>
      </c>
      <c r="E839" t="s">
        <v>2300</v>
      </c>
      <c r="F839" t="s">
        <v>778</v>
      </c>
      <c r="G839" t="s">
        <v>70</v>
      </c>
      <c r="H839" t="s">
        <v>470</v>
      </c>
      <c r="I839" t="s">
        <v>796</v>
      </c>
      <c r="J839">
        <v>50.3</v>
      </c>
    </row>
    <row r="840" spans="1:10">
      <c r="A840" s="90" t="s">
        <v>216</v>
      </c>
      <c r="B840" s="87">
        <v>45852</v>
      </c>
      <c r="C840" t="s">
        <v>2275</v>
      </c>
      <c r="D840" t="s">
        <v>2110</v>
      </c>
      <c r="E840" t="s">
        <v>477</v>
      </c>
      <c r="F840" t="s">
        <v>778</v>
      </c>
      <c r="G840" t="s">
        <v>74</v>
      </c>
      <c r="H840" t="s">
        <v>470</v>
      </c>
      <c r="I840" t="s">
        <v>471</v>
      </c>
      <c r="J840">
        <v>50</v>
      </c>
    </row>
    <row r="841" spans="1:10">
      <c r="A841" s="90" t="s">
        <v>216</v>
      </c>
      <c r="B841" s="87">
        <v>45852</v>
      </c>
      <c r="C841" t="s">
        <v>511</v>
      </c>
      <c r="D841" t="s">
        <v>2110</v>
      </c>
      <c r="E841" t="s">
        <v>512</v>
      </c>
      <c r="F841" t="s">
        <v>778</v>
      </c>
      <c r="G841" t="s">
        <v>474</v>
      </c>
      <c r="H841" t="s">
        <v>470</v>
      </c>
      <c r="I841" t="s">
        <v>475</v>
      </c>
      <c r="J841">
        <v>185084.33</v>
      </c>
    </row>
    <row r="842" spans="1:10">
      <c r="A842" s="90" t="s">
        <v>216</v>
      </c>
      <c r="B842" s="87">
        <v>45853</v>
      </c>
      <c r="C842" t="s">
        <v>2827</v>
      </c>
      <c r="D842" t="s">
        <v>2110</v>
      </c>
      <c r="E842" t="s">
        <v>1667</v>
      </c>
      <c r="F842" t="s">
        <v>778</v>
      </c>
      <c r="G842" t="s">
        <v>71</v>
      </c>
      <c r="H842" t="s">
        <v>470</v>
      </c>
      <c r="I842" t="s">
        <v>475</v>
      </c>
      <c r="J842">
        <v>3954.8</v>
      </c>
    </row>
    <row r="843" spans="1:10">
      <c r="A843" s="90" t="s">
        <v>216</v>
      </c>
      <c r="B843" s="87">
        <v>45853</v>
      </c>
      <c r="C843" t="s">
        <v>511</v>
      </c>
      <c r="D843" t="s">
        <v>2110</v>
      </c>
      <c r="E843" t="s">
        <v>512</v>
      </c>
      <c r="F843" t="s">
        <v>778</v>
      </c>
      <c r="G843" t="s">
        <v>474</v>
      </c>
      <c r="H843" t="s">
        <v>470</v>
      </c>
      <c r="I843" t="s">
        <v>475</v>
      </c>
      <c r="J843">
        <v>3954.8</v>
      </c>
    </row>
    <row r="844" spans="1:10">
      <c r="A844" s="90" t="s">
        <v>216</v>
      </c>
      <c r="B844" s="87">
        <v>45854</v>
      </c>
      <c r="C844" t="s">
        <v>2828</v>
      </c>
      <c r="D844" t="s">
        <v>2110</v>
      </c>
      <c r="E844" t="s">
        <v>2564</v>
      </c>
      <c r="F844" t="s">
        <v>2829</v>
      </c>
      <c r="G844" t="s">
        <v>2115</v>
      </c>
      <c r="H844" t="s">
        <v>470</v>
      </c>
      <c r="I844" t="s">
        <v>796</v>
      </c>
      <c r="J844">
        <v>250</v>
      </c>
    </row>
    <row r="845" spans="1:10">
      <c r="A845" s="90" t="s">
        <v>216</v>
      </c>
      <c r="B845" s="87">
        <v>45854</v>
      </c>
      <c r="C845" t="s">
        <v>2828</v>
      </c>
      <c r="D845" t="s">
        <v>2110</v>
      </c>
      <c r="E845" t="s">
        <v>2564</v>
      </c>
      <c r="F845" t="s">
        <v>2829</v>
      </c>
      <c r="G845" t="s">
        <v>251</v>
      </c>
      <c r="H845" t="s">
        <v>470</v>
      </c>
      <c r="I845" t="s">
        <v>796</v>
      </c>
      <c r="J845">
        <v>949.18</v>
      </c>
    </row>
    <row r="846" spans="1:10">
      <c r="A846" s="90" t="s">
        <v>216</v>
      </c>
      <c r="B846" s="87">
        <v>45854</v>
      </c>
      <c r="C846" t="s">
        <v>2275</v>
      </c>
      <c r="D846" t="s">
        <v>2110</v>
      </c>
      <c r="E846" t="s">
        <v>477</v>
      </c>
      <c r="F846" t="s">
        <v>778</v>
      </c>
      <c r="G846" t="s">
        <v>74</v>
      </c>
      <c r="H846" t="s">
        <v>470</v>
      </c>
      <c r="I846" t="s">
        <v>471</v>
      </c>
      <c r="J846">
        <v>10</v>
      </c>
    </row>
    <row r="847" spans="1:10">
      <c r="A847" s="90" t="s">
        <v>216</v>
      </c>
      <c r="B847" s="87">
        <v>45854</v>
      </c>
      <c r="C847" t="s">
        <v>511</v>
      </c>
      <c r="D847" t="s">
        <v>2110</v>
      </c>
      <c r="E847" t="s">
        <v>512</v>
      </c>
      <c r="F847" t="s">
        <v>778</v>
      </c>
      <c r="G847" t="s">
        <v>474</v>
      </c>
      <c r="H847" t="s">
        <v>470</v>
      </c>
      <c r="I847" t="s">
        <v>475</v>
      </c>
      <c r="J847">
        <v>73142.509999999995</v>
      </c>
    </row>
    <row r="848" spans="1:10">
      <c r="A848" s="90" t="s">
        <v>216</v>
      </c>
      <c r="B848" s="87">
        <v>45855</v>
      </c>
      <c r="C848" t="s">
        <v>2830</v>
      </c>
      <c r="D848" t="s">
        <v>2110</v>
      </c>
      <c r="E848" t="s">
        <v>2277</v>
      </c>
      <c r="F848" t="s">
        <v>2305</v>
      </c>
      <c r="G848" t="s">
        <v>226</v>
      </c>
      <c r="H848" t="s">
        <v>2678</v>
      </c>
      <c r="I848" t="s">
        <v>796</v>
      </c>
      <c r="J848">
        <v>144.36000000000001</v>
      </c>
    </row>
    <row r="849" spans="1:10">
      <c r="A849" s="90" t="s">
        <v>216</v>
      </c>
      <c r="B849" s="87">
        <v>45855</v>
      </c>
      <c r="C849" t="s">
        <v>2479</v>
      </c>
      <c r="D849" t="s">
        <v>2110</v>
      </c>
      <c r="E849" t="s">
        <v>477</v>
      </c>
      <c r="F849" t="s">
        <v>778</v>
      </c>
      <c r="G849" t="s">
        <v>74</v>
      </c>
      <c r="H849" t="s">
        <v>470</v>
      </c>
      <c r="I849" t="s">
        <v>471</v>
      </c>
      <c r="J849">
        <v>30</v>
      </c>
    </row>
    <row r="850" spans="1:10">
      <c r="A850" s="90" t="s">
        <v>216</v>
      </c>
      <c r="B850" s="87">
        <v>45855</v>
      </c>
      <c r="C850" t="s">
        <v>511</v>
      </c>
      <c r="D850" t="s">
        <v>2110</v>
      </c>
      <c r="E850" t="s">
        <v>512</v>
      </c>
      <c r="F850" t="s">
        <v>778</v>
      </c>
      <c r="G850" t="s">
        <v>474</v>
      </c>
      <c r="H850" t="s">
        <v>470</v>
      </c>
      <c r="I850" t="s">
        <v>475</v>
      </c>
      <c r="J850">
        <v>10992.82</v>
      </c>
    </row>
    <row r="851" spans="1:10">
      <c r="A851" s="90" t="s">
        <v>216</v>
      </c>
      <c r="B851" s="87">
        <v>45856</v>
      </c>
      <c r="C851" t="s">
        <v>2831</v>
      </c>
      <c r="D851" t="s">
        <v>2110</v>
      </c>
      <c r="E851" t="s">
        <v>2791</v>
      </c>
      <c r="F851" t="s">
        <v>839</v>
      </c>
      <c r="G851" t="s">
        <v>2381</v>
      </c>
      <c r="H851" t="s">
        <v>470</v>
      </c>
      <c r="I851" t="s">
        <v>796</v>
      </c>
      <c r="J851">
        <v>258.41000000000003</v>
      </c>
    </row>
    <row r="852" spans="1:10">
      <c r="A852" s="90" t="s">
        <v>216</v>
      </c>
      <c r="B852" s="87">
        <v>45856</v>
      </c>
      <c r="C852" t="s">
        <v>2832</v>
      </c>
      <c r="D852" t="s">
        <v>2110</v>
      </c>
      <c r="E852" t="s">
        <v>970</v>
      </c>
      <c r="F852" t="s">
        <v>2808</v>
      </c>
      <c r="G852" t="s">
        <v>2381</v>
      </c>
      <c r="H852" t="s">
        <v>470</v>
      </c>
      <c r="I852" t="s">
        <v>796</v>
      </c>
      <c r="J852">
        <v>1005</v>
      </c>
    </row>
    <row r="853" spans="1:10">
      <c r="A853" s="90" t="s">
        <v>216</v>
      </c>
      <c r="B853" s="87">
        <v>45856</v>
      </c>
      <c r="C853" t="s">
        <v>2833</v>
      </c>
      <c r="D853" t="s">
        <v>2110</v>
      </c>
      <c r="E853" t="s">
        <v>2318</v>
      </c>
      <c r="F853" t="s">
        <v>741</v>
      </c>
      <c r="G853" t="s">
        <v>64</v>
      </c>
      <c r="H853" t="s">
        <v>2678</v>
      </c>
      <c r="I853" t="s">
        <v>796</v>
      </c>
      <c r="J853">
        <v>806</v>
      </c>
    </row>
    <row r="854" spans="1:10">
      <c r="A854" s="90" t="s">
        <v>216</v>
      </c>
      <c r="B854" s="87">
        <v>45856</v>
      </c>
      <c r="C854" t="s">
        <v>2275</v>
      </c>
      <c r="D854" t="s">
        <v>2110</v>
      </c>
      <c r="E854" t="s">
        <v>477</v>
      </c>
      <c r="F854" t="s">
        <v>778</v>
      </c>
      <c r="G854" t="s">
        <v>74</v>
      </c>
      <c r="H854" t="s">
        <v>470</v>
      </c>
      <c r="I854" t="s">
        <v>471</v>
      </c>
      <c r="J854">
        <v>40</v>
      </c>
    </row>
    <row r="855" spans="1:10">
      <c r="A855" s="90" t="s">
        <v>216</v>
      </c>
      <c r="B855" s="87">
        <v>45856</v>
      </c>
      <c r="C855" t="s">
        <v>2834</v>
      </c>
      <c r="D855" t="s">
        <v>2110</v>
      </c>
      <c r="E855" t="s">
        <v>1667</v>
      </c>
      <c r="F855" t="s">
        <v>569</v>
      </c>
      <c r="G855" t="s">
        <v>71</v>
      </c>
      <c r="H855" t="s">
        <v>470</v>
      </c>
      <c r="I855" t="s">
        <v>475</v>
      </c>
      <c r="J855">
        <v>3408</v>
      </c>
    </row>
    <row r="856" spans="1:10">
      <c r="A856" s="90" t="s">
        <v>216</v>
      </c>
      <c r="B856" s="87">
        <v>45856</v>
      </c>
      <c r="C856" t="s">
        <v>511</v>
      </c>
      <c r="D856" t="s">
        <v>2110</v>
      </c>
      <c r="E856" t="s">
        <v>512</v>
      </c>
      <c r="F856" t="s">
        <v>778</v>
      </c>
      <c r="G856" t="s">
        <v>474</v>
      </c>
      <c r="H856" t="s">
        <v>470</v>
      </c>
      <c r="I856" t="s">
        <v>475</v>
      </c>
      <c r="J856">
        <v>91205.07</v>
      </c>
    </row>
    <row r="857" spans="1:10">
      <c r="A857" s="90" t="s">
        <v>216</v>
      </c>
      <c r="B857" s="87">
        <v>45859</v>
      </c>
      <c r="C857" t="s">
        <v>2365</v>
      </c>
      <c r="D857" t="s">
        <v>2110</v>
      </c>
      <c r="E857" t="s">
        <v>2366</v>
      </c>
      <c r="F857" t="s">
        <v>778</v>
      </c>
      <c r="G857" t="s">
        <v>219</v>
      </c>
      <c r="H857" t="s">
        <v>470</v>
      </c>
      <c r="I857" t="s">
        <v>796</v>
      </c>
      <c r="J857">
        <v>100.04</v>
      </c>
    </row>
    <row r="858" spans="1:10">
      <c r="A858" s="90" t="s">
        <v>216</v>
      </c>
      <c r="B858" s="87">
        <v>45859</v>
      </c>
      <c r="C858" t="s">
        <v>2835</v>
      </c>
      <c r="D858" t="s">
        <v>2110</v>
      </c>
      <c r="E858" t="s">
        <v>1667</v>
      </c>
      <c r="F858" t="s">
        <v>778</v>
      </c>
      <c r="G858" t="s">
        <v>71</v>
      </c>
      <c r="H858" t="s">
        <v>470</v>
      </c>
      <c r="I858" t="s">
        <v>475</v>
      </c>
      <c r="J858">
        <v>3686.32</v>
      </c>
    </row>
    <row r="859" spans="1:10">
      <c r="A859" s="90" t="s">
        <v>216</v>
      </c>
      <c r="B859" s="87">
        <v>45859</v>
      </c>
      <c r="C859" t="s">
        <v>2836</v>
      </c>
      <c r="D859" t="s">
        <v>2110</v>
      </c>
      <c r="E859" t="s">
        <v>477</v>
      </c>
      <c r="F859" t="s">
        <v>2311</v>
      </c>
      <c r="G859" t="s">
        <v>515</v>
      </c>
      <c r="H859" t="s">
        <v>2837</v>
      </c>
      <c r="I859" t="s">
        <v>471</v>
      </c>
      <c r="J859">
        <v>55555.56</v>
      </c>
    </row>
    <row r="860" spans="1:10">
      <c r="A860" s="90" t="s">
        <v>216</v>
      </c>
      <c r="B860" s="87">
        <v>45859</v>
      </c>
      <c r="C860" t="s">
        <v>2836</v>
      </c>
      <c r="D860" t="s">
        <v>2110</v>
      </c>
      <c r="E860" t="s">
        <v>477</v>
      </c>
      <c r="F860" t="s">
        <v>2311</v>
      </c>
      <c r="G860" t="s">
        <v>69</v>
      </c>
      <c r="H860" t="s">
        <v>2837</v>
      </c>
      <c r="I860" t="s">
        <v>471</v>
      </c>
      <c r="J860">
        <v>2466.67</v>
      </c>
    </row>
    <row r="861" spans="1:10">
      <c r="A861" s="90" t="s">
        <v>216</v>
      </c>
      <c r="B861" s="87">
        <v>45859</v>
      </c>
      <c r="C861" t="s">
        <v>2275</v>
      </c>
      <c r="D861" t="s">
        <v>2110</v>
      </c>
      <c r="E861" t="s">
        <v>477</v>
      </c>
      <c r="F861" t="s">
        <v>778</v>
      </c>
      <c r="G861" t="s">
        <v>74</v>
      </c>
      <c r="H861" t="s">
        <v>470</v>
      </c>
      <c r="I861" t="s">
        <v>471</v>
      </c>
      <c r="J861">
        <v>20</v>
      </c>
    </row>
    <row r="862" spans="1:10">
      <c r="A862" s="90" t="s">
        <v>216</v>
      </c>
      <c r="B862" s="87">
        <v>45859</v>
      </c>
      <c r="C862" t="s">
        <v>511</v>
      </c>
      <c r="D862" t="s">
        <v>2110</v>
      </c>
      <c r="E862" t="s">
        <v>512</v>
      </c>
      <c r="F862" t="s">
        <v>778</v>
      </c>
      <c r="G862" t="s">
        <v>474</v>
      </c>
      <c r="H862" t="s">
        <v>470</v>
      </c>
      <c r="I862" t="s">
        <v>475</v>
      </c>
      <c r="J862">
        <v>199486.44</v>
      </c>
    </row>
    <row r="863" spans="1:10">
      <c r="A863" s="90" t="s">
        <v>216</v>
      </c>
      <c r="B863" s="87">
        <v>45861</v>
      </c>
      <c r="C863" t="s">
        <v>2838</v>
      </c>
      <c r="D863" t="s">
        <v>2110</v>
      </c>
      <c r="E863" t="s">
        <v>2839</v>
      </c>
      <c r="F863" t="s">
        <v>2840</v>
      </c>
      <c r="G863" t="s">
        <v>2115</v>
      </c>
      <c r="H863" t="s">
        <v>470</v>
      </c>
      <c r="I863" t="s">
        <v>487</v>
      </c>
      <c r="J863">
        <v>960</v>
      </c>
    </row>
    <row r="864" spans="1:10">
      <c r="A864" s="90" t="s">
        <v>216</v>
      </c>
      <c r="B864" s="87">
        <v>45861</v>
      </c>
      <c r="C864" t="s">
        <v>2841</v>
      </c>
      <c r="D864" t="s">
        <v>2110</v>
      </c>
      <c r="E864" t="s">
        <v>1667</v>
      </c>
      <c r="F864" t="s">
        <v>778</v>
      </c>
      <c r="G864" t="s">
        <v>71</v>
      </c>
      <c r="H864" t="s">
        <v>470</v>
      </c>
      <c r="I864" t="s">
        <v>475</v>
      </c>
      <c r="J864">
        <v>1941.2</v>
      </c>
    </row>
    <row r="865" spans="1:10">
      <c r="A865" s="90" t="s">
        <v>216</v>
      </c>
      <c r="B865" s="87">
        <v>45861</v>
      </c>
      <c r="C865" t="s">
        <v>517</v>
      </c>
      <c r="D865" t="s">
        <v>2110</v>
      </c>
      <c r="E865" t="s">
        <v>512</v>
      </c>
      <c r="F865" t="s">
        <v>778</v>
      </c>
      <c r="G865" t="s">
        <v>474</v>
      </c>
      <c r="H865" t="s">
        <v>470</v>
      </c>
      <c r="I865" t="s">
        <v>475</v>
      </c>
      <c r="J865">
        <v>2000000</v>
      </c>
    </row>
    <row r="866" spans="1:10">
      <c r="A866" s="90" t="s">
        <v>216</v>
      </c>
      <c r="B866" s="87">
        <v>45861</v>
      </c>
      <c r="C866" t="s">
        <v>2842</v>
      </c>
      <c r="D866" t="s">
        <v>2110</v>
      </c>
      <c r="E866" t="s">
        <v>2316</v>
      </c>
      <c r="F866" t="s">
        <v>778</v>
      </c>
      <c r="G866" t="s">
        <v>217</v>
      </c>
      <c r="H866" t="s">
        <v>2795</v>
      </c>
      <c r="I866" t="s">
        <v>796</v>
      </c>
      <c r="J866">
        <v>102.75</v>
      </c>
    </row>
    <row r="867" spans="1:10">
      <c r="A867" s="90" t="s">
        <v>216</v>
      </c>
      <c r="B867" s="87">
        <v>45861</v>
      </c>
      <c r="C867" t="s">
        <v>2275</v>
      </c>
      <c r="D867" t="s">
        <v>2110</v>
      </c>
      <c r="E867" t="s">
        <v>477</v>
      </c>
      <c r="F867" t="s">
        <v>778</v>
      </c>
      <c r="G867" t="s">
        <v>74</v>
      </c>
      <c r="H867" t="s">
        <v>470</v>
      </c>
      <c r="I867" t="s">
        <v>471</v>
      </c>
      <c r="J867">
        <v>39.5</v>
      </c>
    </row>
    <row r="868" spans="1:10">
      <c r="A868" s="90" t="s">
        <v>216</v>
      </c>
      <c r="B868" s="87">
        <v>45861</v>
      </c>
      <c r="C868" t="s">
        <v>517</v>
      </c>
      <c r="D868" t="s">
        <v>2110</v>
      </c>
      <c r="E868" t="s">
        <v>512</v>
      </c>
      <c r="F868" t="s">
        <v>778</v>
      </c>
      <c r="G868" t="s">
        <v>474</v>
      </c>
      <c r="H868" t="s">
        <v>470</v>
      </c>
      <c r="I868" t="s">
        <v>475</v>
      </c>
      <c r="J868">
        <v>193868.79999999999</v>
      </c>
    </row>
    <row r="869" spans="1:10">
      <c r="A869" s="90" t="s">
        <v>216</v>
      </c>
      <c r="B869" s="87">
        <v>45862</v>
      </c>
      <c r="C869" t="s">
        <v>2275</v>
      </c>
      <c r="D869" t="s">
        <v>2110</v>
      </c>
      <c r="E869" t="s">
        <v>477</v>
      </c>
      <c r="F869" t="s">
        <v>778</v>
      </c>
      <c r="G869" t="s">
        <v>74</v>
      </c>
      <c r="H869" t="s">
        <v>470</v>
      </c>
      <c r="I869" t="s">
        <v>471</v>
      </c>
      <c r="J869">
        <v>10</v>
      </c>
    </row>
    <row r="870" spans="1:10">
      <c r="A870" s="90" t="s">
        <v>216</v>
      </c>
      <c r="B870" s="87">
        <v>45862</v>
      </c>
      <c r="C870" t="s">
        <v>511</v>
      </c>
      <c r="D870" t="s">
        <v>2110</v>
      </c>
      <c r="E870" t="s">
        <v>512</v>
      </c>
      <c r="F870" t="s">
        <v>778</v>
      </c>
      <c r="G870" t="s">
        <v>474</v>
      </c>
      <c r="H870" t="s">
        <v>470</v>
      </c>
      <c r="I870" t="s">
        <v>475</v>
      </c>
      <c r="J870">
        <v>18014.32</v>
      </c>
    </row>
    <row r="871" spans="1:10">
      <c r="A871" s="90" t="s">
        <v>216</v>
      </c>
      <c r="B871" s="87">
        <v>45863</v>
      </c>
      <c r="C871" t="s">
        <v>2843</v>
      </c>
      <c r="D871" t="s">
        <v>2110</v>
      </c>
      <c r="E871" t="s">
        <v>1002</v>
      </c>
      <c r="F871" t="s">
        <v>706</v>
      </c>
      <c r="G871" t="s">
        <v>2115</v>
      </c>
      <c r="H871" t="s">
        <v>470</v>
      </c>
      <c r="I871" t="s">
        <v>796</v>
      </c>
      <c r="J871">
        <v>180</v>
      </c>
    </row>
    <row r="872" spans="1:10">
      <c r="A872" s="90" t="s">
        <v>216</v>
      </c>
      <c r="B872" s="87">
        <v>45863</v>
      </c>
      <c r="C872" t="s">
        <v>2843</v>
      </c>
      <c r="D872" t="s">
        <v>2110</v>
      </c>
      <c r="E872" t="s">
        <v>1002</v>
      </c>
      <c r="F872" t="s">
        <v>706</v>
      </c>
      <c r="G872" t="s">
        <v>223</v>
      </c>
      <c r="H872" t="s">
        <v>470</v>
      </c>
      <c r="I872" t="s">
        <v>796</v>
      </c>
      <c r="J872">
        <v>1967.6</v>
      </c>
    </row>
    <row r="873" spans="1:10">
      <c r="A873" s="90" t="s">
        <v>216</v>
      </c>
      <c r="B873" s="87">
        <v>45863</v>
      </c>
      <c r="C873" t="s">
        <v>2844</v>
      </c>
      <c r="D873" t="s">
        <v>2110</v>
      </c>
      <c r="E873" t="s">
        <v>1667</v>
      </c>
      <c r="F873" t="s">
        <v>778</v>
      </c>
      <c r="G873" t="s">
        <v>71</v>
      </c>
      <c r="H873" t="s">
        <v>470</v>
      </c>
      <c r="I873" t="s">
        <v>475</v>
      </c>
      <c r="J873">
        <v>2579</v>
      </c>
    </row>
    <row r="874" spans="1:10">
      <c r="A874" s="90" t="s">
        <v>216</v>
      </c>
      <c r="B874" s="87">
        <v>45863</v>
      </c>
      <c r="C874" t="s">
        <v>2275</v>
      </c>
      <c r="D874" t="s">
        <v>2110</v>
      </c>
      <c r="E874" t="s">
        <v>477</v>
      </c>
      <c r="F874" t="s">
        <v>778</v>
      </c>
      <c r="G874" t="s">
        <v>74</v>
      </c>
      <c r="H874" t="s">
        <v>470</v>
      </c>
      <c r="I874" t="s">
        <v>471</v>
      </c>
      <c r="J874">
        <v>20</v>
      </c>
    </row>
    <row r="875" spans="1:10">
      <c r="A875" s="90" t="s">
        <v>216</v>
      </c>
      <c r="B875" s="87">
        <v>45863</v>
      </c>
      <c r="C875" t="s">
        <v>2479</v>
      </c>
      <c r="D875" t="s">
        <v>2110</v>
      </c>
      <c r="E875" t="s">
        <v>477</v>
      </c>
      <c r="F875" t="s">
        <v>778</v>
      </c>
      <c r="G875" t="s">
        <v>74</v>
      </c>
      <c r="H875" t="s">
        <v>470</v>
      </c>
      <c r="I875" t="s">
        <v>471</v>
      </c>
      <c r="J875">
        <v>6.5</v>
      </c>
    </row>
    <row r="876" spans="1:10">
      <c r="A876" s="90" t="s">
        <v>216</v>
      </c>
      <c r="B876" s="87">
        <v>45863</v>
      </c>
      <c r="C876" t="s">
        <v>511</v>
      </c>
      <c r="D876" t="s">
        <v>2110</v>
      </c>
      <c r="E876" t="s">
        <v>512</v>
      </c>
      <c r="F876" t="s">
        <v>778</v>
      </c>
      <c r="G876" t="s">
        <v>474</v>
      </c>
      <c r="H876" t="s">
        <v>470</v>
      </c>
      <c r="I876" t="s">
        <v>475</v>
      </c>
      <c r="J876">
        <v>111563.24</v>
      </c>
    </row>
    <row r="877" spans="1:10">
      <c r="A877" s="90" t="s">
        <v>216</v>
      </c>
      <c r="B877" s="87">
        <v>45863</v>
      </c>
      <c r="C877" t="s">
        <v>2845</v>
      </c>
      <c r="D877" t="s">
        <v>2110</v>
      </c>
      <c r="E877" t="s">
        <v>477</v>
      </c>
      <c r="F877" t="s">
        <v>263</v>
      </c>
      <c r="G877" t="s">
        <v>74</v>
      </c>
      <c r="H877" t="s">
        <v>470</v>
      </c>
      <c r="I877" t="s">
        <v>471</v>
      </c>
      <c r="J877">
        <v>250</v>
      </c>
    </row>
    <row r="878" spans="1:10">
      <c r="A878" s="90" t="s">
        <v>216</v>
      </c>
      <c r="B878" s="87">
        <v>45866</v>
      </c>
      <c r="C878" t="s">
        <v>2846</v>
      </c>
      <c r="D878" t="s">
        <v>2110</v>
      </c>
      <c r="E878" t="s">
        <v>2322</v>
      </c>
      <c r="F878" t="s">
        <v>2847</v>
      </c>
      <c r="G878" t="s">
        <v>191</v>
      </c>
      <c r="H878" t="s">
        <v>470</v>
      </c>
      <c r="I878" t="s">
        <v>796</v>
      </c>
      <c r="J878">
        <v>1088.6600000000001</v>
      </c>
    </row>
    <row r="879" spans="1:10">
      <c r="A879" s="90" t="s">
        <v>216</v>
      </c>
      <c r="B879" s="87">
        <v>45866</v>
      </c>
      <c r="C879" t="s">
        <v>2848</v>
      </c>
      <c r="D879" t="s">
        <v>2110</v>
      </c>
      <c r="E879" t="s">
        <v>477</v>
      </c>
      <c r="F879" t="s">
        <v>778</v>
      </c>
      <c r="G879" t="s">
        <v>74</v>
      </c>
      <c r="H879" t="s">
        <v>470</v>
      </c>
      <c r="I879" t="s">
        <v>471</v>
      </c>
      <c r="J879">
        <v>15</v>
      </c>
    </row>
    <row r="880" spans="1:10">
      <c r="A880" s="90" t="s">
        <v>216</v>
      </c>
      <c r="B880" s="87">
        <v>45866</v>
      </c>
      <c r="C880" t="s">
        <v>2848</v>
      </c>
      <c r="D880" t="s">
        <v>2110</v>
      </c>
      <c r="E880" t="s">
        <v>477</v>
      </c>
      <c r="F880" t="s">
        <v>778</v>
      </c>
      <c r="G880" t="s">
        <v>232</v>
      </c>
      <c r="H880" t="s">
        <v>470</v>
      </c>
      <c r="I880" t="s">
        <v>471</v>
      </c>
      <c r="J880">
        <v>2085</v>
      </c>
    </row>
    <row r="881" spans="1:10">
      <c r="A881" s="90" t="s">
        <v>216</v>
      </c>
      <c r="B881" s="87">
        <v>45866</v>
      </c>
      <c r="C881" t="s">
        <v>2849</v>
      </c>
      <c r="D881" t="s">
        <v>2110</v>
      </c>
      <c r="E881" t="s">
        <v>477</v>
      </c>
      <c r="F881" t="s">
        <v>2325</v>
      </c>
      <c r="G881" t="s">
        <v>515</v>
      </c>
      <c r="H881" t="s">
        <v>2850</v>
      </c>
      <c r="I881" t="s">
        <v>471</v>
      </c>
      <c r="J881">
        <v>33666.57</v>
      </c>
    </row>
    <row r="882" spans="1:10">
      <c r="A882" s="90" t="s">
        <v>216</v>
      </c>
      <c r="B882" s="87">
        <v>45866</v>
      </c>
      <c r="C882" t="s">
        <v>2849</v>
      </c>
      <c r="D882" t="s">
        <v>2110</v>
      </c>
      <c r="E882" t="s">
        <v>477</v>
      </c>
      <c r="F882" t="s">
        <v>2325</v>
      </c>
      <c r="G882" t="s">
        <v>69</v>
      </c>
      <c r="H882" t="s">
        <v>2850</v>
      </c>
      <c r="I882" t="s">
        <v>471</v>
      </c>
      <c r="J882">
        <v>6127.43</v>
      </c>
    </row>
    <row r="883" spans="1:10">
      <c r="A883" s="90" t="s">
        <v>216</v>
      </c>
      <c r="B883" s="87">
        <v>45866</v>
      </c>
      <c r="C883" t="s">
        <v>2275</v>
      </c>
      <c r="D883" t="s">
        <v>2110</v>
      </c>
      <c r="E883" t="s">
        <v>477</v>
      </c>
      <c r="F883" t="s">
        <v>778</v>
      </c>
      <c r="G883" t="s">
        <v>74</v>
      </c>
      <c r="H883" t="s">
        <v>470</v>
      </c>
      <c r="I883" t="s">
        <v>471</v>
      </c>
      <c r="J883">
        <v>10</v>
      </c>
    </row>
    <row r="884" spans="1:10">
      <c r="A884" s="90" t="s">
        <v>216</v>
      </c>
      <c r="B884" s="87">
        <v>45866</v>
      </c>
      <c r="C884" t="s">
        <v>511</v>
      </c>
      <c r="D884" t="s">
        <v>2110</v>
      </c>
      <c r="E884" t="s">
        <v>512</v>
      </c>
      <c r="F884" t="s">
        <v>778</v>
      </c>
      <c r="G884" t="s">
        <v>474</v>
      </c>
      <c r="H884" t="s">
        <v>470</v>
      </c>
      <c r="I884" t="s">
        <v>475</v>
      </c>
      <c r="J884">
        <v>52649.46</v>
      </c>
    </row>
    <row r="885" spans="1:10">
      <c r="A885" s="90" t="s">
        <v>216</v>
      </c>
      <c r="B885" s="87">
        <v>45867</v>
      </c>
      <c r="C885" t="s">
        <v>2275</v>
      </c>
      <c r="D885" t="s">
        <v>2110</v>
      </c>
      <c r="E885" t="s">
        <v>2393</v>
      </c>
      <c r="F885" t="s">
        <v>778</v>
      </c>
      <c r="G885" t="s">
        <v>74</v>
      </c>
      <c r="H885" t="s">
        <v>470</v>
      </c>
      <c r="I885" t="s">
        <v>471</v>
      </c>
      <c r="J885">
        <v>20</v>
      </c>
    </row>
    <row r="886" spans="1:10">
      <c r="A886" s="90" t="s">
        <v>216</v>
      </c>
      <c r="B886" s="87">
        <v>45867</v>
      </c>
      <c r="C886" t="s">
        <v>511</v>
      </c>
      <c r="D886" t="s">
        <v>2110</v>
      </c>
      <c r="E886" t="s">
        <v>512</v>
      </c>
      <c r="F886" t="s">
        <v>778</v>
      </c>
      <c r="G886" t="s">
        <v>474</v>
      </c>
      <c r="H886" t="s">
        <v>470</v>
      </c>
      <c r="I886" t="s">
        <v>475</v>
      </c>
      <c r="J886">
        <v>9815.2800000000007</v>
      </c>
    </row>
    <row r="887" spans="1:10">
      <c r="A887" s="90" t="s">
        <v>216</v>
      </c>
      <c r="B887" s="87">
        <v>45868</v>
      </c>
      <c r="C887" t="s">
        <v>2851</v>
      </c>
      <c r="D887" t="s">
        <v>2110</v>
      </c>
      <c r="E887" t="s">
        <v>785</v>
      </c>
      <c r="F887" t="s">
        <v>2852</v>
      </c>
      <c r="G887" t="s">
        <v>2213</v>
      </c>
      <c r="H887" t="s">
        <v>470</v>
      </c>
      <c r="I887" t="s">
        <v>475</v>
      </c>
      <c r="J887">
        <v>3038.6</v>
      </c>
    </row>
    <row r="888" spans="1:10">
      <c r="A888" s="90" t="s">
        <v>216</v>
      </c>
      <c r="B888" s="87">
        <v>45868</v>
      </c>
      <c r="C888" t="s">
        <v>2853</v>
      </c>
      <c r="D888" t="s">
        <v>2110</v>
      </c>
      <c r="E888" t="s">
        <v>785</v>
      </c>
      <c r="F888" t="s">
        <v>2852</v>
      </c>
      <c r="G888" t="s">
        <v>181</v>
      </c>
      <c r="H888" t="s">
        <v>470</v>
      </c>
      <c r="I888" t="s">
        <v>475</v>
      </c>
      <c r="J888">
        <v>9155.1200000000008</v>
      </c>
    </row>
    <row r="889" spans="1:10">
      <c r="A889" s="90" t="s">
        <v>216</v>
      </c>
      <c r="B889" s="87">
        <v>45868</v>
      </c>
      <c r="C889" t="s">
        <v>2478</v>
      </c>
      <c r="D889" t="s">
        <v>2110</v>
      </c>
      <c r="E889" t="s">
        <v>480</v>
      </c>
      <c r="F889" t="s">
        <v>778</v>
      </c>
      <c r="G889" t="s">
        <v>198</v>
      </c>
      <c r="H889" t="s">
        <v>470</v>
      </c>
      <c r="I889" t="s">
        <v>475</v>
      </c>
      <c r="J889">
        <v>413.7</v>
      </c>
    </row>
    <row r="890" spans="1:10">
      <c r="A890" s="90" t="s">
        <v>216</v>
      </c>
      <c r="B890" s="87">
        <v>45868</v>
      </c>
      <c r="C890" t="s">
        <v>2478</v>
      </c>
      <c r="D890" t="s">
        <v>2110</v>
      </c>
      <c r="E890" t="s">
        <v>480</v>
      </c>
      <c r="F890" t="s">
        <v>778</v>
      </c>
      <c r="G890" t="s">
        <v>191</v>
      </c>
      <c r="H890" t="s">
        <v>470</v>
      </c>
      <c r="I890" t="s">
        <v>475</v>
      </c>
      <c r="J890">
        <v>600</v>
      </c>
    </row>
    <row r="891" spans="1:10">
      <c r="A891" s="90" t="s">
        <v>216</v>
      </c>
      <c r="B891" s="87">
        <v>45868</v>
      </c>
      <c r="C891" t="s">
        <v>2478</v>
      </c>
      <c r="D891" t="s">
        <v>2110</v>
      </c>
      <c r="E891" t="s">
        <v>480</v>
      </c>
      <c r="F891" t="s">
        <v>778</v>
      </c>
      <c r="G891" t="s">
        <v>232</v>
      </c>
      <c r="H891" t="s">
        <v>470</v>
      </c>
      <c r="I891" t="s">
        <v>475</v>
      </c>
      <c r="J891">
        <v>200</v>
      </c>
    </row>
    <row r="892" spans="1:10">
      <c r="A892" s="90" t="s">
        <v>216</v>
      </c>
      <c r="B892" s="87">
        <v>45868</v>
      </c>
      <c r="C892" t="s">
        <v>2478</v>
      </c>
      <c r="D892" t="s">
        <v>2110</v>
      </c>
      <c r="E892" t="s">
        <v>480</v>
      </c>
      <c r="F892" t="s">
        <v>778</v>
      </c>
      <c r="G892" t="s">
        <v>75</v>
      </c>
      <c r="H892" t="s">
        <v>470</v>
      </c>
      <c r="I892" t="s">
        <v>475</v>
      </c>
      <c r="J892">
        <v>906.18</v>
      </c>
    </row>
    <row r="893" spans="1:10">
      <c r="A893" s="90" t="s">
        <v>216</v>
      </c>
      <c r="B893" s="87">
        <v>45868</v>
      </c>
      <c r="C893" t="s">
        <v>2854</v>
      </c>
      <c r="D893" t="s">
        <v>2110</v>
      </c>
      <c r="E893" t="s">
        <v>785</v>
      </c>
      <c r="F893" t="s">
        <v>235</v>
      </c>
      <c r="G893" t="s">
        <v>2213</v>
      </c>
      <c r="H893" t="s">
        <v>470</v>
      </c>
      <c r="I893" t="s">
        <v>475</v>
      </c>
      <c r="J893">
        <v>2400</v>
      </c>
    </row>
    <row r="894" spans="1:10">
      <c r="A894" s="90" t="s">
        <v>216</v>
      </c>
      <c r="B894" s="87">
        <v>45868</v>
      </c>
      <c r="C894" t="s">
        <v>2854</v>
      </c>
      <c r="D894" t="s">
        <v>2110</v>
      </c>
      <c r="E894" t="s">
        <v>785</v>
      </c>
      <c r="F894" t="s">
        <v>235</v>
      </c>
      <c r="G894" t="s">
        <v>181</v>
      </c>
      <c r="H894" t="s">
        <v>470</v>
      </c>
      <c r="I894" t="s">
        <v>475</v>
      </c>
      <c r="J894">
        <v>883.2</v>
      </c>
    </row>
    <row r="895" spans="1:10">
      <c r="A895" s="90" t="s">
        <v>216</v>
      </c>
      <c r="B895" s="87">
        <v>45868</v>
      </c>
      <c r="C895" t="s">
        <v>2855</v>
      </c>
      <c r="D895" t="s">
        <v>2110</v>
      </c>
      <c r="E895" t="s">
        <v>785</v>
      </c>
      <c r="F895" t="s">
        <v>241</v>
      </c>
      <c r="G895" t="s">
        <v>2213</v>
      </c>
      <c r="H895" t="s">
        <v>470</v>
      </c>
      <c r="I895" t="s">
        <v>475</v>
      </c>
      <c r="J895">
        <v>20142.669999999998</v>
      </c>
    </row>
    <row r="896" spans="1:10">
      <c r="A896" s="90" t="s">
        <v>216</v>
      </c>
      <c r="B896" s="87">
        <v>45868</v>
      </c>
      <c r="C896" t="s">
        <v>2855</v>
      </c>
      <c r="D896" t="s">
        <v>2110</v>
      </c>
      <c r="E896" t="s">
        <v>785</v>
      </c>
      <c r="F896" t="s">
        <v>241</v>
      </c>
      <c r="G896" t="s">
        <v>181</v>
      </c>
      <c r="H896" t="s">
        <v>470</v>
      </c>
      <c r="I896" t="s">
        <v>475</v>
      </c>
      <c r="J896">
        <v>6897.81</v>
      </c>
    </row>
    <row r="897" spans="1:10">
      <c r="A897" s="90" t="s">
        <v>216</v>
      </c>
      <c r="B897" s="87">
        <v>45868</v>
      </c>
      <c r="C897" t="s">
        <v>2856</v>
      </c>
      <c r="D897" t="s">
        <v>2110</v>
      </c>
      <c r="E897" t="s">
        <v>785</v>
      </c>
      <c r="F897" t="s">
        <v>246</v>
      </c>
      <c r="G897" t="s">
        <v>2213</v>
      </c>
      <c r="H897" t="s">
        <v>470</v>
      </c>
      <c r="I897" t="s">
        <v>475</v>
      </c>
      <c r="J897">
        <v>6121.83</v>
      </c>
    </row>
    <row r="898" spans="1:10">
      <c r="A898" s="90" t="s">
        <v>216</v>
      </c>
      <c r="B898" s="87">
        <v>45868</v>
      </c>
      <c r="C898" t="s">
        <v>2857</v>
      </c>
      <c r="D898" t="s">
        <v>2110</v>
      </c>
      <c r="E898" t="s">
        <v>785</v>
      </c>
      <c r="F898" t="s">
        <v>246</v>
      </c>
      <c r="G898" t="s">
        <v>181</v>
      </c>
      <c r="H898" t="s">
        <v>470</v>
      </c>
      <c r="I898" t="s">
        <v>475</v>
      </c>
      <c r="J898">
        <v>6072.86</v>
      </c>
    </row>
    <row r="899" spans="1:10">
      <c r="A899" s="90" t="s">
        <v>216</v>
      </c>
      <c r="B899" s="87">
        <v>45868</v>
      </c>
      <c r="C899" t="s">
        <v>2858</v>
      </c>
      <c r="D899" t="s">
        <v>2110</v>
      </c>
      <c r="E899" t="s">
        <v>785</v>
      </c>
      <c r="F899" t="s">
        <v>258</v>
      </c>
      <c r="G899" t="s">
        <v>2213</v>
      </c>
      <c r="H899" t="s">
        <v>470</v>
      </c>
      <c r="I899" t="s">
        <v>475</v>
      </c>
      <c r="J899">
        <v>2149.58</v>
      </c>
    </row>
    <row r="900" spans="1:10">
      <c r="A900" s="90" t="s">
        <v>216</v>
      </c>
      <c r="B900" s="87">
        <v>45868</v>
      </c>
      <c r="C900" t="s">
        <v>2859</v>
      </c>
      <c r="D900" t="s">
        <v>2110</v>
      </c>
      <c r="E900" t="s">
        <v>785</v>
      </c>
      <c r="F900" t="s">
        <v>248</v>
      </c>
      <c r="G900" t="s">
        <v>2213</v>
      </c>
      <c r="H900" t="s">
        <v>470</v>
      </c>
      <c r="I900" t="s">
        <v>475</v>
      </c>
      <c r="J900">
        <v>3216.74</v>
      </c>
    </row>
    <row r="901" spans="1:10">
      <c r="A901" s="90" t="s">
        <v>216</v>
      </c>
      <c r="B901" s="87">
        <v>45868</v>
      </c>
      <c r="C901" t="s">
        <v>2860</v>
      </c>
      <c r="D901" t="s">
        <v>2110</v>
      </c>
      <c r="E901" t="s">
        <v>785</v>
      </c>
      <c r="F901" t="s">
        <v>248</v>
      </c>
      <c r="G901" t="s">
        <v>181</v>
      </c>
      <c r="H901" t="s">
        <v>470</v>
      </c>
      <c r="I901" t="s">
        <v>475</v>
      </c>
      <c r="J901">
        <v>5854.7</v>
      </c>
    </row>
    <row r="902" spans="1:10">
      <c r="A902" s="90" t="s">
        <v>216</v>
      </c>
      <c r="B902" s="87">
        <v>45868</v>
      </c>
      <c r="C902" t="s">
        <v>2861</v>
      </c>
      <c r="D902" t="s">
        <v>2110</v>
      </c>
      <c r="E902" t="s">
        <v>2372</v>
      </c>
      <c r="F902" t="s">
        <v>778</v>
      </c>
      <c r="G902" t="s">
        <v>231</v>
      </c>
      <c r="H902" t="s">
        <v>2285</v>
      </c>
      <c r="I902" t="s">
        <v>796</v>
      </c>
      <c r="J902">
        <v>1083.5999999999999</v>
      </c>
    </row>
    <row r="903" spans="1:10">
      <c r="A903" s="90" t="s">
        <v>216</v>
      </c>
      <c r="B903" s="87">
        <v>45868</v>
      </c>
      <c r="C903" t="s">
        <v>511</v>
      </c>
      <c r="D903" t="s">
        <v>2110</v>
      </c>
      <c r="E903" t="s">
        <v>512</v>
      </c>
      <c r="F903" t="s">
        <v>778</v>
      </c>
      <c r="G903" t="s">
        <v>474</v>
      </c>
      <c r="H903" t="s">
        <v>470</v>
      </c>
      <c r="I903" t="s">
        <v>475</v>
      </c>
      <c r="J903">
        <v>1828.82</v>
      </c>
    </row>
    <row r="904" spans="1:10">
      <c r="A904" s="90" t="s">
        <v>216</v>
      </c>
      <c r="B904" s="87">
        <v>45868</v>
      </c>
      <c r="C904" t="s">
        <v>511</v>
      </c>
      <c r="D904" t="s">
        <v>2110</v>
      </c>
      <c r="E904" t="s">
        <v>512</v>
      </c>
      <c r="F904" t="s">
        <v>778</v>
      </c>
      <c r="G904" t="s">
        <v>474</v>
      </c>
      <c r="H904" t="s">
        <v>470</v>
      </c>
      <c r="I904" t="s">
        <v>475</v>
      </c>
      <c r="J904">
        <v>1374.66</v>
      </c>
    </row>
    <row r="905" spans="1:10">
      <c r="A905" s="90" t="s">
        <v>216</v>
      </c>
      <c r="B905" s="87">
        <v>45869</v>
      </c>
      <c r="C905" t="s">
        <v>2862</v>
      </c>
      <c r="D905" t="s">
        <v>2110</v>
      </c>
      <c r="E905" t="s">
        <v>1756</v>
      </c>
      <c r="F905" t="s">
        <v>741</v>
      </c>
      <c r="G905" t="s">
        <v>67</v>
      </c>
      <c r="H905" t="s">
        <v>470</v>
      </c>
      <c r="I905" t="s">
        <v>796</v>
      </c>
      <c r="J905">
        <v>262.17</v>
      </c>
    </row>
    <row r="906" spans="1:10">
      <c r="A906" s="90" t="s">
        <v>216</v>
      </c>
      <c r="B906" s="87">
        <v>45869</v>
      </c>
      <c r="C906" t="s">
        <v>2862</v>
      </c>
      <c r="D906" t="s">
        <v>2110</v>
      </c>
      <c r="E906" t="s">
        <v>1756</v>
      </c>
      <c r="F906" t="s">
        <v>741</v>
      </c>
      <c r="G906" t="s">
        <v>59</v>
      </c>
      <c r="H906" t="s">
        <v>470</v>
      </c>
      <c r="I906" t="s">
        <v>796</v>
      </c>
      <c r="J906">
        <v>386.43</v>
      </c>
    </row>
    <row r="907" spans="1:10">
      <c r="A907" s="90" t="s">
        <v>216</v>
      </c>
      <c r="B907" s="87">
        <v>45869</v>
      </c>
      <c r="C907" t="s">
        <v>2863</v>
      </c>
      <c r="D907" t="s">
        <v>2110</v>
      </c>
      <c r="E907" t="s">
        <v>1137</v>
      </c>
      <c r="F907" t="s">
        <v>2864</v>
      </c>
      <c r="G907" t="s">
        <v>61</v>
      </c>
      <c r="H907" t="s">
        <v>2795</v>
      </c>
      <c r="I907" t="s">
        <v>487</v>
      </c>
      <c r="J907">
        <v>1518</v>
      </c>
    </row>
    <row r="908" spans="1:10">
      <c r="A908" s="90" t="s">
        <v>216</v>
      </c>
      <c r="B908" s="87">
        <v>45869</v>
      </c>
      <c r="C908" t="s">
        <v>2784</v>
      </c>
      <c r="D908" t="s">
        <v>2110</v>
      </c>
      <c r="E908" t="s">
        <v>480</v>
      </c>
      <c r="F908" t="s">
        <v>778</v>
      </c>
      <c r="G908" t="s">
        <v>71</v>
      </c>
      <c r="H908" t="s">
        <v>2795</v>
      </c>
      <c r="I908" t="s">
        <v>475</v>
      </c>
      <c r="J908">
        <v>2314</v>
      </c>
    </row>
    <row r="909" spans="1:10">
      <c r="A909" s="90" t="s">
        <v>216</v>
      </c>
      <c r="B909" s="87">
        <v>45869</v>
      </c>
      <c r="C909" t="s">
        <v>2865</v>
      </c>
      <c r="D909" t="s">
        <v>2110</v>
      </c>
      <c r="E909" t="s">
        <v>2300</v>
      </c>
      <c r="F909" t="s">
        <v>778</v>
      </c>
      <c r="G909" t="s">
        <v>220</v>
      </c>
      <c r="H909" t="s">
        <v>2866</v>
      </c>
      <c r="I909" t="s">
        <v>796</v>
      </c>
      <c r="J909">
        <v>2967.66</v>
      </c>
    </row>
    <row r="910" spans="1:10">
      <c r="A910" s="90" t="s">
        <v>216</v>
      </c>
      <c r="B910" s="87">
        <v>45869</v>
      </c>
      <c r="C910" t="s">
        <v>2867</v>
      </c>
      <c r="D910" t="s">
        <v>2110</v>
      </c>
      <c r="E910" t="s">
        <v>785</v>
      </c>
      <c r="F910" t="s">
        <v>248</v>
      </c>
      <c r="G910" t="s">
        <v>2213</v>
      </c>
      <c r="H910" t="s">
        <v>470</v>
      </c>
      <c r="I910" t="s">
        <v>475</v>
      </c>
      <c r="J910">
        <v>7127.26</v>
      </c>
    </row>
    <row r="911" spans="1:10">
      <c r="A911" s="90" t="s">
        <v>216</v>
      </c>
      <c r="B911" s="87">
        <v>45869</v>
      </c>
      <c r="C911" t="s">
        <v>2867</v>
      </c>
      <c r="D911" t="s">
        <v>2110</v>
      </c>
      <c r="E911" t="s">
        <v>785</v>
      </c>
      <c r="F911" t="s">
        <v>248</v>
      </c>
      <c r="G911" t="s">
        <v>272</v>
      </c>
      <c r="H911" t="s">
        <v>470</v>
      </c>
      <c r="I911" t="s">
        <v>475</v>
      </c>
      <c r="J911">
        <v>7.0000000000000007E-2</v>
      </c>
    </row>
    <row r="912" spans="1:10">
      <c r="A912" s="90" t="s">
        <v>216</v>
      </c>
      <c r="B912" s="87">
        <v>45869</v>
      </c>
      <c r="C912" t="s">
        <v>2803</v>
      </c>
      <c r="D912" t="s">
        <v>2110</v>
      </c>
      <c r="E912" t="s">
        <v>480</v>
      </c>
      <c r="F912" t="s">
        <v>778</v>
      </c>
      <c r="G912" t="s">
        <v>180</v>
      </c>
      <c r="H912" t="s">
        <v>470</v>
      </c>
      <c r="I912" t="s">
        <v>475</v>
      </c>
      <c r="J912">
        <v>3274.85</v>
      </c>
    </row>
    <row r="913" spans="1:10">
      <c r="A913" s="90" t="s">
        <v>216</v>
      </c>
      <c r="B913" s="87">
        <v>45869</v>
      </c>
      <c r="C913" t="s">
        <v>2275</v>
      </c>
      <c r="D913" t="s">
        <v>2110</v>
      </c>
      <c r="E913" t="s">
        <v>477</v>
      </c>
      <c r="F913" t="s">
        <v>778</v>
      </c>
      <c r="G913" t="s">
        <v>74</v>
      </c>
      <c r="H913" t="s">
        <v>470</v>
      </c>
      <c r="I913" t="s">
        <v>471</v>
      </c>
      <c r="J913">
        <v>20</v>
      </c>
    </row>
    <row r="914" spans="1:10">
      <c r="A914" s="90" t="s">
        <v>216</v>
      </c>
      <c r="B914" s="87">
        <v>45869</v>
      </c>
      <c r="C914" t="s">
        <v>511</v>
      </c>
      <c r="D914" t="s">
        <v>2110</v>
      </c>
      <c r="E914" t="s">
        <v>512</v>
      </c>
      <c r="F914" t="s">
        <v>778</v>
      </c>
      <c r="G914" t="s">
        <v>474</v>
      </c>
      <c r="H914" t="s">
        <v>470</v>
      </c>
      <c r="I914" t="s">
        <v>475</v>
      </c>
      <c r="J914">
        <v>33359.78</v>
      </c>
    </row>
    <row r="915" spans="1:10">
      <c r="A915" s="90" t="s">
        <v>216</v>
      </c>
      <c r="B915" s="87">
        <v>45869</v>
      </c>
      <c r="C915" t="s">
        <v>2347</v>
      </c>
      <c r="D915" t="s">
        <v>2110</v>
      </c>
      <c r="E915" t="s">
        <v>477</v>
      </c>
      <c r="F915" t="s">
        <v>778</v>
      </c>
      <c r="G915" t="s">
        <v>68</v>
      </c>
      <c r="H915" t="s">
        <v>470</v>
      </c>
      <c r="I915" t="s">
        <v>471</v>
      </c>
      <c r="J915">
        <v>4400.72</v>
      </c>
    </row>
    <row r="916" spans="1:10">
      <c r="A916" s="90" t="s">
        <v>216</v>
      </c>
      <c r="B916" s="87">
        <v>45869</v>
      </c>
      <c r="C916" t="s">
        <v>2348</v>
      </c>
      <c r="D916" t="s">
        <v>2110</v>
      </c>
      <c r="E916" t="s">
        <v>477</v>
      </c>
      <c r="F916" t="s">
        <v>778</v>
      </c>
      <c r="G916" t="s">
        <v>66</v>
      </c>
      <c r="H916" t="s">
        <v>470</v>
      </c>
      <c r="I916" t="s">
        <v>471</v>
      </c>
      <c r="J916">
        <v>50.52</v>
      </c>
    </row>
    <row r="917" spans="1:10">
      <c r="A917" s="90" t="s">
        <v>216</v>
      </c>
      <c r="B917" s="87">
        <v>45869</v>
      </c>
      <c r="C917" t="s">
        <v>2347</v>
      </c>
      <c r="D917" t="s">
        <v>2110</v>
      </c>
      <c r="E917" t="s">
        <v>477</v>
      </c>
      <c r="F917" t="s">
        <v>778</v>
      </c>
      <c r="G917" t="s">
        <v>68</v>
      </c>
      <c r="H917" t="s">
        <v>470</v>
      </c>
      <c r="I917" t="s">
        <v>471</v>
      </c>
      <c r="J917">
        <v>11.44</v>
      </c>
    </row>
    <row r="918" spans="1:10">
      <c r="A918" s="90" t="s">
        <v>216</v>
      </c>
      <c r="B918" s="87">
        <v>45870</v>
      </c>
      <c r="C918" t="s">
        <v>2868</v>
      </c>
      <c r="D918" t="s">
        <v>2110</v>
      </c>
      <c r="E918" t="s">
        <v>2262</v>
      </c>
      <c r="F918" t="s">
        <v>2869</v>
      </c>
      <c r="G918" t="s">
        <v>73</v>
      </c>
      <c r="H918" t="s">
        <v>2870</v>
      </c>
      <c r="I918" t="s">
        <v>796</v>
      </c>
      <c r="J918">
        <v>633.01</v>
      </c>
    </row>
    <row r="919" spans="1:10">
      <c r="A919" s="90" t="s">
        <v>216</v>
      </c>
      <c r="B919" s="87">
        <v>45870</v>
      </c>
      <c r="C919" t="s">
        <v>2267</v>
      </c>
      <c r="D919" t="s">
        <v>2110</v>
      </c>
      <c r="E919" t="s">
        <v>477</v>
      </c>
      <c r="F919" t="s">
        <v>2268</v>
      </c>
      <c r="G919" t="s">
        <v>2269</v>
      </c>
      <c r="H919" t="s">
        <v>2871</v>
      </c>
      <c r="I919" t="s">
        <v>471</v>
      </c>
      <c r="J919">
        <v>750</v>
      </c>
    </row>
    <row r="920" spans="1:10">
      <c r="A920" s="90" t="s">
        <v>216</v>
      </c>
      <c r="B920" s="87">
        <v>45870</v>
      </c>
      <c r="C920" t="s">
        <v>2267</v>
      </c>
      <c r="D920" t="s">
        <v>2110</v>
      </c>
      <c r="E920" t="s">
        <v>477</v>
      </c>
      <c r="F920" t="s">
        <v>2268</v>
      </c>
      <c r="G920" t="s">
        <v>2269</v>
      </c>
      <c r="H920" t="s">
        <v>2871</v>
      </c>
      <c r="I920" t="s">
        <v>471</v>
      </c>
      <c r="J920">
        <v>1125</v>
      </c>
    </row>
    <row r="921" spans="1:10">
      <c r="A921" s="90" t="s">
        <v>216</v>
      </c>
      <c r="B921" s="87">
        <v>45870</v>
      </c>
      <c r="C921" t="s">
        <v>2267</v>
      </c>
      <c r="D921" t="s">
        <v>2110</v>
      </c>
      <c r="E921" t="s">
        <v>477</v>
      </c>
      <c r="F921" t="s">
        <v>2268</v>
      </c>
      <c r="G921" t="s">
        <v>2269</v>
      </c>
      <c r="H921" t="s">
        <v>2871</v>
      </c>
      <c r="I921" t="s">
        <v>471</v>
      </c>
      <c r="J921">
        <v>1200</v>
      </c>
    </row>
    <row r="922" spans="1:10">
      <c r="A922" s="90" t="s">
        <v>216</v>
      </c>
      <c r="B922" s="87">
        <v>45870</v>
      </c>
      <c r="C922" t="s">
        <v>2872</v>
      </c>
      <c r="D922" t="s">
        <v>2110</v>
      </c>
      <c r="E922" t="s">
        <v>477</v>
      </c>
      <c r="F922" t="s">
        <v>2273</v>
      </c>
      <c r="G922" t="s">
        <v>2269</v>
      </c>
      <c r="H922" t="s">
        <v>2873</v>
      </c>
      <c r="I922" t="s">
        <v>471</v>
      </c>
      <c r="J922">
        <v>10125</v>
      </c>
    </row>
    <row r="923" spans="1:10">
      <c r="A923" s="90" t="s">
        <v>216</v>
      </c>
      <c r="B923" s="87">
        <v>45870</v>
      </c>
      <c r="C923" t="s">
        <v>2872</v>
      </c>
      <c r="D923" t="s">
        <v>2110</v>
      </c>
      <c r="E923" t="s">
        <v>477</v>
      </c>
      <c r="F923" t="s">
        <v>2273</v>
      </c>
      <c r="G923" t="s">
        <v>2271</v>
      </c>
      <c r="H923" t="s">
        <v>2873</v>
      </c>
      <c r="I923" t="s">
        <v>471</v>
      </c>
      <c r="J923">
        <v>535.57000000000005</v>
      </c>
    </row>
    <row r="924" spans="1:10">
      <c r="A924" s="90" t="s">
        <v>216</v>
      </c>
      <c r="B924" s="87">
        <v>45870</v>
      </c>
      <c r="C924" t="s">
        <v>2275</v>
      </c>
      <c r="D924" t="s">
        <v>2110</v>
      </c>
      <c r="E924" t="s">
        <v>477</v>
      </c>
      <c r="F924" t="s">
        <v>788</v>
      </c>
      <c r="G924" t="s">
        <v>74</v>
      </c>
      <c r="H924" t="s">
        <v>470</v>
      </c>
      <c r="I924" t="s">
        <v>471</v>
      </c>
      <c r="J924">
        <v>15</v>
      </c>
    </row>
    <row r="925" spans="1:10">
      <c r="A925" s="90" t="s">
        <v>216</v>
      </c>
      <c r="B925" s="87">
        <v>45870</v>
      </c>
      <c r="C925" t="s">
        <v>2275</v>
      </c>
      <c r="D925" t="s">
        <v>2110</v>
      </c>
      <c r="E925" t="s">
        <v>477</v>
      </c>
      <c r="F925" t="s">
        <v>788</v>
      </c>
      <c r="G925" t="s">
        <v>74</v>
      </c>
      <c r="H925" t="s">
        <v>470</v>
      </c>
      <c r="I925" t="s">
        <v>471</v>
      </c>
      <c r="J925">
        <v>10</v>
      </c>
    </row>
    <row r="926" spans="1:10">
      <c r="A926" s="90" t="s">
        <v>216</v>
      </c>
      <c r="B926" s="87">
        <v>45870</v>
      </c>
      <c r="C926" t="s">
        <v>511</v>
      </c>
      <c r="D926" t="s">
        <v>2110</v>
      </c>
      <c r="E926" t="s">
        <v>512</v>
      </c>
      <c r="F926" t="s">
        <v>788</v>
      </c>
      <c r="G926" t="s">
        <v>474</v>
      </c>
      <c r="H926" t="s">
        <v>470</v>
      </c>
      <c r="I926" t="s">
        <v>475</v>
      </c>
      <c r="J926">
        <v>41658.01</v>
      </c>
    </row>
    <row r="927" spans="1:10">
      <c r="A927" s="90" t="s">
        <v>216</v>
      </c>
      <c r="B927" s="87">
        <v>45870</v>
      </c>
      <c r="C927" t="s">
        <v>2874</v>
      </c>
      <c r="D927" t="s">
        <v>2110</v>
      </c>
      <c r="E927" t="s">
        <v>977</v>
      </c>
      <c r="F927" t="s">
        <v>2875</v>
      </c>
      <c r="G927" t="s">
        <v>486</v>
      </c>
      <c r="H927" t="s">
        <v>470</v>
      </c>
      <c r="I927" t="s">
        <v>487</v>
      </c>
      <c r="J927">
        <v>41000</v>
      </c>
    </row>
    <row r="928" spans="1:10">
      <c r="A928" s="90" t="s">
        <v>216</v>
      </c>
      <c r="B928" s="87">
        <v>45873</v>
      </c>
      <c r="C928" t="s">
        <v>2876</v>
      </c>
      <c r="D928" t="s">
        <v>2110</v>
      </c>
      <c r="E928" t="s">
        <v>1756</v>
      </c>
      <c r="F928" t="s">
        <v>741</v>
      </c>
      <c r="G928" t="s">
        <v>67</v>
      </c>
      <c r="H928" t="s">
        <v>470</v>
      </c>
      <c r="I928" t="s">
        <v>796</v>
      </c>
      <c r="J928">
        <v>625.05999999999995</v>
      </c>
    </row>
    <row r="929" spans="1:10">
      <c r="A929" s="90" t="s">
        <v>216</v>
      </c>
      <c r="B929" s="87">
        <v>45873</v>
      </c>
      <c r="C929" t="s">
        <v>2877</v>
      </c>
      <c r="D929" t="s">
        <v>2110</v>
      </c>
      <c r="E929" t="s">
        <v>2878</v>
      </c>
      <c r="F929" t="s">
        <v>788</v>
      </c>
      <c r="G929" t="s">
        <v>70</v>
      </c>
      <c r="H929" t="s">
        <v>470</v>
      </c>
      <c r="I929" t="s">
        <v>796</v>
      </c>
      <c r="J929">
        <v>36.96</v>
      </c>
    </row>
    <row r="930" spans="1:10">
      <c r="A930" s="90" t="s">
        <v>216</v>
      </c>
      <c r="B930" s="87">
        <v>45873</v>
      </c>
      <c r="C930" t="s">
        <v>2879</v>
      </c>
      <c r="D930" t="s">
        <v>2110</v>
      </c>
      <c r="E930" t="s">
        <v>2878</v>
      </c>
      <c r="F930" t="s">
        <v>788</v>
      </c>
      <c r="G930" t="s">
        <v>70</v>
      </c>
      <c r="H930" t="s">
        <v>470</v>
      </c>
      <c r="I930" t="s">
        <v>796</v>
      </c>
      <c r="J930">
        <v>1281.3599999999999</v>
      </c>
    </row>
    <row r="931" spans="1:10">
      <c r="A931" s="90" t="s">
        <v>216</v>
      </c>
      <c r="B931" s="87">
        <v>45873</v>
      </c>
      <c r="C931" t="s">
        <v>2880</v>
      </c>
      <c r="D931" t="s">
        <v>2110</v>
      </c>
      <c r="E931" t="s">
        <v>2878</v>
      </c>
      <c r="F931" t="s">
        <v>788</v>
      </c>
      <c r="G931" t="s">
        <v>70</v>
      </c>
      <c r="H931" t="s">
        <v>470</v>
      </c>
      <c r="I931" t="s">
        <v>796</v>
      </c>
      <c r="J931">
        <v>906.68</v>
      </c>
    </row>
    <row r="932" spans="1:10">
      <c r="A932" s="90" t="s">
        <v>216</v>
      </c>
      <c r="B932" s="87">
        <v>45873</v>
      </c>
      <c r="C932" t="s">
        <v>2881</v>
      </c>
      <c r="D932" t="s">
        <v>2110</v>
      </c>
      <c r="E932" t="s">
        <v>2878</v>
      </c>
      <c r="F932" t="s">
        <v>788</v>
      </c>
      <c r="G932" t="s">
        <v>70</v>
      </c>
      <c r="H932" t="s">
        <v>470</v>
      </c>
      <c r="I932" t="s">
        <v>796</v>
      </c>
      <c r="J932">
        <v>1162.1600000000001</v>
      </c>
    </row>
    <row r="933" spans="1:10">
      <c r="A933" s="90" t="s">
        <v>216</v>
      </c>
      <c r="B933" s="87">
        <v>45873</v>
      </c>
      <c r="C933" t="s">
        <v>2882</v>
      </c>
      <c r="D933" t="s">
        <v>2110</v>
      </c>
      <c r="E933" t="s">
        <v>2878</v>
      </c>
      <c r="F933" t="s">
        <v>788</v>
      </c>
      <c r="G933" t="s">
        <v>70</v>
      </c>
      <c r="H933" t="s">
        <v>470</v>
      </c>
      <c r="I933" t="s">
        <v>796</v>
      </c>
      <c r="J933">
        <v>837.38</v>
      </c>
    </row>
    <row r="934" spans="1:10">
      <c r="A934" s="90" t="s">
        <v>216</v>
      </c>
      <c r="B934" s="87">
        <v>45873</v>
      </c>
      <c r="C934" t="s">
        <v>2267</v>
      </c>
      <c r="D934" t="s">
        <v>2110</v>
      </c>
      <c r="E934" t="s">
        <v>477</v>
      </c>
      <c r="F934" t="s">
        <v>788</v>
      </c>
      <c r="G934" t="s">
        <v>2271</v>
      </c>
      <c r="H934" t="s">
        <v>470</v>
      </c>
      <c r="I934" t="s">
        <v>471</v>
      </c>
      <c r="J934">
        <v>78.5</v>
      </c>
    </row>
    <row r="935" spans="1:10">
      <c r="A935" s="90" t="s">
        <v>216</v>
      </c>
      <c r="B935" s="87">
        <v>45873</v>
      </c>
      <c r="C935" t="s">
        <v>2267</v>
      </c>
      <c r="D935" t="s">
        <v>2110</v>
      </c>
      <c r="E935" t="s">
        <v>477</v>
      </c>
      <c r="F935" t="s">
        <v>788</v>
      </c>
      <c r="G935" t="s">
        <v>78</v>
      </c>
      <c r="H935" t="s">
        <v>470</v>
      </c>
      <c r="I935" t="s">
        <v>471</v>
      </c>
      <c r="J935">
        <v>7.0000000000000007E-2</v>
      </c>
    </row>
    <row r="936" spans="1:10">
      <c r="A936" s="90" t="s">
        <v>216</v>
      </c>
      <c r="B936" s="87">
        <v>45873</v>
      </c>
      <c r="C936" t="s">
        <v>511</v>
      </c>
      <c r="D936" t="s">
        <v>2110</v>
      </c>
      <c r="E936" t="s">
        <v>512</v>
      </c>
      <c r="F936" t="s">
        <v>788</v>
      </c>
      <c r="G936" t="s">
        <v>474</v>
      </c>
      <c r="H936" t="s">
        <v>470</v>
      </c>
      <c r="I936" t="s">
        <v>475</v>
      </c>
      <c r="J936">
        <v>4928.17</v>
      </c>
    </row>
    <row r="937" spans="1:10">
      <c r="A937" s="90" t="s">
        <v>216</v>
      </c>
      <c r="B937" s="87">
        <v>45873</v>
      </c>
      <c r="C937" t="s">
        <v>790</v>
      </c>
      <c r="D937" t="s">
        <v>2110</v>
      </c>
      <c r="E937" t="s">
        <v>512</v>
      </c>
      <c r="F937" t="s">
        <v>788</v>
      </c>
      <c r="G937" t="s">
        <v>474</v>
      </c>
      <c r="H937" t="s">
        <v>470</v>
      </c>
      <c r="I937" t="s">
        <v>475</v>
      </c>
      <c r="J937">
        <v>4928.17</v>
      </c>
    </row>
    <row r="938" spans="1:10">
      <c r="A938" s="90" t="s">
        <v>216</v>
      </c>
      <c r="B938" s="87">
        <v>45873</v>
      </c>
      <c r="C938" t="s">
        <v>511</v>
      </c>
      <c r="D938" t="s">
        <v>2110</v>
      </c>
      <c r="E938" t="s">
        <v>512</v>
      </c>
      <c r="F938" t="s">
        <v>788</v>
      </c>
      <c r="G938" t="s">
        <v>474</v>
      </c>
      <c r="H938" t="s">
        <v>470</v>
      </c>
      <c r="I938" t="s">
        <v>475</v>
      </c>
      <c r="J938">
        <v>4862.96</v>
      </c>
    </row>
    <row r="939" spans="1:10">
      <c r="A939" s="90" t="s">
        <v>216</v>
      </c>
      <c r="B939" s="87">
        <v>45874</v>
      </c>
      <c r="C939" t="s">
        <v>2883</v>
      </c>
      <c r="D939" t="s">
        <v>2110</v>
      </c>
      <c r="E939" t="s">
        <v>2277</v>
      </c>
      <c r="F939" t="s">
        <v>2884</v>
      </c>
      <c r="G939" t="s">
        <v>65</v>
      </c>
      <c r="H939" t="s">
        <v>2795</v>
      </c>
      <c r="I939" t="s">
        <v>796</v>
      </c>
      <c r="J939">
        <v>183</v>
      </c>
    </row>
    <row r="940" spans="1:10">
      <c r="A940" s="90" t="s">
        <v>216</v>
      </c>
      <c r="B940" s="87">
        <v>45874</v>
      </c>
      <c r="C940" t="s">
        <v>2885</v>
      </c>
      <c r="D940" t="s">
        <v>2110</v>
      </c>
      <c r="E940" t="s">
        <v>2886</v>
      </c>
      <c r="F940" t="s">
        <v>788</v>
      </c>
      <c r="G940" t="s">
        <v>285</v>
      </c>
      <c r="H940" t="s">
        <v>2887</v>
      </c>
      <c r="I940" t="s">
        <v>475</v>
      </c>
      <c r="J940">
        <v>1500</v>
      </c>
    </row>
    <row r="941" spans="1:10">
      <c r="A941" s="90" t="s">
        <v>216</v>
      </c>
      <c r="B941" s="87">
        <v>45874</v>
      </c>
      <c r="C941" t="s">
        <v>511</v>
      </c>
      <c r="D941" t="s">
        <v>2110</v>
      </c>
      <c r="E941" t="s">
        <v>512</v>
      </c>
      <c r="F941" t="s">
        <v>788</v>
      </c>
      <c r="G941" t="s">
        <v>474</v>
      </c>
      <c r="H941" t="s">
        <v>470</v>
      </c>
      <c r="I941" t="s">
        <v>475</v>
      </c>
      <c r="J941">
        <v>2260.92</v>
      </c>
    </row>
    <row r="942" spans="1:10">
      <c r="A942" s="90" t="s">
        <v>216</v>
      </c>
      <c r="B942" s="87">
        <v>45874</v>
      </c>
      <c r="C942" t="s">
        <v>2876</v>
      </c>
      <c r="D942" t="s">
        <v>2110</v>
      </c>
      <c r="E942" t="s">
        <v>1756</v>
      </c>
      <c r="F942" t="s">
        <v>778</v>
      </c>
      <c r="G942" t="s">
        <v>67</v>
      </c>
      <c r="H942" t="s">
        <v>470</v>
      </c>
      <c r="I942" t="s">
        <v>796</v>
      </c>
      <c r="J942">
        <v>577.91999999999996</v>
      </c>
    </row>
    <row r="943" spans="1:10">
      <c r="A943" s="90" t="s">
        <v>216</v>
      </c>
      <c r="B943" s="87">
        <v>45874</v>
      </c>
      <c r="C943" t="s">
        <v>2275</v>
      </c>
      <c r="D943" t="s">
        <v>2110</v>
      </c>
      <c r="E943" t="s">
        <v>2393</v>
      </c>
      <c r="F943" t="s">
        <v>788</v>
      </c>
      <c r="G943" t="s">
        <v>74</v>
      </c>
      <c r="H943" t="s">
        <v>470</v>
      </c>
      <c r="I943" t="s">
        <v>471</v>
      </c>
      <c r="J943">
        <v>40</v>
      </c>
    </row>
    <row r="944" spans="1:10">
      <c r="A944" s="90" t="s">
        <v>216</v>
      </c>
      <c r="B944" s="87">
        <v>45875</v>
      </c>
      <c r="C944" t="s">
        <v>2888</v>
      </c>
      <c r="D944" t="s">
        <v>2110</v>
      </c>
      <c r="E944" t="s">
        <v>2117</v>
      </c>
      <c r="F944" t="s">
        <v>778</v>
      </c>
      <c r="G944" t="s">
        <v>70</v>
      </c>
      <c r="H944" t="s">
        <v>470</v>
      </c>
      <c r="I944" t="s">
        <v>796</v>
      </c>
      <c r="J944">
        <v>876.96</v>
      </c>
    </row>
    <row r="945" spans="1:10">
      <c r="A945" s="90" t="s">
        <v>216</v>
      </c>
      <c r="B945" s="87">
        <v>45875</v>
      </c>
      <c r="C945" t="s">
        <v>2889</v>
      </c>
      <c r="D945" t="s">
        <v>2110</v>
      </c>
      <c r="E945" t="s">
        <v>2117</v>
      </c>
      <c r="F945" t="s">
        <v>778</v>
      </c>
      <c r="G945" t="s">
        <v>70</v>
      </c>
      <c r="H945" t="s">
        <v>470</v>
      </c>
      <c r="I945" t="s">
        <v>796</v>
      </c>
      <c r="J945">
        <v>1315.44</v>
      </c>
    </row>
    <row r="946" spans="1:10">
      <c r="A946" s="90" t="s">
        <v>216</v>
      </c>
      <c r="B946" s="87">
        <v>45875</v>
      </c>
      <c r="C946" t="s">
        <v>511</v>
      </c>
      <c r="D946" t="s">
        <v>2110</v>
      </c>
      <c r="E946" t="s">
        <v>512</v>
      </c>
      <c r="F946" t="s">
        <v>788</v>
      </c>
      <c r="G946" t="s">
        <v>474</v>
      </c>
      <c r="H946" t="s">
        <v>470</v>
      </c>
      <c r="I946" t="s">
        <v>475</v>
      </c>
      <c r="J946">
        <v>2192.4</v>
      </c>
    </row>
    <row r="947" spans="1:10">
      <c r="A947" s="90" t="s">
        <v>216</v>
      </c>
      <c r="B947" s="87">
        <v>45876</v>
      </c>
      <c r="C947" t="s">
        <v>2890</v>
      </c>
      <c r="D947" t="s">
        <v>2110</v>
      </c>
      <c r="E947" t="s">
        <v>2322</v>
      </c>
      <c r="F947" t="s">
        <v>2891</v>
      </c>
      <c r="G947" t="s">
        <v>182</v>
      </c>
      <c r="H947" t="s">
        <v>470</v>
      </c>
      <c r="I947" t="s">
        <v>487</v>
      </c>
      <c r="J947">
        <v>33</v>
      </c>
    </row>
    <row r="948" spans="1:10">
      <c r="A948" s="90" t="s">
        <v>216</v>
      </c>
      <c r="B948" s="87">
        <v>45876</v>
      </c>
      <c r="C948" t="s">
        <v>511</v>
      </c>
      <c r="D948" t="s">
        <v>2110</v>
      </c>
      <c r="E948" t="s">
        <v>512</v>
      </c>
      <c r="F948" t="s">
        <v>778</v>
      </c>
      <c r="G948" t="s">
        <v>474</v>
      </c>
      <c r="H948" t="s">
        <v>470</v>
      </c>
      <c r="I948" t="s">
        <v>475</v>
      </c>
      <c r="J948">
        <v>56766.34</v>
      </c>
    </row>
    <row r="949" spans="1:10">
      <c r="A949" s="90" t="s">
        <v>216</v>
      </c>
      <c r="B949" s="87">
        <v>45877</v>
      </c>
      <c r="C949" t="s">
        <v>2454</v>
      </c>
      <c r="D949" t="s">
        <v>2110</v>
      </c>
      <c r="E949" t="s">
        <v>480</v>
      </c>
      <c r="F949" t="s">
        <v>788</v>
      </c>
      <c r="G949" t="s">
        <v>71</v>
      </c>
      <c r="H949" t="s">
        <v>470</v>
      </c>
      <c r="I949" t="s">
        <v>475</v>
      </c>
      <c r="J949">
        <v>8000</v>
      </c>
    </row>
    <row r="950" spans="1:10">
      <c r="A950" s="90" t="s">
        <v>216</v>
      </c>
      <c r="B950" s="87">
        <v>45877</v>
      </c>
      <c r="C950" t="s">
        <v>2892</v>
      </c>
      <c r="D950" t="s">
        <v>2110</v>
      </c>
      <c r="E950" t="s">
        <v>2702</v>
      </c>
      <c r="F950" t="s">
        <v>2893</v>
      </c>
      <c r="G950" t="s">
        <v>63</v>
      </c>
      <c r="H950" t="s">
        <v>470</v>
      </c>
      <c r="I950" t="s">
        <v>796</v>
      </c>
      <c r="J950">
        <v>896.95</v>
      </c>
    </row>
    <row r="951" spans="1:10">
      <c r="A951" s="90" t="s">
        <v>216</v>
      </c>
      <c r="B951" s="87">
        <v>45877</v>
      </c>
      <c r="C951" t="s">
        <v>511</v>
      </c>
      <c r="D951" t="s">
        <v>2110</v>
      </c>
      <c r="E951" t="s">
        <v>512</v>
      </c>
      <c r="F951" t="s">
        <v>788</v>
      </c>
      <c r="G951" t="s">
        <v>474</v>
      </c>
      <c r="H951" t="s">
        <v>470</v>
      </c>
      <c r="I951" t="s">
        <v>475</v>
      </c>
      <c r="J951">
        <v>8896.9500000000007</v>
      </c>
    </row>
    <row r="952" spans="1:10">
      <c r="A952" s="90" t="s">
        <v>216</v>
      </c>
      <c r="B952" s="87">
        <v>45880</v>
      </c>
      <c r="C952" t="s">
        <v>2295</v>
      </c>
      <c r="D952" t="s">
        <v>2110</v>
      </c>
      <c r="E952" t="s">
        <v>477</v>
      </c>
      <c r="F952" t="s">
        <v>788</v>
      </c>
      <c r="G952" t="s">
        <v>2295</v>
      </c>
      <c r="H952" t="s">
        <v>470</v>
      </c>
      <c r="I952" t="s">
        <v>471</v>
      </c>
      <c r="J952">
        <v>2584.94</v>
      </c>
    </row>
    <row r="953" spans="1:10">
      <c r="A953" s="90" t="s">
        <v>216</v>
      </c>
      <c r="B953" s="87">
        <v>45880</v>
      </c>
      <c r="C953" t="s">
        <v>2454</v>
      </c>
      <c r="D953" t="s">
        <v>2110</v>
      </c>
      <c r="E953" t="s">
        <v>480</v>
      </c>
      <c r="F953" t="s">
        <v>788</v>
      </c>
      <c r="G953" t="s">
        <v>71</v>
      </c>
      <c r="H953" t="s">
        <v>470</v>
      </c>
      <c r="I953" t="s">
        <v>475</v>
      </c>
      <c r="J953">
        <v>6500</v>
      </c>
    </row>
    <row r="954" spans="1:10">
      <c r="A954" s="90" t="s">
        <v>216</v>
      </c>
      <c r="B954" s="87">
        <v>45880</v>
      </c>
      <c r="C954" t="s">
        <v>2275</v>
      </c>
      <c r="D954" t="s">
        <v>2110</v>
      </c>
      <c r="E954" t="s">
        <v>477</v>
      </c>
      <c r="F954" t="s">
        <v>788</v>
      </c>
      <c r="G954" t="s">
        <v>74</v>
      </c>
      <c r="H954" t="s">
        <v>470</v>
      </c>
      <c r="I954" t="s">
        <v>2894</v>
      </c>
      <c r="J954">
        <v>95</v>
      </c>
    </row>
    <row r="955" spans="1:10">
      <c r="A955" s="90" t="s">
        <v>216</v>
      </c>
      <c r="B955" s="87">
        <v>45880</v>
      </c>
      <c r="C955" t="s">
        <v>2895</v>
      </c>
      <c r="D955" t="s">
        <v>2110</v>
      </c>
      <c r="E955" t="s">
        <v>477</v>
      </c>
      <c r="F955" t="s">
        <v>514</v>
      </c>
      <c r="G955" t="s">
        <v>515</v>
      </c>
      <c r="H955" t="s">
        <v>2896</v>
      </c>
      <c r="I955" t="s">
        <v>471</v>
      </c>
      <c r="J955">
        <v>43571.43</v>
      </c>
    </row>
    <row r="956" spans="1:10">
      <c r="A956" s="90" t="s">
        <v>216</v>
      </c>
      <c r="B956" s="87">
        <v>45880</v>
      </c>
      <c r="C956" t="s">
        <v>2895</v>
      </c>
      <c r="D956" t="s">
        <v>2110</v>
      </c>
      <c r="E956" t="s">
        <v>477</v>
      </c>
      <c r="F956" t="s">
        <v>514</v>
      </c>
      <c r="G956" t="s">
        <v>69</v>
      </c>
      <c r="H956" t="s">
        <v>2896</v>
      </c>
      <c r="I956" t="s">
        <v>471</v>
      </c>
      <c r="J956">
        <v>36307.199999999997</v>
      </c>
    </row>
    <row r="957" spans="1:10">
      <c r="A957" s="90" t="s">
        <v>216</v>
      </c>
      <c r="B957" s="87">
        <v>45880</v>
      </c>
      <c r="C957" t="s">
        <v>511</v>
      </c>
      <c r="D957" t="s">
        <v>2110</v>
      </c>
      <c r="E957" t="s">
        <v>512</v>
      </c>
      <c r="F957" t="s">
        <v>788</v>
      </c>
      <c r="G957" t="s">
        <v>474</v>
      </c>
      <c r="H957" t="s">
        <v>470</v>
      </c>
      <c r="I957" t="s">
        <v>475</v>
      </c>
      <c r="J957">
        <v>89058.57</v>
      </c>
    </row>
    <row r="958" spans="1:10">
      <c r="A958" s="90" t="s">
        <v>216</v>
      </c>
      <c r="B958" s="87">
        <v>45881</v>
      </c>
      <c r="C958" t="s">
        <v>2897</v>
      </c>
      <c r="D958" t="s">
        <v>2110</v>
      </c>
      <c r="E958" t="s">
        <v>2509</v>
      </c>
      <c r="F958" t="s">
        <v>2898</v>
      </c>
      <c r="G958" t="s">
        <v>251</v>
      </c>
      <c r="H958" t="s">
        <v>470</v>
      </c>
      <c r="I958" t="s">
        <v>796</v>
      </c>
      <c r="J958">
        <v>9</v>
      </c>
    </row>
    <row r="959" spans="1:10">
      <c r="A959" s="90" t="s">
        <v>216</v>
      </c>
      <c r="B959" s="87">
        <v>45881</v>
      </c>
      <c r="C959" t="s">
        <v>2899</v>
      </c>
      <c r="D959" t="s">
        <v>2110</v>
      </c>
      <c r="E959" t="s">
        <v>2900</v>
      </c>
      <c r="F959" t="s">
        <v>788</v>
      </c>
      <c r="G959" t="s">
        <v>529</v>
      </c>
      <c r="H959" t="s">
        <v>470</v>
      </c>
      <c r="I959" t="s">
        <v>487</v>
      </c>
      <c r="J959">
        <v>7500</v>
      </c>
    </row>
    <row r="960" spans="1:10">
      <c r="A960" s="90" t="s">
        <v>216</v>
      </c>
      <c r="B960" s="87">
        <v>45881</v>
      </c>
      <c r="C960" t="s">
        <v>2901</v>
      </c>
      <c r="D960" t="s">
        <v>2110</v>
      </c>
      <c r="E960" t="s">
        <v>2902</v>
      </c>
      <c r="F960" t="s">
        <v>2903</v>
      </c>
      <c r="G960" t="s">
        <v>2125</v>
      </c>
      <c r="H960" t="s">
        <v>470</v>
      </c>
      <c r="I960" t="s">
        <v>487</v>
      </c>
      <c r="J960">
        <v>8848</v>
      </c>
    </row>
    <row r="961" spans="1:10">
      <c r="A961" s="90" t="s">
        <v>216</v>
      </c>
      <c r="B961" s="87">
        <v>45881</v>
      </c>
      <c r="C961" t="s">
        <v>2904</v>
      </c>
      <c r="D961" t="s">
        <v>2110</v>
      </c>
      <c r="E961" t="s">
        <v>2905</v>
      </c>
      <c r="F961" t="s">
        <v>2906</v>
      </c>
      <c r="G961" t="s">
        <v>219</v>
      </c>
      <c r="H961" t="s">
        <v>470</v>
      </c>
      <c r="I961" t="s">
        <v>796</v>
      </c>
      <c r="J961">
        <v>150</v>
      </c>
    </row>
    <row r="962" spans="1:10">
      <c r="A962" s="90" t="s">
        <v>216</v>
      </c>
      <c r="B962" s="87">
        <v>45881</v>
      </c>
      <c r="C962" t="s">
        <v>2904</v>
      </c>
      <c r="D962" t="s">
        <v>2110</v>
      </c>
      <c r="E962" t="s">
        <v>2905</v>
      </c>
      <c r="F962" t="s">
        <v>2906</v>
      </c>
      <c r="G962" t="s">
        <v>78</v>
      </c>
      <c r="H962" t="s">
        <v>470</v>
      </c>
      <c r="I962" t="s">
        <v>796</v>
      </c>
      <c r="J962">
        <v>3.05</v>
      </c>
    </row>
    <row r="963" spans="1:10">
      <c r="A963" s="90" t="s">
        <v>216</v>
      </c>
      <c r="B963" s="87">
        <v>45881</v>
      </c>
      <c r="C963" t="s">
        <v>2275</v>
      </c>
      <c r="D963" t="s">
        <v>2110</v>
      </c>
      <c r="E963" t="s">
        <v>477</v>
      </c>
      <c r="F963" t="s">
        <v>788</v>
      </c>
      <c r="G963" t="s">
        <v>74</v>
      </c>
      <c r="H963" t="s">
        <v>470</v>
      </c>
      <c r="I963" t="s">
        <v>471</v>
      </c>
      <c r="J963">
        <v>20</v>
      </c>
    </row>
    <row r="964" spans="1:10">
      <c r="A964" s="90" t="s">
        <v>216</v>
      </c>
      <c r="B964" s="87">
        <v>45881</v>
      </c>
      <c r="C964" t="s">
        <v>511</v>
      </c>
      <c r="D964" t="s">
        <v>2110</v>
      </c>
      <c r="E964" t="s">
        <v>512</v>
      </c>
      <c r="F964" t="s">
        <v>788</v>
      </c>
      <c r="G964" t="s">
        <v>474</v>
      </c>
      <c r="H964" t="s">
        <v>470</v>
      </c>
      <c r="I964" t="s">
        <v>475</v>
      </c>
      <c r="J964">
        <v>16570.05</v>
      </c>
    </row>
    <row r="965" spans="1:10">
      <c r="A965" s="90" t="s">
        <v>216</v>
      </c>
      <c r="B965" s="87">
        <v>45883</v>
      </c>
      <c r="C965" t="s">
        <v>2907</v>
      </c>
      <c r="D965" t="s">
        <v>2110</v>
      </c>
      <c r="E965" t="s">
        <v>2902</v>
      </c>
      <c r="F965" t="s">
        <v>2903</v>
      </c>
      <c r="G965" t="s">
        <v>2125</v>
      </c>
      <c r="H965" t="s">
        <v>470</v>
      </c>
      <c r="I965" t="s">
        <v>487</v>
      </c>
      <c r="J965">
        <v>3702</v>
      </c>
    </row>
    <row r="966" spans="1:10">
      <c r="A966" s="90" t="s">
        <v>216</v>
      </c>
      <c r="B966" s="87">
        <v>45883</v>
      </c>
      <c r="C966" t="s">
        <v>2908</v>
      </c>
      <c r="D966" t="s">
        <v>2110</v>
      </c>
      <c r="E966" t="s">
        <v>2909</v>
      </c>
      <c r="F966" t="s">
        <v>788</v>
      </c>
      <c r="G966" t="s">
        <v>76</v>
      </c>
      <c r="H966" t="s">
        <v>470</v>
      </c>
      <c r="I966" t="s">
        <v>471</v>
      </c>
      <c r="J966">
        <v>41.95</v>
      </c>
    </row>
    <row r="967" spans="1:10">
      <c r="A967" s="90" t="s">
        <v>216</v>
      </c>
      <c r="B967" s="87">
        <v>45883</v>
      </c>
      <c r="C967" t="s">
        <v>2275</v>
      </c>
      <c r="D967" t="s">
        <v>2110</v>
      </c>
      <c r="E967" t="s">
        <v>477</v>
      </c>
      <c r="F967" t="s">
        <v>788</v>
      </c>
      <c r="G967" t="s">
        <v>74</v>
      </c>
      <c r="H967" t="s">
        <v>470</v>
      </c>
      <c r="I967" t="s">
        <v>471</v>
      </c>
      <c r="J967">
        <v>10</v>
      </c>
    </row>
    <row r="968" spans="1:10">
      <c r="A968" s="90" t="s">
        <v>216</v>
      </c>
      <c r="B968" s="87">
        <v>45883</v>
      </c>
      <c r="C968" t="s">
        <v>511</v>
      </c>
      <c r="D968" t="s">
        <v>2110</v>
      </c>
      <c r="E968" t="s">
        <v>512</v>
      </c>
      <c r="F968" t="s">
        <v>788</v>
      </c>
      <c r="G968" t="s">
        <v>474</v>
      </c>
      <c r="H968" t="s">
        <v>470</v>
      </c>
      <c r="I968" t="s">
        <v>475</v>
      </c>
      <c r="J968">
        <v>3753.95</v>
      </c>
    </row>
    <row r="969" spans="1:10">
      <c r="A969" s="90" t="s">
        <v>216</v>
      </c>
      <c r="B969" s="87">
        <v>45884</v>
      </c>
      <c r="C969" t="s">
        <v>2910</v>
      </c>
      <c r="D969" t="s">
        <v>2110</v>
      </c>
      <c r="E969" t="s">
        <v>2300</v>
      </c>
      <c r="F969" t="s">
        <v>788</v>
      </c>
      <c r="G969" t="s">
        <v>70</v>
      </c>
      <c r="H969" t="s">
        <v>470</v>
      </c>
      <c r="I969" t="s">
        <v>796</v>
      </c>
      <c r="J969">
        <v>100.83</v>
      </c>
    </row>
    <row r="970" spans="1:10">
      <c r="A970" s="90" t="s">
        <v>216</v>
      </c>
      <c r="B970" s="87">
        <v>45884</v>
      </c>
      <c r="C970" t="s">
        <v>2911</v>
      </c>
      <c r="D970" t="s">
        <v>2110</v>
      </c>
      <c r="E970" t="s">
        <v>2912</v>
      </c>
      <c r="F970" t="s">
        <v>2913</v>
      </c>
      <c r="G970" t="s">
        <v>286</v>
      </c>
      <c r="H970" t="s">
        <v>470</v>
      </c>
      <c r="I970" t="s">
        <v>796</v>
      </c>
      <c r="J970">
        <v>21645.42</v>
      </c>
    </row>
    <row r="971" spans="1:10">
      <c r="A971" s="90" t="s">
        <v>216</v>
      </c>
      <c r="B971" s="87">
        <v>45884</v>
      </c>
      <c r="C971" t="s">
        <v>2911</v>
      </c>
      <c r="D971" t="s">
        <v>2110</v>
      </c>
      <c r="E971" t="s">
        <v>2912</v>
      </c>
      <c r="F971" t="s">
        <v>2913</v>
      </c>
      <c r="G971" t="s">
        <v>78</v>
      </c>
      <c r="H971" t="s">
        <v>470</v>
      </c>
      <c r="I971" t="s">
        <v>796</v>
      </c>
      <c r="J971">
        <v>649.51</v>
      </c>
    </row>
    <row r="972" spans="1:10">
      <c r="A972" s="90" t="s">
        <v>216</v>
      </c>
      <c r="B972" s="87">
        <v>45884</v>
      </c>
      <c r="C972" t="s">
        <v>511</v>
      </c>
      <c r="D972" t="s">
        <v>2110</v>
      </c>
      <c r="E972" t="s">
        <v>512</v>
      </c>
      <c r="F972" t="s">
        <v>788</v>
      </c>
      <c r="G972" t="s">
        <v>474</v>
      </c>
      <c r="H972" t="s">
        <v>470</v>
      </c>
      <c r="I972" t="s">
        <v>475</v>
      </c>
      <c r="J972">
        <v>22395.759999999998</v>
      </c>
    </row>
    <row r="973" spans="1:10">
      <c r="A973" s="90" t="s">
        <v>216</v>
      </c>
      <c r="B973" s="87">
        <v>45887</v>
      </c>
      <c r="C973" t="s">
        <v>2914</v>
      </c>
      <c r="D973" t="s">
        <v>2110</v>
      </c>
      <c r="E973" t="s">
        <v>812</v>
      </c>
      <c r="F973" t="s">
        <v>265</v>
      </c>
      <c r="G973" t="s">
        <v>2213</v>
      </c>
      <c r="H973" t="s">
        <v>470</v>
      </c>
      <c r="I973" t="s">
        <v>796</v>
      </c>
      <c r="J973">
        <v>23396.58</v>
      </c>
    </row>
    <row r="974" spans="1:10">
      <c r="A974" s="90" t="s">
        <v>216</v>
      </c>
      <c r="B974" s="87">
        <v>45887</v>
      </c>
      <c r="C974" t="s">
        <v>2914</v>
      </c>
      <c r="D974" t="s">
        <v>2110</v>
      </c>
      <c r="E974" t="s">
        <v>812</v>
      </c>
      <c r="F974" t="s">
        <v>265</v>
      </c>
      <c r="G974" t="s">
        <v>182</v>
      </c>
      <c r="H974" t="s">
        <v>470</v>
      </c>
      <c r="I974" t="s">
        <v>796</v>
      </c>
      <c r="J974">
        <v>3197.02</v>
      </c>
    </row>
    <row r="975" spans="1:10">
      <c r="A975" s="90" t="s">
        <v>216</v>
      </c>
      <c r="B975" s="87">
        <v>45887</v>
      </c>
      <c r="C975" t="s">
        <v>2915</v>
      </c>
      <c r="D975" t="s">
        <v>2110</v>
      </c>
      <c r="E975" t="s">
        <v>2564</v>
      </c>
      <c r="F975" t="s">
        <v>2916</v>
      </c>
      <c r="G975" t="s">
        <v>251</v>
      </c>
      <c r="H975" t="s">
        <v>470</v>
      </c>
      <c r="I975" t="s">
        <v>796</v>
      </c>
      <c r="J975">
        <v>594.33000000000004</v>
      </c>
    </row>
    <row r="976" spans="1:10">
      <c r="A976" s="90" t="s">
        <v>216</v>
      </c>
      <c r="B976" s="87">
        <v>45887</v>
      </c>
      <c r="C976" t="s">
        <v>2917</v>
      </c>
      <c r="D976" t="s">
        <v>2110</v>
      </c>
      <c r="E976" t="s">
        <v>2277</v>
      </c>
      <c r="F976" t="s">
        <v>2305</v>
      </c>
      <c r="G976" t="s">
        <v>226</v>
      </c>
      <c r="H976" t="s">
        <v>2795</v>
      </c>
      <c r="I976" t="s">
        <v>796</v>
      </c>
      <c r="J976">
        <v>144.12</v>
      </c>
    </row>
    <row r="977" spans="1:10">
      <c r="A977" s="90" t="s">
        <v>216</v>
      </c>
      <c r="B977" s="87">
        <v>45887</v>
      </c>
      <c r="C977" t="s">
        <v>511</v>
      </c>
      <c r="D977" t="s">
        <v>2110</v>
      </c>
      <c r="E977" t="s">
        <v>512</v>
      </c>
      <c r="F977" t="s">
        <v>788</v>
      </c>
      <c r="G977" t="s">
        <v>474</v>
      </c>
      <c r="H977" t="s">
        <v>470</v>
      </c>
      <c r="I977" t="s">
        <v>475</v>
      </c>
      <c r="J977">
        <v>27712.05</v>
      </c>
    </row>
    <row r="978" spans="1:10">
      <c r="A978" s="90" t="s">
        <v>216</v>
      </c>
      <c r="B978" s="87">
        <v>45888</v>
      </c>
      <c r="C978" t="s">
        <v>511</v>
      </c>
      <c r="D978" t="s">
        <v>2110</v>
      </c>
      <c r="E978" t="s">
        <v>512</v>
      </c>
      <c r="F978" t="s">
        <v>788</v>
      </c>
      <c r="G978" t="s">
        <v>474</v>
      </c>
      <c r="H978" t="s">
        <v>470</v>
      </c>
      <c r="I978" t="s">
        <v>475</v>
      </c>
      <c r="J978">
        <v>498290</v>
      </c>
    </row>
    <row r="979" spans="1:10">
      <c r="A979" s="90" t="s">
        <v>216</v>
      </c>
      <c r="B979" s="87">
        <v>45888</v>
      </c>
      <c r="C979" t="s">
        <v>2275</v>
      </c>
      <c r="D979" t="s">
        <v>2110</v>
      </c>
      <c r="E979" t="s">
        <v>477</v>
      </c>
      <c r="F979" t="s">
        <v>788</v>
      </c>
      <c r="G979" t="s">
        <v>74</v>
      </c>
      <c r="H979" t="s">
        <v>470</v>
      </c>
      <c r="I979" t="s">
        <v>471</v>
      </c>
      <c r="J979">
        <v>20</v>
      </c>
    </row>
    <row r="980" spans="1:10">
      <c r="A980" s="90" t="s">
        <v>216</v>
      </c>
      <c r="B980" s="87">
        <v>45888</v>
      </c>
      <c r="C980" t="s">
        <v>511</v>
      </c>
      <c r="D980" t="s">
        <v>2110</v>
      </c>
      <c r="E980" t="s">
        <v>512</v>
      </c>
      <c r="F980" t="s">
        <v>788</v>
      </c>
      <c r="G980" t="s">
        <v>474</v>
      </c>
      <c r="H980" t="s">
        <v>470</v>
      </c>
      <c r="I980" t="s">
        <v>475</v>
      </c>
      <c r="J980">
        <v>9652</v>
      </c>
    </row>
    <row r="981" spans="1:10">
      <c r="A981" s="90" t="s">
        <v>216</v>
      </c>
      <c r="B981" s="87">
        <v>45889</v>
      </c>
      <c r="C981" t="s">
        <v>2918</v>
      </c>
      <c r="D981" t="s">
        <v>2110</v>
      </c>
      <c r="E981" t="s">
        <v>2919</v>
      </c>
      <c r="F981" t="s">
        <v>2920</v>
      </c>
      <c r="G981" t="s">
        <v>2125</v>
      </c>
      <c r="H981" t="s">
        <v>470</v>
      </c>
      <c r="I981" t="s">
        <v>487</v>
      </c>
      <c r="J981">
        <v>12464</v>
      </c>
    </row>
    <row r="982" spans="1:10">
      <c r="A982" s="90" t="s">
        <v>216</v>
      </c>
      <c r="B982" s="87">
        <v>45889</v>
      </c>
      <c r="C982" t="s">
        <v>2921</v>
      </c>
      <c r="D982" t="s">
        <v>2110</v>
      </c>
      <c r="E982" t="s">
        <v>2919</v>
      </c>
      <c r="F982" t="s">
        <v>2922</v>
      </c>
      <c r="G982" t="s">
        <v>2125</v>
      </c>
      <c r="H982" t="s">
        <v>470</v>
      </c>
      <c r="I982" t="s">
        <v>487</v>
      </c>
      <c r="J982">
        <v>13234.8</v>
      </c>
    </row>
    <row r="983" spans="1:10">
      <c r="A983" s="90" t="s">
        <v>216</v>
      </c>
      <c r="B983" s="87">
        <v>45889</v>
      </c>
      <c r="C983" t="s">
        <v>2923</v>
      </c>
      <c r="D983" t="s">
        <v>2110</v>
      </c>
      <c r="E983" t="s">
        <v>2919</v>
      </c>
      <c r="F983" t="s">
        <v>2924</v>
      </c>
      <c r="G983" t="s">
        <v>2125</v>
      </c>
      <c r="H983" t="s">
        <v>470</v>
      </c>
      <c r="I983" t="s">
        <v>487</v>
      </c>
      <c r="J983">
        <v>12800.2</v>
      </c>
    </row>
    <row r="984" spans="1:10">
      <c r="A984" s="90" t="s">
        <v>216</v>
      </c>
      <c r="B984" s="87">
        <v>45889</v>
      </c>
      <c r="C984" t="s">
        <v>2925</v>
      </c>
      <c r="D984" t="s">
        <v>2110</v>
      </c>
      <c r="E984" t="s">
        <v>2919</v>
      </c>
      <c r="F984" t="s">
        <v>2926</v>
      </c>
      <c r="G984" t="s">
        <v>2125</v>
      </c>
      <c r="H984" t="s">
        <v>470</v>
      </c>
      <c r="I984" t="s">
        <v>487</v>
      </c>
      <c r="J984">
        <v>16043.3</v>
      </c>
    </row>
    <row r="985" spans="1:10">
      <c r="A985" s="90" t="s">
        <v>216</v>
      </c>
      <c r="B985" s="87">
        <v>45889</v>
      </c>
      <c r="C985" t="s">
        <v>2927</v>
      </c>
      <c r="D985" t="s">
        <v>2110</v>
      </c>
      <c r="E985" t="s">
        <v>2338</v>
      </c>
      <c r="F985" t="s">
        <v>778</v>
      </c>
      <c r="G985" t="s">
        <v>269</v>
      </c>
      <c r="H985" t="s">
        <v>470</v>
      </c>
      <c r="I985" t="s">
        <v>796</v>
      </c>
      <c r="J985">
        <v>646.13</v>
      </c>
    </row>
    <row r="986" spans="1:10">
      <c r="A986" s="90" t="s">
        <v>216</v>
      </c>
      <c r="B986" s="87">
        <v>45889</v>
      </c>
      <c r="C986" t="s">
        <v>2928</v>
      </c>
      <c r="D986" t="s">
        <v>2110</v>
      </c>
      <c r="E986" t="s">
        <v>2117</v>
      </c>
      <c r="F986" t="s">
        <v>778</v>
      </c>
      <c r="G986" t="s">
        <v>2381</v>
      </c>
      <c r="H986" t="s">
        <v>470</v>
      </c>
      <c r="I986" t="s">
        <v>796</v>
      </c>
      <c r="J986">
        <v>422.21</v>
      </c>
    </row>
    <row r="987" spans="1:10">
      <c r="A987" s="90" t="s">
        <v>216</v>
      </c>
      <c r="B987" s="87">
        <v>45889</v>
      </c>
      <c r="C987" t="s">
        <v>2929</v>
      </c>
      <c r="D987" t="s">
        <v>2110</v>
      </c>
      <c r="E987" t="s">
        <v>2318</v>
      </c>
      <c r="F987" t="s">
        <v>778</v>
      </c>
      <c r="G987" t="s">
        <v>64</v>
      </c>
      <c r="H987" t="s">
        <v>2795</v>
      </c>
      <c r="I987" t="s">
        <v>796</v>
      </c>
      <c r="J987">
        <v>806</v>
      </c>
    </row>
    <row r="988" spans="1:10">
      <c r="A988" s="90" t="s">
        <v>216</v>
      </c>
      <c r="B988" s="87">
        <v>45889</v>
      </c>
      <c r="C988" t="s">
        <v>2929</v>
      </c>
      <c r="D988" t="s">
        <v>2110</v>
      </c>
      <c r="E988" t="s">
        <v>2318</v>
      </c>
      <c r="F988" t="s">
        <v>778</v>
      </c>
      <c r="G988" t="s">
        <v>67</v>
      </c>
      <c r="H988" t="s">
        <v>2795</v>
      </c>
      <c r="I988" t="s">
        <v>796</v>
      </c>
      <c r="J988">
        <v>207.03</v>
      </c>
    </row>
    <row r="989" spans="1:10">
      <c r="A989" s="90" t="s">
        <v>216</v>
      </c>
      <c r="B989" s="87">
        <v>45889</v>
      </c>
      <c r="C989" t="s">
        <v>2836</v>
      </c>
      <c r="D989" t="s">
        <v>2110</v>
      </c>
      <c r="E989" t="s">
        <v>477</v>
      </c>
      <c r="F989" t="s">
        <v>2311</v>
      </c>
      <c r="G989" t="s">
        <v>515</v>
      </c>
      <c r="H989" t="s">
        <v>2930</v>
      </c>
      <c r="I989" t="s">
        <v>471</v>
      </c>
      <c r="J989">
        <v>55555.56</v>
      </c>
    </row>
    <row r="990" spans="1:10">
      <c r="A990" s="90" t="s">
        <v>216</v>
      </c>
      <c r="B990" s="87">
        <v>45889</v>
      </c>
      <c r="C990" t="s">
        <v>2836</v>
      </c>
      <c r="D990" t="s">
        <v>2110</v>
      </c>
      <c r="E990" t="s">
        <v>477</v>
      </c>
      <c r="F990" t="s">
        <v>2311</v>
      </c>
      <c r="G990" t="s">
        <v>69</v>
      </c>
      <c r="H990" t="s">
        <v>2930</v>
      </c>
      <c r="I990" t="s">
        <v>471</v>
      </c>
      <c r="J990">
        <v>1699.26</v>
      </c>
    </row>
    <row r="991" spans="1:10">
      <c r="A991" s="90" t="s">
        <v>216</v>
      </c>
      <c r="B991" s="87">
        <v>45889</v>
      </c>
      <c r="C991" t="s">
        <v>2275</v>
      </c>
      <c r="D991" t="s">
        <v>2110</v>
      </c>
      <c r="E991" t="s">
        <v>477</v>
      </c>
      <c r="F991" t="s">
        <v>788</v>
      </c>
      <c r="G991" t="s">
        <v>74</v>
      </c>
      <c r="H991" t="s">
        <v>470</v>
      </c>
      <c r="I991" t="s">
        <v>471</v>
      </c>
      <c r="J991">
        <v>40</v>
      </c>
    </row>
    <row r="992" spans="1:10">
      <c r="A992" s="90" t="s">
        <v>216</v>
      </c>
      <c r="B992" s="87">
        <v>45889</v>
      </c>
      <c r="C992" t="s">
        <v>511</v>
      </c>
      <c r="D992" t="s">
        <v>2110</v>
      </c>
      <c r="E992" t="s">
        <v>512</v>
      </c>
      <c r="F992" t="s">
        <v>788</v>
      </c>
      <c r="G992" t="s">
        <v>474</v>
      </c>
      <c r="H992" t="s">
        <v>470</v>
      </c>
      <c r="I992" t="s">
        <v>475</v>
      </c>
      <c r="J992">
        <v>133755.01999999999</v>
      </c>
    </row>
    <row r="993" spans="1:10">
      <c r="A993" s="90" t="s">
        <v>216</v>
      </c>
      <c r="B993" s="87">
        <v>45890</v>
      </c>
      <c r="C993" t="s">
        <v>2275</v>
      </c>
      <c r="D993" t="s">
        <v>2110</v>
      </c>
      <c r="E993" t="s">
        <v>477</v>
      </c>
      <c r="F993" t="s">
        <v>788</v>
      </c>
      <c r="G993" t="s">
        <v>74</v>
      </c>
      <c r="H993" t="s">
        <v>470</v>
      </c>
      <c r="I993" t="s">
        <v>471</v>
      </c>
      <c r="J993">
        <v>1.56</v>
      </c>
    </row>
    <row r="994" spans="1:10">
      <c r="A994" s="90" t="s">
        <v>216</v>
      </c>
      <c r="B994" s="87">
        <v>45890</v>
      </c>
      <c r="C994" t="s">
        <v>517</v>
      </c>
      <c r="D994" t="s">
        <v>2110</v>
      </c>
      <c r="E994" t="s">
        <v>512</v>
      </c>
      <c r="F994" t="s">
        <v>788</v>
      </c>
      <c r="G994" t="s">
        <v>474</v>
      </c>
      <c r="H994" t="s">
        <v>470</v>
      </c>
      <c r="I994" t="s">
        <v>475</v>
      </c>
      <c r="J994">
        <v>71630.44</v>
      </c>
    </row>
    <row r="995" spans="1:10">
      <c r="A995" s="90" t="s">
        <v>216</v>
      </c>
      <c r="B995" s="87">
        <v>45891</v>
      </c>
      <c r="C995" t="s">
        <v>2931</v>
      </c>
      <c r="D995" t="s">
        <v>2110</v>
      </c>
      <c r="E995" t="s">
        <v>2932</v>
      </c>
      <c r="F995" t="s">
        <v>795</v>
      </c>
      <c r="G995" t="s">
        <v>2125</v>
      </c>
      <c r="H995" t="s">
        <v>470</v>
      </c>
      <c r="I995" t="s">
        <v>487</v>
      </c>
      <c r="J995">
        <v>20328</v>
      </c>
    </row>
    <row r="996" spans="1:10">
      <c r="A996" s="90" t="s">
        <v>216</v>
      </c>
      <c r="B996" s="87">
        <v>45891</v>
      </c>
      <c r="C996" t="s">
        <v>2933</v>
      </c>
      <c r="D996" t="s">
        <v>2110</v>
      </c>
      <c r="E996" t="s">
        <v>2932</v>
      </c>
      <c r="F996" t="s">
        <v>804</v>
      </c>
      <c r="G996" t="s">
        <v>2125</v>
      </c>
      <c r="H996" t="s">
        <v>470</v>
      </c>
      <c r="I996" t="s">
        <v>487</v>
      </c>
      <c r="J996">
        <v>20361.599999999999</v>
      </c>
    </row>
    <row r="997" spans="1:10">
      <c r="A997" s="90" t="s">
        <v>216</v>
      </c>
      <c r="B997" s="87">
        <v>45891</v>
      </c>
      <c r="C997" t="s">
        <v>2934</v>
      </c>
      <c r="D997" t="s">
        <v>2110</v>
      </c>
      <c r="E997" t="s">
        <v>2932</v>
      </c>
      <c r="F997" t="s">
        <v>806</v>
      </c>
      <c r="G997" t="s">
        <v>2125</v>
      </c>
      <c r="H997" t="s">
        <v>470</v>
      </c>
      <c r="I997" t="s">
        <v>487</v>
      </c>
      <c r="J997">
        <v>18102</v>
      </c>
    </row>
    <row r="998" spans="1:10">
      <c r="A998" s="90" t="s">
        <v>216</v>
      </c>
      <c r="B998" s="87">
        <v>45891</v>
      </c>
      <c r="C998" t="s">
        <v>2935</v>
      </c>
      <c r="D998" t="s">
        <v>2110</v>
      </c>
      <c r="E998" t="s">
        <v>2936</v>
      </c>
      <c r="F998" t="s">
        <v>814</v>
      </c>
      <c r="G998" t="s">
        <v>2125</v>
      </c>
      <c r="H998" t="s">
        <v>470</v>
      </c>
      <c r="I998" t="s">
        <v>487</v>
      </c>
      <c r="J998">
        <v>11519.2</v>
      </c>
    </row>
    <row r="999" spans="1:10">
      <c r="A999" s="90" t="s">
        <v>216</v>
      </c>
      <c r="B999" s="87">
        <v>45891</v>
      </c>
      <c r="C999" t="s">
        <v>2937</v>
      </c>
      <c r="D999" t="s">
        <v>2110</v>
      </c>
      <c r="E999" t="s">
        <v>2378</v>
      </c>
      <c r="F999" t="s">
        <v>814</v>
      </c>
      <c r="G999" t="s">
        <v>2112</v>
      </c>
      <c r="H999" t="s">
        <v>470</v>
      </c>
      <c r="I999" t="s">
        <v>487</v>
      </c>
      <c r="J999">
        <v>32912</v>
      </c>
    </row>
    <row r="1000" spans="1:10">
      <c r="A1000" s="90" t="s">
        <v>216</v>
      </c>
      <c r="B1000" s="87">
        <v>45891</v>
      </c>
      <c r="C1000" t="s">
        <v>2938</v>
      </c>
      <c r="D1000" t="s">
        <v>2110</v>
      </c>
      <c r="E1000" t="s">
        <v>2378</v>
      </c>
      <c r="F1000" t="s">
        <v>818</v>
      </c>
      <c r="G1000" t="s">
        <v>2112</v>
      </c>
      <c r="H1000" t="s">
        <v>470</v>
      </c>
      <c r="I1000" t="s">
        <v>487</v>
      </c>
      <c r="J1000">
        <v>27984</v>
      </c>
    </row>
    <row r="1001" spans="1:10">
      <c r="A1001" s="90" t="s">
        <v>216</v>
      </c>
      <c r="B1001" s="87">
        <v>45891</v>
      </c>
      <c r="C1001" t="s">
        <v>2939</v>
      </c>
      <c r="D1001" t="s">
        <v>2110</v>
      </c>
      <c r="E1001" t="s">
        <v>2378</v>
      </c>
      <c r="F1001" t="s">
        <v>2940</v>
      </c>
      <c r="G1001" t="s">
        <v>2112</v>
      </c>
      <c r="H1001" t="s">
        <v>470</v>
      </c>
      <c r="I1001" t="s">
        <v>487</v>
      </c>
      <c r="J1001">
        <v>5016</v>
      </c>
    </row>
    <row r="1002" spans="1:10">
      <c r="A1002" s="90" t="s">
        <v>216</v>
      </c>
      <c r="B1002" s="87">
        <v>45891</v>
      </c>
      <c r="C1002" t="s">
        <v>2275</v>
      </c>
      <c r="D1002" t="s">
        <v>2110</v>
      </c>
      <c r="E1002" t="s">
        <v>477</v>
      </c>
      <c r="F1002" t="s">
        <v>788</v>
      </c>
      <c r="G1002" t="s">
        <v>74</v>
      </c>
      <c r="H1002" t="s">
        <v>470</v>
      </c>
      <c r="I1002" t="s">
        <v>471</v>
      </c>
      <c r="J1002">
        <v>40</v>
      </c>
    </row>
    <row r="1003" spans="1:10">
      <c r="A1003" s="90" t="s">
        <v>216</v>
      </c>
      <c r="B1003" s="87">
        <v>45891</v>
      </c>
      <c r="C1003" t="s">
        <v>511</v>
      </c>
      <c r="D1003" t="s">
        <v>2110</v>
      </c>
      <c r="E1003" t="s">
        <v>512</v>
      </c>
      <c r="F1003" t="s">
        <v>788</v>
      </c>
      <c r="G1003" t="s">
        <v>474</v>
      </c>
      <c r="H1003" t="s">
        <v>470</v>
      </c>
      <c r="I1003" t="s">
        <v>475</v>
      </c>
      <c r="J1003">
        <v>71630.570000000007</v>
      </c>
    </row>
    <row r="1004" spans="1:10">
      <c r="A1004" s="90" t="s">
        <v>216</v>
      </c>
      <c r="B1004" s="87">
        <v>45891</v>
      </c>
      <c r="C1004" t="s">
        <v>511</v>
      </c>
      <c r="D1004" t="s">
        <v>2110</v>
      </c>
      <c r="E1004" t="s">
        <v>512</v>
      </c>
      <c r="F1004" t="s">
        <v>788</v>
      </c>
      <c r="G1004" t="s">
        <v>474</v>
      </c>
      <c r="H1004" t="s">
        <v>470</v>
      </c>
      <c r="I1004" t="s">
        <v>475</v>
      </c>
      <c r="J1004">
        <v>64632.23</v>
      </c>
    </row>
    <row r="1005" spans="1:10">
      <c r="A1005" s="90" t="s">
        <v>216</v>
      </c>
      <c r="B1005" s="87">
        <v>45894</v>
      </c>
      <c r="C1005" t="s">
        <v>2941</v>
      </c>
      <c r="D1005" t="s">
        <v>2110</v>
      </c>
      <c r="E1005" t="s">
        <v>1002</v>
      </c>
      <c r="F1005" t="s">
        <v>741</v>
      </c>
      <c r="G1005" t="s">
        <v>2115</v>
      </c>
      <c r="H1005" t="s">
        <v>470</v>
      </c>
      <c r="I1005" t="s">
        <v>796</v>
      </c>
      <c r="J1005">
        <v>370</v>
      </c>
    </row>
    <row r="1006" spans="1:10">
      <c r="A1006" s="90" t="s">
        <v>216</v>
      </c>
      <c r="B1006" s="87">
        <v>45894</v>
      </c>
      <c r="C1006" t="s">
        <v>2941</v>
      </c>
      <c r="D1006" t="s">
        <v>2110</v>
      </c>
      <c r="E1006" t="s">
        <v>1002</v>
      </c>
      <c r="F1006" t="s">
        <v>741</v>
      </c>
      <c r="G1006" t="s">
        <v>2115</v>
      </c>
      <c r="H1006" t="s">
        <v>470</v>
      </c>
      <c r="I1006" t="s">
        <v>796</v>
      </c>
      <c r="J1006">
        <v>1160</v>
      </c>
    </row>
    <row r="1007" spans="1:10">
      <c r="A1007" s="90" t="s">
        <v>216</v>
      </c>
      <c r="B1007" s="87">
        <v>45894</v>
      </c>
      <c r="C1007" t="s">
        <v>2941</v>
      </c>
      <c r="D1007" t="s">
        <v>2110</v>
      </c>
      <c r="E1007" t="s">
        <v>1002</v>
      </c>
      <c r="F1007" t="s">
        <v>741</v>
      </c>
      <c r="G1007" t="s">
        <v>223</v>
      </c>
      <c r="H1007" t="s">
        <v>470</v>
      </c>
      <c r="I1007" t="s">
        <v>796</v>
      </c>
      <c r="J1007">
        <v>617.6</v>
      </c>
    </row>
    <row r="1008" spans="1:10">
      <c r="A1008" s="90" t="s">
        <v>216</v>
      </c>
      <c r="B1008" s="87">
        <v>45894</v>
      </c>
      <c r="C1008" t="s">
        <v>2942</v>
      </c>
      <c r="D1008" t="s">
        <v>2110</v>
      </c>
      <c r="E1008" t="s">
        <v>2943</v>
      </c>
      <c r="F1008" t="s">
        <v>818</v>
      </c>
      <c r="G1008" t="s">
        <v>2125</v>
      </c>
      <c r="H1008" t="s">
        <v>470</v>
      </c>
      <c r="I1008" t="s">
        <v>487</v>
      </c>
      <c r="J1008">
        <v>10528.98</v>
      </c>
    </row>
    <row r="1009" spans="1:10">
      <c r="A1009" s="90" t="s">
        <v>216</v>
      </c>
      <c r="B1009" s="87">
        <v>45894</v>
      </c>
      <c r="C1009" t="s">
        <v>511</v>
      </c>
      <c r="D1009" t="s">
        <v>2110</v>
      </c>
      <c r="E1009" t="s">
        <v>512</v>
      </c>
      <c r="F1009" t="s">
        <v>788</v>
      </c>
      <c r="G1009" t="s">
        <v>474</v>
      </c>
      <c r="H1009" t="s">
        <v>470</v>
      </c>
      <c r="I1009" t="s">
        <v>475</v>
      </c>
      <c r="J1009">
        <v>278880</v>
      </c>
    </row>
    <row r="1010" spans="1:10">
      <c r="A1010" s="90" t="s">
        <v>216</v>
      </c>
      <c r="B1010" s="87">
        <v>45894</v>
      </c>
      <c r="C1010" t="s">
        <v>2944</v>
      </c>
      <c r="D1010" t="s">
        <v>2110</v>
      </c>
      <c r="E1010" t="s">
        <v>2401</v>
      </c>
      <c r="F1010" t="s">
        <v>277</v>
      </c>
      <c r="G1010" t="s">
        <v>2112</v>
      </c>
      <c r="H1010" t="s">
        <v>470</v>
      </c>
      <c r="I1010" t="s">
        <v>487</v>
      </c>
      <c r="J1010">
        <v>278880</v>
      </c>
    </row>
    <row r="1011" spans="1:10">
      <c r="A1011" s="90" t="s">
        <v>216</v>
      </c>
      <c r="B1011" s="87">
        <v>45894</v>
      </c>
      <c r="C1011" t="s">
        <v>2945</v>
      </c>
      <c r="D1011" t="s">
        <v>2110</v>
      </c>
      <c r="E1011" t="s">
        <v>1667</v>
      </c>
      <c r="F1011" t="s">
        <v>2946</v>
      </c>
      <c r="G1011" t="s">
        <v>2115</v>
      </c>
      <c r="H1011" t="s">
        <v>470</v>
      </c>
      <c r="I1011" t="s">
        <v>475</v>
      </c>
      <c r="J1011">
        <v>2734.4</v>
      </c>
    </row>
    <row r="1012" spans="1:10">
      <c r="A1012" s="90" t="s">
        <v>216</v>
      </c>
      <c r="B1012" s="87">
        <v>45894</v>
      </c>
      <c r="C1012" t="s">
        <v>2947</v>
      </c>
      <c r="D1012" t="s">
        <v>2110</v>
      </c>
      <c r="E1012" t="s">
        <v>1667</v>
      </c>
      <c r="F1012" t="s">
        <v>2946</v>
      </c>
      <c r="G1012" t="s">
        <v>2115</v>
      </c>
      <c r="H1012" t="s">
        <v>470</v>
      </c>
      <c r="I1012" t="s">
        <v>475</v>
      </c>
      <c r="J1012">
        <v>140.49</v>
      </c>
    </row>
    <row r="1013" spans="1:10">
      <c r="A1013" s="90" t="s">
        <v>216</v>
      </c>
      <c r="B1013" s="87">
        <v>45894</v>
      </c>
      <c r="C1013" t="s">
        <v>2948</v>
      </c>
      <c r="D1013" t="s">
        <v>2110</v>
      </c>
      <c r="E1013" t="s">
        <v>2949</v>
      </c>
      <c r="F1013" t="s">
        <v>821</v>
      </c>
      <c r="G1013" t="s">
        <v>2125</v>
      </c>
      <c r="H1013" t="s">
        <v>470</v>
      </c>
      <c r="I1013" t="s">
        <v>487</v>
      </c>
      <c r="J1013">
        <v>9020.9</v>
      </c>
    </row>
    <row r="1014" spans="1:10">
      <c r="A1014" s="90" t="s">
        <v>216</v>
      </c>
      <c r="B1014" s="87">
        <v>45894</v>
      </c>
      <c r="C1014" t="s">
        <v>2275</v>
      </c>
      <c r="D1014" t="s">
        <v>2110</v>
      </c>
      <c r="E1014" t="s">
        <v>477</v>
      </c>
      <c r="F1014" t="s">
        <v>788</v>
      </c>
      <c r="G1014" t="s">
        <v>74</v>
      </c>
      <c r="H1014" t="s">
        <v>470</v>
      </c>
      <c r="I1014" t="s">
        <v>471</v>
      </c>
      <c r="J1014">
        <v>66.2</v>
      </c>
    </row>
    <row r="1015" spans="1:10">
      <c r="A1015" s="90" t="s">
        <v>216</v>
      </c>
      <c r="B1015" s="87">
        <v>45894</v>
      </c>
      <c r="C1015" t="s">
        <v>2275</v>
      </c>
      <c r="D1015" t="s">
        <v>2110</v>
      </c>
      <c r="E1015" t="s">
        <v>477</v>
      </c>
      <c r="F1015" t="s">
        <v>788</v>
      </c>
      <c r="G1015" t="s">
        <v>74</v>
      </c>
      <c r="H1015" t="s">
        <v>470</v>
      </c>
      <c r="I1015" t="s">
        <v>471</v>
      </c>
      <c r="J1015">
        <v>6.5</v>
      </c>
    </row>
    <row r="1016" spans="1:10">
      <c r="A1016" s="90" t="s">
        <v>216</v>
      </c>
      <c r="B1016" s="87">
        <v>45894</v>
      </c>
      <c r="C1016" t="s">
        <v>2275</v>
      </c>
      <c r="D1016" t="s">
        <v>2110</v>
      </c>
      <c r="E1016" t="s">
        <v>477</v>
      </c>
      <c r="F1016" t="s">
        <v>788</v>
      </c>
      <c r="G1016" t="s">
        <v>74</v>
      </c>
      <c r="H1016" t="s">
        <v>470</v>
      </c>
      <c r="I1016" t="s">
        <v>471</v>
      </c>
      <c r="J1016">
        <v>50</v>
      </c>
    </row>
    <row r="1017" spans="1:10">
      <c r="A1017" s="90" t="s">
        <v>216</v>
      </c>
      <c r="B1017" s="87">
        <v>45894</v>
      </c>
      <c r="C1017" t="s">
        <v>517</v>
      </c>
      <c r="D1017" t="s">
        <v>2110</v>
      </c>
      <c r="E1017" t="s">
        <v>512</v>
      </c>
      <c r="F1017" t="s">
        <v>788</v>
      </c>
      <c r="G1017" t="s">
        <v>474</v>
      </c>
      <c r="H1017" t="s">
        <v>470</v>
      </c>
      <c r="I1017" t="s">
        <v>475</v>
      </c>
      <c r="J1017">
        <v>15116.49</v>
      </c>
    </row>
    <row r="1018" spans="1:10">
      <c r="A1018" s="90" t="s">
        <v>216</v>
      </c>
      <c r="B1018" s="87">
        <v>45895</v>
      </c>
      <c r="C1018" t="s">
        <v>2950</v>
      </c>
      <c r="D1018" t="s">
        <v>2110</v>
      </c>
      <c r="E1018" t="s">
        <v>2951</v>
      </c>
      <c r="F1018" t="s">
        <v>2952</v>
      </c>
      <c r="G1018" t="s">
        <v>2125</v>
      </c>
      <c r="H1018" t="s">
        <v>470</v>
      </c>
      <c r="I1018" t="s">
        <v>487</v>
      </c>
      <c r="J1018">
        <v>3692.52</v>
      </c>
    </row>
    <row r="1019" spans="1:10">
      <c r="A1019" s="90" t="s">
        <v>216</v>
      </c>
      <c r="B1019" s="87">
        <v>45895</v>
      </c>
      <c r="C1019" t="s">
        <v>2953</v>
      </c>
      <c r="D1019" t="s">
        <v>2110</v>
      </c>
      <c r="E1019" t="s">
        <v>2936</v>
      </c>
      <c r="F1019" t="s">
        <v>814</v>
      </c>
      <c r="G1019" t="s">
        <v>2125</v>
      </c>
      <c r="H1019" t="s">
        <v>470</v>
      </c>
      <c r="I1019" t="s">
        <v>487</v>
      </c>
      <c r="J1019">
        <v>4846.8</v>
      </c>
    </row>
    <row r="1020" spans="1:10">
      <c r="A1020" s="90" t="s">
        <v>216</v>
      </c>
      <c r="B1020" s="87">
        <v>45895</v>
      </c>
      <c r="C1020" t="s">
        <v>511</v>
      </c>
      <c r="D1020" t="s">
        <v>2110</v>
      </c>
      <c r="E1020" t="s">
        <v>512</v>
      </c>
      <c r="F1020" t="s">
        <v>788</v>
      </c>
      <c r="G1020" t="s">
        <v>474</v>
      </c>
      <c r="H1020" t="s">
        <v>470</v>
      </c>
      <c r="I1020" t="s">
        <v>475</v>
      </c>
      <c r="J1020">
        <v>40000</v>
      </c>
    </row>
    <row r="1021" spans="1:10">
      <c r="A1021" s="90" t="s">
        <v>216</v>
      </c>
      <c r="B1021" s="87">
        <v>45895</v>
      </c>
      <c r="C1021" t="s">
        <v>2954</v>
      </c>
      <c r="D1021" t="s">
        <v>2110</v>
      </c>
      <c r="E1021" t="s">
        <v>800</v>
      </c>
      <c r="F1021" t="s">
        <v>788</v>
      </c>
      <c r="G1021" t="s">
        <v>526</v>
      </c>
      <c r="H1021" t="s">
        <v>470</v>
      </c>
      <c r="I1021" t="s">
        <v>487</v>
      </c>
      <c r="J1021">
        <v>3692.52</v>
      </c>
    </row>
    <row r="1022" spans="1:10">
      <c r="A1022" s="90" t="s">
        <v>216</v>
      </c>
      <c r="B1022" s="87">
        <v>45895</v>
      </c>
      <c r="C1022" t="s">
        <v>2954</v>
      </c>
      <c r="D1022" t="s">
        <v>2110</v>
      </c>
      <c r="E1022" t="s">
        <v>800</v>
      </c>
      <c r="F1022" t="s">
        <v>788</v>
      </c>
      <c r="G1022" t="s">
        <v>526</v>
      </c>
      <c r="H1022" t="s">
        <v>470</v>
      </c>
      <c r="I1022" t="s">
        <v>487</v>
      </c>
      <c r="J1022">
        <v>3692.51</v>
      </c>
    </row>
    <row r="1023" spans="1:10">
      <c r="A1023" s="90" t="s">
        <v>216</v>
      </c>
      <c r="B1023" s="87">
        <v>45895</v>
      </c>
      <c r="C1023" t="s">
        <v>2275</v>
      </c>
      <c r="D1023" t="s">
        <v>2110</v>
      </c>
      <c r="E1023" t="s">
        <v>477</v>
      </c>
      <c r="F1023" t="s">
        <v>788</v>
      </c>
      <c r="G1023" t="s">
        <v>74</v>
      </c>
      <c r="H1023" t="s">
        <v>470</v>
      </c>
      <c r="I1023" t="s">
        <v>471</v>
      </c>
      <c r="J1023">
        <v>50</v>
      </c>
    </row>
    <row r="1024" spans="1:10">
      <c r="A1024" s="90" t="s">
        <v>216</v>
      </c>
      <c r="B1024" s="87">
        <v>45895</v>
      </c>
      <c r="C1024" t="s">
        <v>2955</v>
      </c>
      <c r="D1024" t="s">
        <v>2110</v>
      </c>
      <c r="E1024" t="s">
        <v>477</v>
      </c>
      <c r="F1024" t="s">
        <v>2325</v>
      </c>
      <c r="G1024" t="s">
        <v>515</v>
      </c>
      <c r="H1024" t="s">
        <v>2956</v>
      </c>
      <c r="I1024" t="s">
        <v>471</v>
      </c>
      <c r="J1024">
        <v>33666.57</v>
      </c>
    </row>
    <row r="1025" spans="1:10">
      <c r="A1025" s="90" t="s">
        <v>216</v>
      </c>
      <c r="B1025" s="87">
        <v>45895</v>
      </c>
      <c r="C1025" t="s">
        <v>2955</v>
      </c>
      <c r="D1025" t="s">
        <v>2110</v>
      </c>
      <c r="E1025" t="s">
        <v>477</v>
      </c>
      <c r="F1025" t="s">
        <v>2325</v>
      </c>
      <c r="G1025" t="s">
        <v>69</v>
      </c>
      <c r="H1025" t="s">
        <v>2956</v>
      </c>
      <c r="I1025" t="s">
        <v>471</v>
      </c>
      <c r="J1025">
        <v>5844.63</v>
      </c>
    </row>
    <row r="1026" spans="1:10">
      <c r="A1026" s="90" t="s">
        <v>216</v>
      </c>
      <c r="B1026" s="87">
        <v>45895</v>
      </c>
      <c r="C1026" t="s">
        <v>511</v>
      </c>
      <c r="D1026" t="s">
        <v>2110</v>
      </c>
      <c r="E1026" t="s">
        <v>512</v>
      </c>
      <c r="F1026" t="s">
        <v>788</v>
      </c>
      <c r="G1026" t="s">
        <v>474</v>
      </c>
      <c r="H1026" t="s">
        <v>470</v>
      </c>
      <c r="I1026" t="s">
        <v>475</v>
      </c>
      <c r="J1026">
        <v>15116.53</v>
      </c>
    </row>
    <row r="1027" spans="1:10">
      <c r="A1027" s="90" t="s">
        <v>216</v>
      </c>
      <c r="B1027" s="87">
        <v>45895</v>
      </c>
      <c r="C1027" t="s">
        <v>511</v>
      </c>
      <c r="D1027" t="s">
        <v>2110</v>
      </c>
      <c r="E1027" t="s">
        <v>512</v>
      </c>
      <c r="F1027" t="s">
        <v>788</v>
      </c>
      <c r="G1027" t="s">
        <v>474</v>
      </c>
      <c r="H1027" t="s">
        <v>470</v>
      </c>
      <c r="I1027" t="s">
        <v>475</v>
      </c>
      <c r="J1027">
        <v>25483.9</v>
      </c>
    </row>
    <row r="1028" spans="1:10">
      <c r="A1028" s="90" t="s">
        <v>216</v>
      </c>
      <c r="B1028" s="87">
        <v>45896</v>
      </c>
      <c r="C1028" t="s">
        <v>2957</v>
      </c>
      <c r="D1028" t="s">
        <v>2110</v>
      </c>
      <c r="E1028" t="s">
        <v>2943</v>
      </c>
      <c r="F1028" t="s">
        <v>818</v>
      </c>
      <c r="G1028" t="s">
        <v>2125</v>
      </c>
      <c r="H1028" t="s">
        <v>470</v>
      </c>
      <c r="I1028" t="s">
        <v>487</v>
      </c>
      <c r="J1028">
        <v>4422.42</v>
      </c>
    </row>
    <row r="1029" spans="1:10">
      <c r="A1029" s="90" t="s">
        <v>216</v>
      </c>
      <c r="B1029" s="87">
        <v>45896</v>
      </c>
      <c r="C1029" t="s">
        <v>2958</v>
      </c>
      <c r="D1029" t="s">
        <v>2110</v>
      </c>
      <c r="E1029" t="s">
        <v>2936</v>
      </c>
      <c r="F1029" t="s">
        <v>814</v>
      </c>
      <c r="G1029" t="s">
        <v>2125</v>
      </c>
      <c r="H1029" t="s">
        <v>470</v>
      </c>
      <c r="I1029" t="s">
        <v>487</v>
      </c>
      <c r="J1029">
        <v>1324.2</v>
      </c>
    </row>
    <row r="1030" spans="1:10">
      <c r="A1030" s="90" t="s">
        <v>216</v>
      </c>
      <c r="B1030" s="87">
        <v>45896</v>
      </c>
      <c r="C1030" t="s">
        <v>2959</v>
      </c>
      <c r="D1030" t="s">
        <v>2110</v>
      </c>
      <c r="E1030" t="s">
        <v>477</v>
      </c>
      <c r="F1030" t="s">
        <v>265</v>
      </c>
      <c r="G1030" t="s">
        <v>74</v>
      </c>
      <c r="H1030" t="s">
        <v>470</v>
      </c>
      <c r="I1030" t="s">
        <v>471</v>
      </c>
      <c r="J1030">
        <v>250</v>
      </c>
    </row>
    <row r="1031" spans="1:10">
      <c r="A1031" s="90" t="s">
        <v>216</v>
      </c>
      <c r="B1031" s="87">
        <v>45896</v>
      </c>
      <c r="C1031" t="s">
        <v>2275</v>
      </c>
      <c r="D1031" t="s">
        <v>2110</v>
      </c>
      <c r="E1031" t="s">
        <v>477</v>
      </c>
      <c r="F1031" t="s">
        <v>788</v>
      </c>
      <c r="G1031" t="s">
        <v>74</v>
      </c>
      <c r="H1031" t="s">
        <v>470</v>
      </c>
      <c r="I1031" t="s">
        <v>471</v>
      </c>
      <c r="J1031">
        <v>20</v>
      </c>
    </row>
    <row r="1032" spans="1:10">
      <c r="A1032" s="90" t="s">
        <v>216</v>
      </c>
      <c r="B1032" s="87">
        <v>45896</v>
      </c>
      <c r="C1032" t="s">
        <v>511</v>
      </c>
      <c r="D1032" t="s">
        <v>2110</v>
      </c>
      <c r="E1032" t="s">
        <v>512</v>
      </c>
      <c r="F1032" t="s">
        <v>788</v>
      </c>
      <c r="G1032" t="s">
        <v>474</v>
      </c>
      <c r="H1032" t="s">
        <v>470</v>
      </c>
      <c r="I1032" t="s">
        <v>475</v>
      </c>
      <c r="J1032">
        <v>6016.62</v>
      </c>
    </row>
    <row r="1033" spans="1:10">
      <c r="A1033" s="90" t="s">
        <v>216</v>
      </c>
      <c r="B1033" s="87">
        <v>45897</v>
      </c>
      <c r="C1033" t="s">
        <v>2960</v>
      </c>
      <c r="D1033" t="s">
        <v>2110</v>
      </c>
      <c r="E1033" t="s">
        <v>812</v>
      </c>
      <c r="F1033" t="s">
        <v>279</v>
      </c>
      <c r="G1033" t="s">
        <v>2213</v>
      </c>
      <c r="H1033" t="s">
        <v>470</v>
      </c>
      <c r="I1033" t="s">
        <v>796</v>
      </c>
      <c r="J1033">
        <v>60034.64</v>
      </c>
    </row>
    <row r="1034" spans="1:10">
      <c r="A1034" s="90" t="s">
        <v>216</v>
      </c>
      <c r="B1034" s="87">
        <v>45897</v>
      </c>
      <c r="C1034" t="s">
        <v>2961</v>
      </c>
      <c r="D1034" t="s">
        <v>2110</v>
      </c>
      <c r="E1034" t="s">
        <v>812</v>
      </c>
      <c r="F1034" t="s">
        <v>279</v>
      </c>
      <c r="G1034" t="s">
        <v>2213</v>
      </c>
      <c r="H1034" t="s">
        <v>470</v>
      </c>
      <c r="I1034" t="s">
        <v>796</v>
      </c>
      <c r="J1034">
        <v>60065.38</v>
      </c>
    </row>
    <row r="1035" spans="1:10">
      <c r="A1035" s="90" t="s">
        <v>216</v>
      </c>
      <c r="B1035" s="87">
        <v>45897</v>
      </c>
      <c r="C1035" t="s">
        <v>2962</v>
      </c>
      <c r="D1035" t="s">
        <v>2110</v>
      </c>
      <c r="E1035" t="s">
        <v>2949</v>
      </c>
      <c r="F1035" t="s">
        <v>821</v>
      </c>
      <c r="G1035" t="s">
        <v>2125</v>
      </c>
      <c r="H1035" t="s">
        <v>470</v>
      </c>
      <c r="I1035" t="s">
        <v>487</v>
      </c>
      <c r="J1035">
        <v>3776.1</v>
      </c>
    </row>
    <row r="1036" spans="1:10">
      <c r="A1036" s="90" t="s">
        <v>216</v>
      </c>
      <c r="B1036" s="87">
        <v>45897</v>
      </c>
      <c r="C1036" t="s">
        <v>2962</v>
      </c>
      <c r="D1036" t="s">
        <v>2110</v>
      </c>
      <c r="E1036" t="s">
        <v>2949</v>
      </c>
      <c r="F1036" t="s">
        <v>821</v>
      </c>
      <c r="G1036" t="s">
        <v>182</v>
      </c>
      <c r="H1036" t="s">
        <v>470</v>
      </c>
      <c r="I1036" t="s">
        <v>487</v>
      </c>
      <c r="J1036">
        <v>90</v>
      </c>
    </row>
    <row r="1037" spans="1:10">
      <c r="A1037" s="90" t="s">
        <v>216</v>
      </c>
      <c r="B1037" s="87">
        <v>45897</v>
      </c>
      <c r="C1037" t="s">
        <v>2963</v>
      </c>
      <c r="D1037" t="s">
        <v>2110</v>
      </c>
      <c r="E1037" t="s">
        <v>2964</v>
      </c>
      <c r="F1037" t="s">
        <v>823</v>
      </c>
      <c r="G1037" t="s">
        <v>2125</v>
      </c>
      <c r="H1037" t="s">
        <v>470</v>
      </c>
      <c r="I1037" t="s">
        <v>487</v>
      </c>
      <c r="J1037">
        <v>9055.2000000000007</v>
      </c>
    </row>
    <row r="1038" spans="1:10">
      <c r="A1038" s="90" t="s">
        <v>216</v>
      </c>
      <c r="B1038" s="87">
        <v>45897</v>
      </c>
      <c r="C1038" t="s">
        <v>2965</v>
      </c>
      <c r="D1038" t="s">
        <v>2110</v>
      </c>
      <c r="E1038" t="s">
        <v>2964</v>
      </c>
      <c r="F1038" t="s">
        <v>823</v>
      </c>
      <c r="G1038" t="s">
        <v>2125</v>
      </c>
      <c r="H1038" t="s">
        <v>470</v>
      </c>
      <c r="I1038" t="s">
        <v>487</v>
      </c>
      <c r="J1038">
        <v>3790.8</v>
      </c>
    </row>
    <row r="1039" spans="1:10">
      <c r="A1039" s="90" t="s">
        <v>216</v>
      </c>
      <c r="B1039" s="87">
        <v>45897</v>
      </c>
      <c r="C1039" t="s">
        <v>2966</v>
      </c>
      <c r="D1039" t="s">
        <v>2110</v>
      </c>
      <c r="E1039" t="s">
        <v>477</v>
      </c>
      <c r="F1039" t="s">
        <v>788</v>
      </c>
      <c r="G1039" t="s">
        <v>232</v>
      </c>
      <c r="H1039" t="s">
        <v>470</v>
      </c>
      <c r="I1039" t="s">
        <v>471</v>
      </c>
      <c r="J1039">
        <v>180</v>
      </c>
    </row>
    <row r="1040" spans="1:10">
      <c r="A1040" s="90" t="s">
        <v>216</v>
      </c>
      <c r="B1040" s="87">
        <v>45897</v>
      </c>
      <c r="C1040" t="s">
        <v>2966</v>
      </c>
      <c r="D1040" t="s">
        <v>2110</v>
      </c>
      <c r="E1040" t="s">
        <v>477</v>
      </c>
      <c r="F1040" t="s">
        <v>788</v>
      </c>
      <c r="G1040" t="s">
        <v>284</v>
      </c>
      <c r="H1040" t="s">
        <v>470</v>
      </c>
      <c r="I1040" t="s">
        <v>471</v>
      </c>
      <c r="J1040">
        <v>1032.53</v>
      </c>
    </row>
    <row r="1041" spans="1:10">
      <c r="A1041" s="90" t="s">
        <v>216</v>
      </c>
      <c r="B1041" s="87">
        <v>45897</v>
      </c>
      <c r="C1041" t="s">
        <v>2966</v>
      </c>
      <c r="D1041" t="s">
        <v>2110</v>
      </c>
      <c r="E1041" t="s">
        <v>477</v>
      </c>
      <c r="F1041" t="s">
        <v>788</v>
      </c>
      <c r="G1041" t="s">
        <v>74</v>
      </c>
      <c r="H1041" t="s">
        <v>470</v>
      </c>
      <c r="I1041" t="s">
        <v>471</v>
      </c>
      <c r="J1041">
        <v>11</v>
      </c>
    </row>
    <row r="1042" spans="1:10">
      <c r="A1042" s="90" t="s">
        <v>216</v>
      </c>
      <c r="B1042" s="87">
        <v>45897</v>
      </c>
      <c r="C1042" t="s">
        <v>2967</v>
      </c>
      <c r="D1042" t="s">
        <v>2110</v>
      </c>
      <c r="E1042" t="s">
        <v>480</v>
      </c>
      <c r="F1042" t="s">
        <v>788</v>
      </c>
      <c r="G1042" t="s">
        <v>58</v>
      </c>
      <c r="H1042" t="s">
        <v>470</v>
      </c>
      <c r="I1042" t="s">
        <v>475</v>
      </c>
      <c r="J1042">
        <v>832.56</v>
      </c>
    </row>
    <row r="1043" spans="1:10">
      <c r="A1043" s="90" t="s">
        <v>216</v>
      </c>
      <c r="B1043" s="87">
        <v>45897</v>
      </c>
      <c r="C1043" t="s">
        <v>2967</v>
      </c>
      <c r="D1043" t="s">
        <v>2110</v>
      </c>
      <c r="E1043" t="s">
        <v>480</v>
      </c>
      <c r="F1043" t="s">
        <v>788</v>
      </c>
      <c r="G1043" t="s">
        <v>198</v>
      </c>
      <c r="H1043" t="s">
        <v>470</v>
      </c>
      <c r="I1043" t="s">
        <v>475</v>
      </c>
      <c r="J1043">
        <v>450.78</v>
      </c>
    </row>
    <row r="1044" spans="1:10">
      <c r="A1044" s="90" t="s">
        <v>216</v>
      </c>
      <c r="B1044" s="87">
        <v>45897</v>
      </c>
      <c r="C1044" t="s">
        <v>511</v>
      </c>
      <c r="D1044" t="s">
        <v>2110</v>
      </c>
      <c r="E1044" t="s">
        <v>512</v>
      </c>
      <c r="F1044" t="s">
        <v>788</v>
      </c>
      <c r="G1044" t="s">
        <v>474</v>
      </c>
      <c r="H1044" t="s">
        <v>470</v>
      </c>
      <c r="I1044" t="s">
        <v>475</v>
      </c>
      <c r="J1044">
        <v>130000</v>
      </c>
    </row>
    <row r="1045" spans="1:10">
      <c r="A1045" s="90" t="s">
        <v>216</v>
      </c>
      <c r="B1045" s="87">
        <v>45897</v>
      </c>
      <c r="C1045" t="s">
        <v>511</v>
      </c>
      <c r="D1045" t="s">
        <v>2110</v>
      </c>
      <c r="E1045" t="s">
        <v>512</v>
      </c>
      <c r="F1045" t="s">
        <v>788</v>
      </c>
      <c r="G1045" t="s">
        <v>474</v>
      </c>
      <c r="H1045" t="s">
        <v>470</v>
      </c>
      <c r="I1045" t="s">
        <v>475</v>
      </c>
      <c r="J1045">
        <v>9338.99</v>
      </c>
    </row>
    <row r="1046" spans="1:10">
      <c r="A1046" s="90" t="s">
        <v>216</v>
      </c>
      <c r="B1046" s="87">
        <v>45897</v>
      </c>
      <c r="C1046" t="s">
        <v>2275</v>
      </c>
      <c r="D1046" t="s">
        <v>2110</v>
      </c>
      <c r="E1046" t="s">
        <v>477</v>
      </c>
      <c r="F1046" t="s">
        <v>788</v>
      </c>
      <c r="G1046" t="s">
        <v>74</v>
      </c>
      <c r="H1046" t="s">
        <v>470</v>
      </c>
      <c r="I1046" t="s">
        <v>471</v>
      </c>
      <c r="J1046">
        <v>20</v>
      </c>
    </row>
    <row r="1047" spans="1:10">
      <c r="A1047" s="90" t="s">
        <v>216</v>
      </c>
      <c r="B1047" s="87">
        <v>45898</v>
      </c>
      <c r="C1047" t="s">
        <v>2968</v>
      </c>
      <c r="D1047" t="s">
        <v>2110</v>
      </c>
      <c r="E1047" t="s">
        <v>2919</v>
      </c>
      <c r="F1047" t="s">
        <v>2969</v>
      </c>
      <c r="G1047" t="s">
        <v>2125</v>
      </c>
      <c r="H1047" t="s">
        <v>470</v>
      </c>
      <c r="I1047" t="s">
        <v>487</v>
      </c>
      <c r="J1047">
        <v>13751.4</v>
      </c>
    </row>
    <row r="1048" spans="1:10">
      <c r="A1048" s="90" t="s">
        <v>216</v>
      </c>
      <c r="B1048" s="87">
        <v>45898</v>
      </c>
      <c r="C1048" t="s">
        <v>2970</v>
      </c>
      <c r="D1048" t="s">
        <v>2110</v>
      </c>
      <c r="E1048" t="s">
        <v>2919</v>
      </c>
      <c r="F1048" t="s">
        <v>2971</v>
      </c>
      <c r="G1048" t="s">
        <v>2125</v>
      </c>
      <c r="H1048" t="s">
        <v>470</v>
      </c>
      <c r="I1048" t="s">
        <v>487</v>
      </c>
      <c r="J1048">
        <v>12808.4</v>
      </c>
    </row>
    <row r="1049" spans="1:10">
      <c r="A1049" s="90" t="s">
        <v>216</v>
      </c>
      <c r="B1049" s="87">
        <v>45898</v>
      </c>
      <c r="C1049" t="s">
        <v>2972</v>
      </c>
      <c r="D1049" t="s">
        <v>2110</v>
      </c>
      <c r="E1049" t="s">
        <v>2919</v>
      </c>
      <c r="F1049" t="s">
        <v>2973</v>
      </c>
      <c r="G1049" t="s">
        <v>2125</v>
      </c>
      <c r="H1049" t="s">
        <v>470</v>
      </c>
      <c r="I1049" t="s">
        <v>487</v>
      </c>
      <c r="J1049">
        <v>10848.6</v>
      </c>
    </row>
    <row r="1050" spans="1:10">
      <c r="A1050" s="90" t="s">
        <v>216</v>
      </c>
      <c r="B1050" s="87">
        <v>45898</v>
      </c>
      <c r="C1050" t="s">
        <v>2974</v>
      </c>
      <c r="D1050" t="s">
        <v>2110</v>
      </c>
      <c r="E1050" t="s">
        <v>2919</v>
      </c>
      <c r="F1050" t="s">
        <v>2975</v>
      </c>
      <c r="G1050" t="s">
        <v>2125</v>
      </c>
      <c r="H1050" t="s">
        <v>470</v>
      </c>
      <c r="I1050" t="s">
        <v>487</v>
      </c>
      <c r="J1050">
        <v>13374.2</v>
      </c>
    </row>
    <row r="1051" spans="1:10">
      <c r="A1051" s="90" t="s">
        <v>216</v>
      </c>
      <c r="B1051" s="87">
        <v>45898</v>
      </c>
      <c r="C1051" t="s">
        <v>2976</v>
      </c>
      <c r="D1051" t="s">
        <v>2110</v>
      </c>
      <c r="E1051" t="s">
        <v>2300</v>
      </c>
      <c r="F1051" t="s">
        <v>788</v>
      </c>
      <c r="G1051" t="s">
        <v>220</v>
      </c>
      <c r="H1051" t="s">
        <v>2977</v>
      </c>
      <c r="I1051" t="s">
        <v>796</v>
      </c>
      <c r="J1051">
        <v>2987.63</v>
      </c>
    </row>
    <row r="1052" spans="1:10">
      <c r="A1052" s="90" t="s">
        <v>216</v>
      </c>
      <c r="B1052" s="87">
        <v>45898</v>
      </c>
      <c r="C1052" t="s">
        <v>2978</v>
      </c>
      <c r="D1052" t="s">
        <v>2110</v>
      </c>
      <c r="E1052" t="s">
        <v>2372</v>
      </c>
      <c r="F1052" t="s">
        <v>788</v>
      </c>
      <c r="G1052" t="s">
        <v>231</v>
      </c>
      <c r="H1052" t="s">
        <v>2359</v>
      </c>
      <c r="I1052" t="s">
        <v>796</v>
      </c>
      <c r="J1052">
        <v>1083.5899999999999</v>
      </c>
    </row>
    <row r="1053" spans="1:10">
      <c r="A1053" s="90" t="s">
        <v>216</v>
      </c>
      <c r="B1053" s="87">
        <v>45898</v>
      </c>
      <c r="C1053" t="s">
        <v>2784</v>
      </c>
      <c r="D1053" t="s">
        <v>2110</v>
      </c>
      <c r="E1053" t="s">
        <v>480</v>
      </c>
      <c r="F1053" t="s">
        <v>788</v>
      </c>
      <c r="G1053" t="s">
        <v>71</v>
      </c>
      <c r="H1053" t="s">
        <v>2870</v>
      </c>
      <c r="I1053" t="s">
        <v>475</v>
      </c>
      <c r="J1053">
        <v>2314</v>
      </c>
    </row>
    <row r="1054" spans="1:10">
      <c r="A1054" s="90" t="s">
        <v>216</v>
      </c>
      <c r="B1054" s="87">
        <v>45898</v>
      </c>
      <c r="C1054" t="s">
        <v>2979</v>
      </c>
      <c r="D1054" t="s">
        <v>2110</v>
      </c>
      <c r="E1054" t="s">
        <v>1137</v>
      </c>
      <c r="F1054" t="s">
        <v>2980</v>
      </c>
      <c r="G1054" t="s">
        <v>61</v>
      </c>
      <c r="H1054" t="s">
        <v>2870</v>
      </c>
      <c r="I1054" t="s">
        <v>487</v>
      </c>
      <c r="J1054">
        <v>1518</v>
      </c>
    </row>
    <row r="1055" spans="1:10">
      <c r="A1055" s="90" t="s">
        <v>216</v>
      </c>
      <c r="B1055" s="87">
        <v>45898</v>
      </c>
      <c r="C1055" t="s">
        <v>2803</v>
      </c>
      <c r="D1055" t="s">
        <v>2110</v>
      </c>
      <c r="E1055" t="s">
        <v>480</v>
      </c>
      <c r="F1055" t="s">
        <v>788</v>
      </c>
      <c r="G1055" t="s">
        <v>180</v>
      </c>
      <c r="H1055" t="s">
        <v>470</v>
      </c>
      <c r="I1055" t="s">
        <v>475</v>
      </c>
      <c r="J1055">
        <v>3262.37</v>
      </c>
    </row>
    <row r="1056" spans="1:10">
      <c r="A1056" s="90" t="s">
        <v>216</v>
      </c>
      <c r="B1056" s="87">
        <v>45898</v>
      </c>
      <c r="C1056" t="s">
        <v>2275</v>
      </c>
      <c r="D1056" t="s">
        <v>2110</v>
      </c>
      <c r="E1056" t="s">
        <v>477</v>
      </c>
      <c r="F1056" t="s">
        <v>788</v>
      </c>
      <c r="G1056" t="s">
        <v>74</v>
      </c>
      <c r="H1056" t="s">
        <v>470</v>
      </c>
      <c r="I1056" t="s">
        <v>471</v>
      </c>
      <c r="J1056">
        <v>20</v>
      </c>
    </row>
    <row r="1057" spans="1:10">
      <c r="A1057" s="90" t="s">
        <v>216</v>
      </c>
      <c r="B1057" s="87">
        <v>45898</v>
      </c>
      <c r="C1057" t="s">
        <v>511</v>
      </c>
      <c r="D1057" t="s">
        <v>2110</v>
      </c>
      <c r="E1057" t="s">
        <v>512</v>
      </c>
      <c r="F1057" t="s">
        <v>788</v>
      </c>
      <c r="G1057" t="s">
        <v>474</v>
      </c>
      <c r="H1057" t="s">
        <v>470</v>
      </c>
      <c r="I1057" t="s">
        <v>475</v>
      </c>
      <c r="J1057">
        <v>62000</v>
      </c>
    </row>
    <row r="1058" spans="1:10">
      <c r="A1058" s="90" t="s">
        <v>216</v>
      </c>
      <c r="B1058" s="87">
        <v>45898</v>
      </c>
      <c r="C1058" t="s">
        <v>517</v>
      </c>
      <c r="D1058" t="s">
        <v>2110</v>
      </c>
      <c r="E1058" t="s">
        <v>512</v>
      </c>
      <c r="F1058" t="s">
        <v>788</v>
      </c>
      <c r="G1058" t="s">
        <v>474</v>
      </c>
      <c r="H1058" t="s">
        <v>470</v>
      </c>
      <c r="I1058" t="s">
        <v>475</v>
      </c>
      <c r="J1058">
        <v>31.81</v>
      </c>
    </row>
    <row r="1059" spans="1:10">
      <c r="A1059" s="90" t="s">
        <v>216</v>
      </c>
      <c r="B1059" s="87">
        <v>45898</v>
      </c>
      <c r="C1059" t="s">
        <v>2347</v>
      </c>
      <c r="D1059" t="s">
        <v>2110</v>
      </c>
      <c r="E1059" t="s">
        <v>477</v>
      </c>
      <c r="F1059" t="s">
        <v>788</v>
      </c>
      <c r="G1059" t="s">
        <v>68</v>
      </c>
      <c r="H1059" t="s">
        <v>470</v>
      </c>
      <c r="I1059" t="s">
        <v>471</v>
      </c>
      <c r="J1059">
        <v>3561.43</v>
      </c>
    </row>
    <row r="1060" spans="1:10">
      <c r="A1060" s="90" t="s">
        <v>216</v>
      </c>
      <c r="B1060" s="87">
        <v>45898</v>
      </c>
      <c r="C1060" t="s">
        <v>2347</v>
      </c>
      <c r="D1060" t="s">
        <v>2110</v>
      </c>
      <c r="E1060" t="s">
        <v>477</v>
      </c>
      <c r="F1060" t="s">
        <v>788</v>
      </c>
      <c r="G1060" t="s">
        <v>68</v>
      </c>
      <c r="H1060" t="s">
        <v>470</v>
      </c>
      <c r="I1060" t="s">
        <v>471</v>
      </c>
      <c r="J1060">
        <v>8246.3700000000008</v>
      </c>
    </row>
    <row r="1061" spans="1:10">
      <c r="A1061" s="90" t="s">
        <v>216</v>
      </c>
      <c r="B1061" s="87">
        <v>45898</v>
      </c>
      <c r="C1061" t="s">
        <v>2347</v>
      </c>
      <c r="D1061" t="s">
        <v>2110</v>
      </c>
      <c r="E1061" t="s">
        <v>477</v>
      </c>
      <c r="F1061" t="s">
        <v>788</v>
      </c>
      <c r="G1061" t="s">
        <v>68</v>
      </c>
      <c r="H1061" t="s">
        <v>470</v>
      </c>
      <c r="I1061" t="s">
        <v>471</v>
      </c>
      <c r="J1061">
        <v>0.03</v>
      </c>
    </row>
    <row r="1062" spans="1:10">
      <c r="A1062" s="90" t="s">
        <v>216</v>
      </c>
      <c r="B1062" s="87">
        <v>45898</v>
      </c>
      <c r="C1062" t="s">
        <v>66</v>
      </c>
      <c r="D1062" t="s">
        <v>2110</v>
      </c>
      <c r="E1062" t="s">
        <v>477</v>
      </c>
      <c r="F1062" t="s">
        <v>788</v>
      </c>
      <c r="G1062" t="s">
        <v>66</v>
      </c>
      <c r="H1062" t="s">
        <v>470</v>
      </c>
      <c r="I1062" t="s">
        <v>471</v>
      </c>
      <c r="J1062">
        <v>4.57</v>
      </c>
    </row>
    <row r="1063" spans="1:10">
      <c r="A1063" s="90" t="s">
        <v>216</v>
      </c>
      <c r="B1063" s="87">
        <v>45900</v>
      </c>
      <c r="C1063" t="s">
        <v>2981</v>
      </c>
      <c r="D1063" t="s">
        <v>2110</v>
      </c>
      <c r="E1063" t="s">
        <v>812</v>
      </c>
      <c r="F1063" t="s">
        <v>270</v>
      </c>
      <c r="G1063" t="s">
        <v>2213</v>
      </c>
      <c r="H1063" t="s">
        <v>470</v>
      </c>
      <c r="I1063" t="s">
        <v>796</v>
      </c>
      <c r="J1063">
        <v>0</v>
      </c>
    </row>
    <row r="1064" spans="1:10">
      <c r="A1064" s="90" t="s">
        <v>216</v>
      </c>
      <c r="B1064" s="87">
        <v>45901</v>
      </c>
      <c r="C1064" t="s">
        <v>2982</v>
      </c>
      <c r="D1064" t="s">
        <v>2110</v>
      </c>
      <c r="E1064" t="s">
        <v>2378</v>
      </c>
      <c r="F1064" t="s">
        <v>844</v>
      </c>
      <c r="G1064" t="s">
        <v>2112</v>
      </c>
      <c r="H1064" t="s">
        <v>470</v>
      </c>
      <c r="I1064" t="s">
        <v>487</v>
      </c>
      <c r="J1064">
        <v>34168</v>
      </c>
    </row>
    <row r="1065" spans="1:10">
      <c r="A1065" s="90" t="s">
        <v>216</v>
      </c>
      <c r="B1065" s="87">
        <v>45901</v>
      </c>
      <c r="C1065" t="s">
        <v>2983</v>
      </c>
      <c r="D1065" t="s">
        <v>2110</v>
      </c>
      <c r="E1065" t="s">
        <v>2378</v>
      </c>
      <c r="F1065" t="s">
        <v>841</v>
      </c>
      <c r="G1065" t="s">
        <v>2112</v>
      </c>
      <c r="H1065" t="s">
        <v>470</v>
      </c>
      <c r="I1065" t="s">
        <v>487</v>
      </c>
      <c r="J1065">
        <v>38672</v>
      </c>
    </row>
    <row r="1066" spans="1:10">
      <c r="A1066" s="90" t="s">
        <v>216</v>
      </c>
      <c r="B1066" s="87">
        <v>45901</v>
      </c>
      <c r="C1066" t="s">
        <v>2984</v>
      </c>
      <c r="D1066" t="s">
        <v>2110</v>
      </c>
      <c r="E1066" t="s">
        <v>1667</v>
      </c>
      <c r="F1066" t="s">
        <v>802</v>
      </c>
      <c r="G1066" t="s">
        <v>259</v>
      </c>
      <c r="H1066" t="s">
        <v>470</v>
      </c>
      <c r="I1066" t="s">
        <v>475</v>
      </c>
      <c r="J1066">
        <v>3877.22</v>
      </c>
    </row>
    <row r="1067" spans="1:10">
      <c r="A1067" s="90" t="s">
        <v>216</v>
      </c>
      <c r="B1067" s="87">
        <v>45901</v>
      </c>
      <c r="C1067" t="s">
        <v>2984</v>
      </c>
      <c r="D1067" t="s">
        <v>2110</v>
      </c>
      <c r="E1067" t="s">
        <v>1667</v>
      </c>
      <c r="F1067" t="s">
        <v>802</v>
      </c>
      <c r="G1067" t="s">
        <v>71</v>
      </c>
      <c r="H1067" t="s">
        <v>470</v>
      </c>
      <c r="I1067" t="s">
        <v>475</v>
      </c>
      <c r="J1067">
        <v>40.78</v>
      </c>
    </row>
    <row r="1068" spans="1:10">
      <c r="A1068" s="90" t="s">
        <v>216</v>
      </c>
      <c r="B1068" s="87">
        <v>45901</v>
      </c>
      <c r="C1068" t="s">
        <v>2985</v>
      </c>
      <c r="D1068" t="s">
        <v>2110</v>
      </c>
      <c r="E1068" t="s">
        <v>2986</v>
      </c>
      <c r="F1068" t="s">
        <v>290</v>
      </c>
      <c r="G1068" t="s">
        <v>2112</v>
      </c>
      <c r="H1068" t="s">
        <v>470</v>
      </c>
      <c r="I1068" t="s">
        <v>540</v>
      </c>
      <c r="J1068">
        <v>850000</v>
      </c>
    </row>
    <row r="1069" spans="1:10">
      <c r="A1069" s="90" t="s">
        <v>216</v>
      </c>
      <c r="B1069" s="87">
        <v>45901</v>
      </c>
      <c r="C1069" t="s">
        <v>2987</v>
      </c>
      <c r="D1069" t="s">
        <v>2110</v>
      </c>
      <c r="E1069" t="s">
        <v>2988</v>
      </c>
      <c r="F1069" t="s">
        <v>287</v>
      </c>
      <c r="G1069" t="s">
        <v>2112</v>
      </c>
      <c r="H1069" t="s">
        <v>470</v>
      </c>
      <c r="I1069" t="s">
        <v>487</v>
      </c>
      <c r="J1069">
        <v>100000</v>
      </c>
    </row>
    <row r="1070" spans="1:10">
      <c r="A1070" s="90" t="s">
        <v>216</v>
      </c>
      <c r="B1070" s="87">
        <v>45901</v>
      </c>
      <c r="C1070" t="s">
        <v>511</v>
      </c>
      <c r="D1070" t="s">
        <v>2110</v>
      </c>
      <c r="E1070" t="s">
        <v>512</v>
      </c>
      <c r="F1070" t="s">
        <v>802</v>
      </c>
      <c r="G1070" t="s">
        <v>474</v>
      </c>
      <c r="H1070" t="s">
        <v>470</v>
      </c>
      <c r="I1070" t="s">
        <v>475</v>
      </c>
      <c r="J1070">
        <v>1038000</v>
      </c>
    </row>
    <row r="1071" spans="1:10">
      <c r="A1071" s="90" t="s">
        <v>216</v>
      </c>
      <c r="B1071" s="87">
        <v>45901</v>
      </c>
      <c r="C1071" t="s">
        <v>2364</v>
      </c>
      <c r="D1071" t="s">
        <v>2110</v>
      </c>
      <c r="E1071" t="s">
        <v>477</v>
      </c>
      <c r="F1071" t="s">
        <v>802</v>
      </c>
      <c r="G1071" t="s">
        <v>71</v>
      </c>
      <c r="H1071" t="s">
        <v>470</v>
      </c>
      <c r="I1071" t="s">
        <v>475</v>
      </c>
      <c r="J1071">
        <v>5000</v>
      </c>
    </row>
    <row r="1072" spans="1:10">
      <c r="A1072" s="90" t="s">
        <v>216</v>
      </c>
      <c r="B1072" s="87">
        <v>45901</v>
      </c>
      <c r="C1072" t="s">
        <v>2989</v>
      </c>
      <c r="D1072" t="s">
        <v>2110</v>
      </c>
      <c r="E1072" t="s">
        <v>2300</v>
      </c>
      <c r="F1072" t="s">
        <v>802</v>
      </c>
      <c r="G1072" t="s">
        <v>70</v>
      </c>
      <c r="H1072" t="s">
        <v>470</v>
      </c>
      <c r="I1072" t="s">
        <v>796</v>
      </c>
      <c r="J1072">
        <v>201.66</v>
      </c>
    </row>
    <row r="1073" spans="1:10">
      <c r="A1073" s="90" t="s">
        <v>216</v>
      </c>
      <c r="B1073" s="87">
        <v>45901</v>
      </c>
      <c r="C1073" t="s">
        <v>2990</v>
      </c>
      <c r="D1073" t="s">
        <v>2110</v>
      </c>
      <c r="E1073" t="s">
        <v>477</v>
      </c>
      <c r="F1073" t="s">
        <v>2273</v>
      </c>
      <c r="G1073" t="s">
        <v>2269</v>
      </c>
      <c r="H1073" t="s">
        <v>2991</v>
      </c>
      <c r="I1073" t="s">
        <v>471</v>
      </c>
      <c r="J1073">
        <v>10125</v>
      </c>
    </row>
    <row r="1074" spans="1:10">
      <c r="A1074" s="90" t="s">
        <v>216</v>
      </c>
      <c r="B1074" s="87">
        <v>45901</v>
      </c>
      <c r="C1074" t="s">
        <v>2990</v>
      </c>
      <c r="D1074" t="s">
        <v>2110</v>
      </c>
      <c r="E1074" t="s">
        <v>477</v>
      </c>
      <c r="F1074" t="s">
        <v>2273</v>
      </c>
      <c r="G1074" t="s">
        <v>2271</v>
      </c>
      <c r="H1074" t="s">
        <v>2991</v>
      </c>
      <c r="I1074" t="s">
        <v>471</v>
      </c>
      <c r="J1074">
        <v>445.92</v>
      </c>
    </row>
    <row r="1075" spans="1:10">
      <c r="A1075" s="90" t="s">
        <v>216</v>
      </c>
      <c r="B1075" s="87">
        <v>45901</v>
      </c>
      <c r="C1075" t="s">
        <v>2479</v>
      </c>
      <c r="D1075" t="s">
        <v>2110</v>
      </c>
      <c r="E1075" t="s">
        <v>477</v>
      </c>
      <c r="F1075" t="s">
        <v>802</v>
      </c>
      <c r="G1075" t="s">
        <v>74</v>
      </c>
      <c r="H1075" t="s">
        <v>470</v>
      </c>
      <c r="I1075" t="s">
        <v>471</v>
      </c>
      <c r="J1075">
        <v>15</v>
      </c>
    </row>
    <row r="1076" spans="1:10">
      <c r="A1076" s="90" t="s">
        <v>216</v>
      </c>
      <c r="B1076" s="87">
        <v>45901</v>
      </c>
      <c r="C1076" t="s">
        <v>2275</v>
      </c>
      <c r="D1076" t="s">
        <v>2110</v>
      </c>
      <c r="E1076" t="s">
        <v>477</v>
      </c>
      <c r="F1076" t="s">
        <v>802</v>
      </c>
      <c r="G1076" t="s">
        <v>74</v>
      </c>
      <c r="H1076" t="s">
        <v>470</v>
      </c>
      <c r="I1076" t="s">
        <v>471</v>
      </c>
      <c r="J1076">
        <v>20</v>
      </c>
    </row>
    <row r="1077" spans="1:10">
      <c r="A1077" s="90" t="s">
        <v>216</v>
      </c>
      <c r="B1077" s="87">
        <v>45901</v>
      </c>
      <c r="C1077" t="s">
        <v>2992</v>
      </c>
      <c r="D1077" t="s">
        <v>2110</v>
      </c>
      <c r="E1077" t="s">
        <v>2262</v>
      </c>
      <c r="F1077" t="s">
        <v>2993</v>
      </c>
      <c r="G1077" t="s">
        <v>73</v>
      </c>
      <c r="H1077" t="s">
        <v>2994</v>
      </c>
      <c r="I1077" t="s">
        <v>796</v>
      </c>
      <c r="J1077">
        <v>633.01</v>
      </c>
    </row>
    <row r="1078" spans="1:10">
      <c r="A1078" s="90" t="s">
        <v>216</v>
      </c>
      <c r="B1078" s="87">
        <v>45901</v>
      </c>
      <c r="C1078" t="s">
        <v>517</v>
      </c>
      <c r="D1078" t="s">
        <v>2110</v>
      </c>
      <c r="E1078" t="s">
        <v>512</v>
      </c>
      <c r="F1078" t="s">
        <v>802</v>
      </c>
      <c r="G1078" t="s">
        <v>474</v>
      </c>
      <c r="H1078" t="s">
        <v>470</v>
      </c>
      <c r="I1078" t="s">
        <v>475</v>
      </c>
      <c r="J1078">
        <v>5372.33</v>
      </c>
    </row>
    <row r="1079" spans="1:10">
      <c r="A1079" s="90" t="s">
        <v>216</v>
      </c>
      <c r="B1079" s="87">
        <v>45902</v>
      </c>
      <c r="C1079" t="s">
        <v>2995</v>
      </c>
      <c r="D1079" t="s">
        <v>2110</v>
      </c>
      <c r="E1079" t="s">
        <v>2996</v>
      </c>
      <c r="F1079" t="s">
        <v>844</v>
      </c>
      <c r="G1079" t="s">
        <v>2125</v>
      </c>
      <c r="H1079" t="s">
        <v>470</v>
      </c>
      <c r="I1079" t="s">
        <v>487</v>
      </c>
      <c r="J1079">
        <v>14228.69</v>
      </c>
    </row>
    <row r="1080" spans="1:10">
      <c r="A1080" s="90" t="s">
        <v>216</v>
      </c>
      <c r="B1080" s="87">
        <v>45902</v>
      </c>
      <c r="C1080" t="s">
        <v>2997</v>
      </c>
      <c r="D1080" t="s">
        <v>2110</v>
      </c>
      <c r="E1080" t="s">
        <v>2998</v>
      </c>
      <c r="F1080" t="s">
        <v>841</v>
      </c>
      <c r="G1080" t="s">
        <v>2125</v>
      </c>
      <c r="H1080" t="s">
        <v>470</v>
      </c>
      <c r="I1080" t="s">
        <v>487</v>
      </c>
      <c r="J1080">
        <v>14042.77</v>
      </c>
    </row>
    <row r="1081" spans="1:10">
      <c r="A1081" s="90" t="s">
        <v>216</v>
      </c>
      <c r="B1081" s="87">
        <v>45902</v>
      </c>
      <c r="C1081" t="s">
        <v>2999</v>
      </c>
      <c r="D1081" t="s">
        <v>2110</v>
      </c>
      <c r="E1081" t="s">
        <v>1667</v>
      </c>
      <c r="F1081" t="s">
        <v>3000</v>
      </c>
      <c r="G1081" t="s">
        <v>2115</v>
      </c>
      <c r="H1081" t="s">
        <v>470</v>
      </c>
      <c r="I1081" t="s">
        <v>475</v>
      </c>
      <c r="J1081">
        <v>1232.72</v>
      </c>
    </row>
    <row r="1082" spans="1:10">
      <c r="A1082" s="90" t="s">
        <v>216</v>
      </c>
      <c r="B1082" s="87">
        <v>45902</v>
      </c>
      <c r="C1082" t="s">
        <v>511</v>
      </c>
      <c r="D1082" t="s">
        <v>2110</v>
      </c>
      <c r="E1082" t="s">
        <v>512</v>
      </c>
      <c r="F1082" t="s">
        <v>802</v>
      </c>
      <c r="G1082" t="s">
        <v>474</v>
      </c>
      <c r="H1082" t="s">
        <v>470</v>
      </c>
      <c r="I1082" t="s">
        <v>475</v>
      </c>
      <c r="J1082">
        <v>28271.46</v>
      </c>
    </row>
    <row r="1083" spans="1:10">
      <c r="A1083" s="90" t="s">
        <v>216</v>
      </c>
      <c r="B1083" s="87">
        <v>45902</v>
      </c>
      <c r="C1083" t="s">
        <v>2275</v>
      </c>
      <c r="D1083" t="s">
        <v>2110</v>
      </c>
      <c r="E1083" t="s">
        <v>477</v>
      </c>
      <c r="F1083" t="s">
        <v>802</v>
      </c>
      <c r="G1083" t="s">
        <v>74</v>
      </c>
      <c r="H1083" t="s">
        <v>470</v>
      </c>
      <c r="I1083" t="s">
        <v>471</v>
      </c>
      <c r="J1083">
        <v>10</v>
      </c>
    </row>
    <row r="1084" spans="1:10">
      <c r="A1084" s="90" t="s">
        <v>216</v>
      </c>
      <c r="B1084" s="87">
        <v>45902</v>
      </c>
      <c r="C1084" t="s">
        <v>511</v>
      </c>
      <c r="D1084" t="s">
        <v>2110</v>
      </c>
      <c r="E1084" t="s">
        <v>512</v>
      </c>
      <c r="F1084" t="s">
        <v>802</v>
      </c>
      <c r="G1084" t="s">
        <v>474</v>
      </c>
      <c r="H1084" t="s">
        <v>470</v>
      </c>
      <c r="I1084" t="s">
        <v>475</v>
      </c>
      <c r="J1084">
        <v>1631.8</v>
      </c>
    </row>
    <row r="1085" spans="1:10">
      <c r="A1085" s="90" t="s">
        <v>216</v>
      </c>
      <c r="B1085" s="87">
        <v>45903</v>
      </c>
      <c r="C1085" t="s">
        <v>803</v>
      </c>
      <c r="D1085" t="s">
        <v>2110</v>
      </c>
      <c r="E1085" t="s">
        <v>512</v>
      </c>
      <c r="F1085" t="s">
        <v>804</v>
      </c>
      <c r="G1085" t="s">
        <v>474</v>
      </c>
      <c r="H1085" t="s">
        <v>470</v>
      </c>
      <c r="I1085" t="s">
        <v>475</v>
      </c>
      <c r="J1085">
        <v>71750.399999999994</v>
      </c>
    </row>
    <row r="1086" spans="1:10">
      <c r="A1086" s="90" t="s">
        <v>216</v>
      </c>
      <c r="B1086" s="87">
        <v>45903</v>
      </c>
      <c r="C1086" t="s">
        <v>805</v>
      </c>
      <c r="D1086" t="s">
        <v>2110</v>
      </c>
      <c r="E1086" t="s">
        <v>512</v>
      </c>
      <c r="F1086" t="s">
        <v>806</v>
      </c>
      <c r="G1086" t="s">
        <v>474</v>
      </c>
      <c r="H1086" t="s">
        <v>470</v>
      </c>
      <c r="I1086" t="s">
        <v>475</v>
      </c>
      <c r="J1086">
        <v>63788</v>
      </c>
    </row>
    <row r="1087" spans="1:10">
      <c r="A1087" s="90" t="s">
        <v>216</v>
      </c>
      <c r="B1087" s="87">
        <v>45903</v>
      </c>
      <c r="C1087" t="s">
        <v>2275</v>
      </c>
      <c r="D1087" t="s">
        <v>2110</v>
      </c>
      <c r="E1087" t="s">
        <v>477</v>
      </c>
      <c r="F1087" t="s">
        <v>802</v>
      </c>
      <c r="G1087" t="s">
        <v>74</v>
      </c>
      <c r="H1087" t="s">
        <v>470</v>
      </c>
      <c r="I1087" t="s">
        <v>471</v>
      </c>
      <c r="J1087">
        <v>3.12</v>
      </c>
    </row>
    <row r="1088" spans="1:10">
      <c r="A1088" s="90" t="s">
        <v>216</v>
      </c>
      <c r="B1088" s="87">
        <v>45903</v>
      </c>
      <c r="C1088" t="s">
        <v>517</v>
      </c>
      <c r="D1088" t="s">
        <v>2110</v>
      </c>
      <c r="E1088" t="s">
        <v>512</v>
      </c>
      <c r="F1088" t="s">
        <v>802</v>
      </c>
      <c r="G1088" t="s">
        <v>474</v>
      </c>
      <c r="H1088" t="s">
        <v>470</v>
      </c>
      <c r="I1088" t="s">
        <v>475</v>
      </c>
      <c r="J1088">
        <v>154325.28</v>
      </c>
    </row>
    <row r="1089" spans="1:10">
      <c r="A1089" s="90" t="s">
        <v>216</v>
      </c>
      <c r="B1089" s="87">
        <v>45904</v>
      </c>
      <c r="C1089" t="s">
        <v>3001</v>
      </c>
      <c r="D1089" t="s">
        <v>2110</v>
      </c>
      <c r="E1089" t="s">
        <v>2932</v>
      </c>
      <c r="F1089" t="s">
        <v>816</v>
      </c>
      <c r="G1089" t="s">
        <v>2125</v>
      </c>
      <c r="H1089" t="s">
        <v>470</v>
      </c>
      <c r="I1089" t="s">
        <v>487</v>
      </c>
      <c r="J1089">
        <v>19773.599999999999</v>
      </c>
    </row>
    <row r="1090" spans="1:10">
      <c r="A1090" s="90" t="s">
        <v>216</v>
      </c>
      <c r="B1090" s="87">
        <v>45904</v>
      </c>
      <c r="C1090" t="s">
        <v>2275</v>
      </c>
      <c r="D1090" t="s">
        <v>2110</v>
      </c>
      <c r="E1090" t="s">
        <v>477</v>
      </c>
      <c r="F1090" t="s">
        <v>802</v>
      </c>
      <c r="G1090" t="s">
        <v>74</v>
      </c>
      <c r="H1090" t="s">
        <v>470</v>
      </c>
      <c r="I1090" t="s">
        <v>471</v>
      </c>
      <c r="J1090">
        <v>10</v>
      </c>
    </row>
    <row r="1091" spans="1:10">
      <c r="A1091" s="90" t="s">
        <v>216</v>
      </c>
      <c r="B1091" s="87">
        <v>45904</v>
      </c>
      <c r="C1091" t="s">
        <v>511</v>
      </c>
      <c r="D1091" t="s">
        <v>2110</v>
      </c>
      <c r="E1091" t="s">
        <v>512</v>
      </c>
      <c r="F1091" t="s">
        <v>802</v>
      </c>
      <c r="G1091" t="s">
        <v>474</v>
      </c>
      <c r="H1091" t="s">
        <v>470</v>
      </c>
      <c r="I1091" t="s">
        <v>475</v>
      </c>
      <c r="J1091">
        <v>13600.33</v>
      </c>
    </row>
    <row r="1092" spans="1:10">
      <c r="A1092" s="90" t="s">
        <v>216</v>
      </c>
      <c r="B1092" s="87">
        <v>45905</v>
      </c>
      <c r="C1092" t="s">
        <v>3002</v>
      </c>
      <c r="D1092" t="s">
        <v>2110</v>
      </c>
      <c r="E1092" t="s">
        <v>2998</v>
      </c>
      <c r="F1092" t="s">
        <v>841</v>
      </c>
      <c r="G1092" t="s">
        <v>2125</v>
      </c>
      <c r="H1092" t="s">
        <v>470</v>
      </c>
      <c r="I1092" t="s">
        <v>487</v>
      </c>
      <c r="J1092">
        <v>5928.33</v>
      </c>
    </row>
    <row r="1093" spans="1:10">
      <c r="A1093" s="90" t="s">
        <v>216</v>
      </c>
      <c r="B1093" s="87">
        <v>45905</v>
      </c>
      <c r="C1093" t="s">
        <v>2876</v>
      </c>
      <c r="D1093" t="s">
        <v>2110</v>
      </c>
      <c r="E1093" t="s">
        <v>1756</v>
      </c>
      <c r="F1093" t="s">
        <v>788</v>
      </c>
      <c r="G1093" t="s">
        <v>67</v>
      </c>
      <c r="H1093" t="s">
        <v>470</v>
      </c>
      <c r="I1093" t="s">
        <v>796</v>
      </c>
      <c r="J1093">
        <v>595.07000000000005</v>
      </c>
    </row>
    <row r="1094" spans="1:10">
      <c r="A1094" s="90" t="s">
        <v>216</v>
      </c>
      <c r="B1094" s="87">
        <v>45905</v>
      </c>
      <c r="C1094" t="s">
        <v>2885</v>
      </c>
      <c r="D1094" t="s">
        <v>2110</v>
      </c>
      <c r="E1094" t="s">
        <v>2886</v>
      </c>
      <c r="F1094" t="s">
        <v>802</v>
      </c>
      <c r="G1094" t="s">
        <v>285</v>
      </c>
      <c r="H1094" t="s">
        <v>3003</v>
      </c>
      <c r="I1094" t="s">
        <v>475</v>
      </c>
      <c r="J1094">
        <v>1500</v>
      </c>
    </row>
    <row r="1095" spans="1:10">
      <c r="A1095" s="90" t="s">
        <v>216</v>
      </c>
      <c r="B1095" s="87">
        <v>45905</v>
      </c>
      <c r="C1095" t="s">
        <v>2275</v>
      </c>
      <c r="D1095" t="s">
        <v>2110</v>
      </c>
      <c r="E1095" t="s">
        <v>477</v>
      </c>
      <c r="F1095" t="s">
        <v>802</v>
      </c>
      <c r="G1095" t="s">
        <v>74</v>
      </c>
      <c r="H1095" t="s">
        <v>470</v>
      </c>
      <c r="I1095" t="s">
        <v>471</v>
      </c>
      <c r="J1095">
        <v>10</v>
      </c>
    </row>
    <row r="1096" spans="1:10">
      <c r="A1096" s="90" t="s">
        <v>216</v>
      </c>
      <c r="B1096" s="87">
        <v>45905</v>
      </c>
      <c r="C1096" t="s">
        <v>511</v>
      </c>
      <c r="D1096" t="s">
        <v>2110</v>
      </c>
      <c r="E1096" t="s">
        <v>512</v>
      </c>
      <c r="F1096" t="s">
        <v>802</v>
      </c>
      <c r="G1096" t="s">
        <v>474</v>
      </c>
      <c r="H1096" t="s">
        <v>470</v>
      </c>
      <c r="I1096" t="s">
        <v>475</v>
      </c>
      <c r="J1096">
        <v>8216.4</v>
      </c>
    </row>
    <row r="1097" spans="1:10">
      <c r="A1097" s="90" t="s">
        <v>216</v>
      </c>
      <c r="B1097" s="87">
        <v>45905</v>
      </c>
      <c r="C1097" t="s">
        <v>3004</v>
      </c>
      <c r="D1097" t="s">
        <v>2110</v>
      </c>
      <c r="E1097" t="s">
        <v>2277</v>
      </c>
      <c r="F1097" t="s">
        <v>3005</v>
      </c>
      <c r="G1097" t="s">
        <v>65</v>
      </c>
      <c r="H1097" t="s">
        <v>2870</v>
      </c>
      <c r="I1097" t="s">
        <v>796</v>
      </c>
      <c r="J1097">
        <v>183</v>
      </c>
    </row>
    <row r="1098" spans="1:10">
      <c r="A1098" s="90" t="s">
        <v>216</v>
      </c>
      <c r="B1098" s="87">
        <v>45905</v>
      </c>
      <c r="C1098" t="s">
        <v>2275</v>
      </c>
      <c r="D1098" t="s">
        <v>2110</v>
      </c>
      <c r="E1098" t="s">
        <v>2393</v>
      </c>
      <c r="F1098" t="s">
        <v>802</v>
      </c>
      <c r="G1098" t="s">
        <v>74</v>
      </c>
      <c r="H1098" t="s">
        <v>470</v>
      </c>
      <c r="I1098" t="s">
        <v>471</v>
      </c>
      <c r="J1098">
        <v>40</v>
      </c>
    </row>
    <row r="1099" spans="1:10">
      <c r="A1099" s="90" t="s">
        <v>216</v>
      </c>
      <c r="B1099" s="87">
        <v>45908</v>
      </c>
      <c r="C1099" t="s">
        <v>3006</v>
      </c>
      <c r="D1099" t="s">
        <v>2110</v>
      </c>
      <c r="E1099" t="s">
        <v>812</v>
      </c>
      <c r="F1099" t="s">
        <v>270</v>
      </c>
      <c r="G1099" t="s">
        <v>2213</v>
      </c>
      <c r="H1099" t="s">
        <v>470</v>
      </c>
      <c r="I1099" t="s">
        <v>796</v>
      </c>
      <c r="J1099">
        <v>70862.460000000006</v>
      </c>
    </row>
    <row r="1100" spans="1:10">
      <c r="A1100" s="90" t="s">
        <v>216</v>
      </c>
      <c r="B1100" s="87">
        <v>45908</v>
      </c>
      <c r="C1100" t="s">
        <v>3006</v>
      </c>
      <c r="D1100" t="s">
        <v>2110</v>
      </c>
      <c r="E1100" t="s">
        <v>812</v>
      </c>
      <c r="F1100" t="s">
        <v>270</v>
      </c>
      <c r="G1100" t="s">
        <v>272</v>
      </c>
      <c r="H1100" t="s">
        <v>470</v>
      </c>
      <c r="I1100" t="s">
        <v>796</v>
      </c>
      <c r="J1100">
        <v>199.29</v>
      </c>
    </row>
    <row r="1101" spans="1:10">
      <c r="A1101" s="90" t="s">
        <v>216</v>
      </c>
      <c r="B1101" s="87">
        <v>45908</v>
      </c>
      <c r="C1101" t="s">
        <v>3007</v>
      </c>
      <c r="D1101" t="s">
        <v>2110</v>
      </c>
      <c r="E1101" t="s">
        <v>812</v>
      </c>
      <c r="F1101" t="s">
        <v>802</v>
      </c>
      <c r="G1101" t="s">
        <v>474</v>
      </c>
      <c r="H1101" t="s">
        <v>470</v>
      </c>
      <c r="I1101" t="s">
        <v>796</v>
      </c>
      <c r="J1101">
        <v>7000</v>
      </c>
    </row>
    <row r="1102" spans="1:10">
      <c r="A1102" s="90" t="s">
        <v>216</v>
      </c>
      <c r="B1102" s="87">
        <v>45908</v>
      </c>
      <c r="C1102" t="s">
        <v>511</v>
      </c>
      <c r="D1102" t="s">
        <v>2110</v>
      </c>
      <c r="E1102" t="s">
        <v>512</v>
      </c>
      <c r="F1102" t="s">
        <v>802</v>
      </c>
      <c r="G1102" t="s">
        <v>474</v>
      </c>
      <c r="H1102" t="s">
        <v>470</v>
      </c>
      <c r="I1102" t="s">
        <v>475</v>
      </c>
      <c r="J1102">
        <v>113821.55</v>
      </c>
    </row>
    <row r="1103" spans="1:10">
      <c r="A1103" s="90" t="s">
        <v>216</v>
      </c>
      <c r="B1103" s="87">
        <v>45909</v>
      </c>
      <c r="C1103" t="s">
        <v>3008</v>
      </c>
      <c r="D1103" t="s">
        <v>2110</v>
      </c>
      <c r="E1103" t="s">
        <v>812</v>
      </c>
      <c r="F1103" t="s">
        <v>270</v>
      </c>
      <c r="G1103" t="s">
        <v>2213</v>
      </c>
      <c r="H1103" t="s">
        <v>470</v>
      </c>
      <c r="I1103" t="s">
        <v>796</v>
      </c>
      <c r="J1103">
        <v>59346.59</v>
      </c>
    </row>
    <row r="1104" spans="1:10">
      <c r="A1104" s="90" t="s">
        <v>216</v>
      </c>
      <c r="B1104" s="87">
        <v>45909</v>
      </c>
      <c r="C1104" t="s">
        <v>3009</v>
      </c>
      <c r="D1104" t="s">
        <v>2110</v>
      </c>
      <c r="E1104" t="s">
        <v>2996</v>
      </c>
      <c r="F1104" t="s">
        <v>844</v>
      </c>
      <c r="G1104" t="s">
        <v>2125</v>
      </c>
      <c r="H1104" t="s">
        <v>470</v>
      </c>
      <c r="I1104" t="s">
        <v>487</v>
      </c>
      <c r="J1104">
        <v>6008</v>
      </c>
    </row>
    <row r="1105" spans="1:10">
      <c r="A1105" s="90" t="s">
        <v>216</v>
      </c>
      <c r="B1105" s="87">
        <v>45909</v>
      </c>
      <c r="C1105" t="s">
        <v>3010</v>
      </c>
      <c r="D1105" t="s">
        <v>2110</v>
      </c>
      <c r="E1105" t="s">
        <v>812</v>
      </c>
      <c r="F1105" t="s">
        <v>270</v>
      </c>
      <c r="G1105" t="s">
        <v>2213</v>
      </c>
      <c r="H1105" t="s">
        <v>470</v>
      </c>
      <c r="I1105" t="s">
        <v>796</v>
      </c>
      <c r="J1105">
        <v>68247.240000000005</v>
      </c>
    </row>
    <row r="1106" spans="1:10">
      <c r="A1106" s="90" t="s">
        <v>216</v>
      </c>
      <c r="B1106" s="87">
        <v>45909</v>
      </c>
      <c r="C1106" t="s">
        <v>3010</v>
      </c>
      <c r="D1106" t="s">
        <v>2110</v>
      </c>
      <c r="E1106" t="s">
        <v>812</v>
      </c>
      <c r="F1106" t="s">
        <v>270</v>
      </c>
      <c r="G1106" t="s">
        <v>272</v>
      </c>
      <c r="H1106" t="s">
        <v>470</v>
      </c>
      <c r="I1106" t="s">
        <v>796</v>
      </c>
      <c r="J1106">
        <v>197.76</v>
      </c>
    </row>
    <row r="1107" spans="1:10">
      <c r="A1107" s="90" t="s">
        <v>216</v>
      </c>
      <c r="B1107" s="87">
        <v>45909</v>
      </c>
      <c r="C1107" t="s">
        <v>2454</v>
      </c>
      <c r="D1107" t="s">
        <v>2110</v>
      </c>
      <c r="E1107" t="s">
        <v>480</v>
      </c>
      <c r="F1107" t="s">
        <v>802</v>
      </c>
      <c r="G1107" t="s">
        <v>71</v>
      </c>
      <c r="H1107" t="s">
        <v>470</v>
      </c>
      <c r="I1107" t="s">
        <v>475</v>
      </c>
      <c r="J1107">
        <v>17000</v>
      </c>
    </row>
    <row r="1108" spans="1:10">
      <c r="A1108" s="90" t="s">
        <v>216</v>
      </c>
      <c r="B1108" s="87">
        <v>45909</v>
      </c>
      <c r="C1108" t="s">
        <v>3011</v>
      </c>
      <c r="D1108" t="s">
        <v>2110</v>
      </c>
      <c r="E1108" t="s">
        <v>1667</v>
      </c>
      <c r="F1108" t="s">
        <v>3012</v>
      </c>
      <c r="G1108" t="s">
        <v>2115</v>
      </c>
      <c r="H1108" t="s">
        <v>470</v>
      </c>
      <c r="I1108" t="s">
        <v>475</v>
      </c>
      <c r="J1108">
        <v>491.6</v>
      </c>
    </row>
    <row r="1109" spans="1:10">
      <c r="A1109" s="90" t="s">
        <v>216</v>
      </c>
      <c r="B1109" s="87">
        <v>45909</v>
      </c>
      <c r="C1109" t="s">
        <v>3011</v>
      </c>
      <c r="D1109" t="s">
        <v>2110</v>
      </c>
      <c r="E1109" t="s">
        <v>1667</v>
      </c>
      <c r="F1109" t="s">
        <v>3012</v>
      </c>
      <c r="G1109" t="s">
        <v>71</v>
      </c>
      <c r="H1109" t="s">
        <v>470</v>
      </c>
      <c r="I1109" t="s">
        <v>475</v>
      </c>
      <c r="J1109">
        <v>61.2</v>
      </c>
    </row>
    <row r="1110" spans="1:10">
      <c r="A1110" s="90" t="s">
        <v>216</v>
      </c>
      <c r="B1110" s="87">
        <v>45909</v>
      </c>
      <c r="C1110" t="s">
        <v>511</v>
      </c>
      <c r="D1110" t="s">
        <v>2110</v>
      </c>
      <c r="E1110" t="s">
        <v>512</v>
      </c>
      <c r="F1110" t="s">
        <v>802</v>
      </c>
      <c r="G1110" t="s">
        <v>474</v>
      </c>
      <c r="H1110" t="s">
        <v>470</v>
      </c>
      <c r="I1110" t="s">
        <v>475</v>
      </c>
      <c r="J1110">
        <v>144791.59</v>
      </c>
    </row>
    <row r="1111" spans="1:10">
      <c r="A1111" s="90" t="s">
        <v>216</v>
      </c>
      <c r="B1111" s="87">
        <v>45909</v>
      </c>
      <c r="C1111" t="s">
        <v>2275</v>
      </c>
      <c r="D1111" t="s">
        <v>2110</v>
      </c>
      <c r="E1111" t="s">
        <v>477</v>
      </c>
      <c r="F1111" t="s">
        <v>802</v>
      </c>
      <c r="G1111" t="s">
        <v>74</v>
      </c>
      <c r="H1111" t="s">
        <v>470</v>
      </c>
      <c r="I1111" t="s">
        <v>471</v>
      </c>
      <c r="J1111">
        <v>10</v>
      </c>
    </row>
    <row r="1112" spans="1:10">
      <c r="A1112" s="90" t="s">
        <v>216</v>
      </c>
      <c r="B1112" s="87">
        <v>45909</v>
      </c>
      <c r="C1112" t="s">
        <v>511</v>
      </c>
      <c r="D1112" t="s">
        <v>2110</v>
      </c>
      <c r="E1112" t="s">
        <v>512</v>
      </c>
      <c r="F1112" t="s">
        <v>802</v>
      </c>
      <c r="G1112" t="s">
        <v>474</v>
      </c>
      <c r="H1112" t="s">
        <v>470</v>
      </c>
      <c r="I1112" t="s">
        <v>475</v>
      </c>
      <c r="J1112">
        <v>6570.8</v>
      </c>
    </row>
    <row r="1113" spans="1:10">
      <c r="A1113" s="90" t="s">
        <v>216</v>
      </c>
      <c r="B1113" s="87">
        <v>45910</v>
      </c>
      <c r="C1113" t="s">
        <v>3013</v>
      </c>
      <c r="D1113" t="s">
        <v>2110</v>
      </c>
      <c r="E1113" t="s">
        <v>535</v>
      </c>
      <c r="F1113" t="s">
        <v>2673</v>
      </c>
      <c r="G1113" t="s">
        <v>2112</v>
      </c>
      <c r="H1113" t="s">
        <v>470</v>
      </c>
      <c r="I1113" t="s">
        <v>475</v>
      </c>
      <c r="J1113">
        <v>64766.67</v>
      </c>
    </row>
    <row r="1114" spans="1:10">
      <c r="A1114" s="90" t="s">
        <v>216</v>
      </c>
      <c r="B1114" s="87">
        <v>45910</v>
      </c>
      <c r="C1114" t="s">
        <v>3014</v>
      </c>
      <c r="D1114" t="s">
        <v>2110</v>
      </c>
      <c r="E1114" t="s">
        <v>535</v>
      </c>
      <c r="F1114" t="s">
        <v>2675</v>
      </c>
      <c r="G1114" t="s">
        <v>2112</v>
      </c>
      <c r="H1114" t="s">
        <v>470</v>
      </c>
      <c r="I1114" t="s">
        <v>475</v>
      </c>
      <c r="J1114">
        <v>85300</v>
      </c>
    </row>
    <row r="1115" spans="1:10">
      <c r="A1115" s="90" t="s">
        <v>216</v>
      </c>
      <c r="B1115" s="87">
        <v>45910</v>
      </c>
      <c r="C1115" t="s">
        <v>3015</v>
      </c>
      <c r="D1115" t="s">
        <v>2110</v>
      </c>
      <c r="E1115" t="s">
        <v>2378</v>
      </c>
      <c r="F1115" t="s">
        <v>855</v>
      </c>
      <c r="G1115" t="s">
        <v>2112</v>
      </c>
      <c r="H1115" t="s">
        <v>470</v>
      </c>
      <c r="I1115" t="s">
        <v>487</v>
      </c>
      <c r="J1115">
        <v>36640</v>
      </c>
    </row>
    <row r="1116" spans="1:10">
      <c r="A1116" s="90" t="s">
        <v>216</v>
      </c>
      <c r="B1116" s="87">
        <v>45910</v>
      </c>
      <c r="C1116" t="s">
        <v>3016</v>
      </c>
      <c r="D1116" t="s">
        <v>2110</v>
      </c>
      <c r="E1116" t="s">
        <v>2900</v>
      </c>
      <c r="F1116" t="s">
        <v>802</v>
      </c>
      <c r="G1116" t="s">
        <v>302</v>
      </c>
      <c r="H1116" t="s">
        <v>3017</v>
      </c>
      <c r="I1116" t="s">
        <v>796</v>
      </c>
      <c r="J1116">
        <v>2500</v>
      </c>
    </row>
    <row r="1117" spans="1:10">
      <c r="A1117" s="90" t="s">
        <v>216</v>
      </c>
      <c r="B1117" s="87">
        <v>45910</v>
      </c>
      <c r="C1117" t="s">
        <v>3016</v>
      </c>
      <c r="D1117" t="s">
        <v>2110</v>
      </c>
      <c r="E1117" t="s">
        <v>2900</v>
      </c>
      <c r="F1117" t="s">
        <v>802</v>
      </c>
      <c r="G1117" t="s">
        <v>303</v>
      </c>
      <c r="H1117" t="s">
        <v>3017</v>
      </c>
      <c r="I1117" t="s">
        <v>796</v>
      </c>
      <c r="J1117">
        <v>234.6</v>
      </c>
    </row>
    <row r="1118" spans="1:10">
      <c r="A1118" s="90" t="s">
        <v>216</v>
      </c>
      <c r="B1118" s="87">
        <v>45910</v>
      </c>
      <c r="C1118" t="s">
        <v>3018</v>
      </c>
      <c r="D1118" t="s">
        <v>2110</v>
      </c>
      <c r="E1118" t="s">
        <v>2378</v>
      </c>
      <c r="F1118" t="s">
        <v>857</v>
      </c>
      <c r="G1118" t="s">
        <v>2112</v>
      </c>
      <c r="H1118" t="s">
        <v>470</v>
      </c>
      <c r="I1118" t="s">
        <v>487</v>
      </c>
      <c r="J1118">
        <v>34256</v>
      </c>
    </row>
    <row r="1119" spans="1:10">
      <c r="A1119" s="90" t="s">
        <v>216</v>
      </c>
      <c r="B1119" s="87">
        <v>45910</v>
      </c>
      <c r="C1119" t="s">
        <v>813</v>
      </c>
      <c r="D1119" t="s">
        <v>2110</v>
      </c>
      <c r="E1119" t="s">
        <v>512</v>
      </c>
      <c r="F1119" t="s">
        <v>814</v>
      </c>
      <c r="G1119" t="s">
        <v>474</v>
      </c>
      <c r="H1119" t="s">
        <v>470</v>
      </c>
      <c r="I1119" t="s">
        <v>475</v>
      </c>
      <c r="J1119">
        <v>60887.199999999997</v>
      </c>
    </row>
    <row r="1120" spans="1:10">
      <c r="A1120" s="90" t="s">
        <v>216</v>
      </c>
      <c r="B1120" s="87">
        <v>45910</v>
      </c>
      <c r="C1120" t="s">
        <v>815</v>
      </c>
      <c r="D1120" t="s">
        <v>2110</v>
      </c>
      <c r="E1120" t="s">
        <v>512</v>
      </c>
      <c r="F1120" t="s">
        <v>816</v>
      </c>
      <c r="G1120" t="s">
        <v>474</v>
      </c>
      <c r="H1120" t="s">
        <v>470</v>
      </c>
      <c r="I1120" t="s">
        <v>475</v>
      </c>
      <c r="J1120">
        <v>69678.399999999994</v>
      </c>
    </row>
    <row r="1121" spans="1:10">
      <c r="A1121" s="90" t="s">
        <v>216</v>
      </c>
      <c r="B1121" s="87">
        <v>45910</v>
      </c>
      <c r="C1121" t="s">
        <v>3019</v>
      </c>
      <c r="D1121" t="s">
        <v>2110</v>
      </c>
      <c r="E1121" t="s">
        <v>2702</v>
      </c>
      <c r="F1121" t="s">
        <v>2632</v>
      </c>
      <c r="G1121" t="s">
        <v>63</v>
      </c>
      <c r="H1121" t="s">
        <v>470</v>
      </c>
      <c r="I1121" t="s">
        <v>796</v>
      </c>
      <c r="J1121">
        <v>896.95</v>
      </c>
    </row>
    <row r="1122" spans="1:10">
      <c r="A1122" s="90" t="s">
        <v>216</v>
      </c>
      <c r="B1122" s="87">
        <v>45910</v>
      </c>
      <c r="C1122" t="s">
        <v>2895</v>
      </c>
      <c r="D1122" t="s">
        <v>2110</v>
      </c>
      <c r="E1122" t="s">
        <v>477</v>
      </c>
      <c r="F1122" t="s">
        <v>514</v>
      </c>
      <c r="G1122" t="s">
        <v>515</v>
      </c>
      <c r="H1122" t="s">
        <v>3020</v>
      </c>
      <c r="I1122" t="s">
        <v>471</v>
      </c>
      <c r="J1122">
        <v>43571.43</v>
      </c>
    </row>
    <row r="1123" spans="1:10">
      <c r="A1123" s="90" t="s">
        <v>216</v>
      </c>
      <c r="B1123" s="87">
        <v>45910</v>
      </c>
      <c r="C1123" t="s">
        <v>2895</v>
      </c>
      <c r="D1123" t="s">
        <v>2110</v>
      </c>
      <c r="E1123" t="s">
        <v>477</v>
      </c>
      <c r="F1123" t="s">
        <v>514</v>
      </c>
      <c r="G1123" t="s">
        <v>69</v>
      </c>
      <c r="H1123" t="s">
        <v>3020</v>
      </c>
      <c r="I1123" t="s">
        <v>471</v>
      </c>
      <c r="J1123">
        <v>35442.74</v>
      </c>
    </row>
    <row r="1124" spans="1:10">
      <c r="A1124" s="90" t="s">
        <v>216</v>
      </c>
      <c r="B1124" s="87">
        <v>45910</v>
      </c>
      <c r="C1124" t="s">
        <v>2275</v>
      </c>
      <c r="D1124" t="s">
        <v>2110</v>
      </c>
      <c r="E1124" t="s">
        <v>477</v>
      </c>
      <c r="F1124" t="s">
        <v>802</v>
      </c>
      <c r="G1124" t="s">
        <v>74</v>
      </c>
      <c r="H1124" t="s">
        <v>470</v>
      </c>
      <c r="I1124" t="s">
        <v>471</v>
      </c>
      <c r="J1124">
        <v>3.12</v>
      </c>
    </row>
    <row r="1125" spans="1:10">
      <c r="A1125" s="90" t="s">
        <v>216</v>
      </c>
      <c r="B1125" s="87">
        <v>45910</v>
      </c>
      <c r="C1125" t="s">
        <v>2275</v>
      </c>
      <c r="D1125" t="s">
        <v>2110</v>
      </c>
      <c r="E1125" t="s">
        <v>477</v>
      </c>
      <c r="F1125" t="s">
        <v>802</v>
      </c>
      <c r="G1125" t="s">
        <v>74</v>
      </c>
      <c r="H1125" t="s">
        <v>470</v>
      </c>
      <c r="I1125" t="s">
        <v>471</v>
      </c>
      <c r="J1125">
        <v>95</v>
      </c>
    </row>
    <row r="1126" spans="1:10">
      <c r="A1126" s="90" t="s">
        <v>216</v>
      </c>
      <c r="B1126" s="87">
        <v>45910</v>
      </c>
      <c r="C1126" t="s">
        <v>2295</v>
      </c>
      <c r="D1126" t="s">
        <v>2110</v>
      </c>
      <c r="E1126" t="s">
        <v>477</v>
      </c>
      <c r="F1126" t="s">
        <v>802</v>
      </c>
      <c r="G1126" t="s">
        <v>2295</v>
      </c>
      <c r="H1126" t="s">
        <v>470</v>
      </c>
      <c r="I1126" t="s">
        <v>471</v>
      </c>
      <c r="J1126">
        <v>2525.85</v>
      </c>
    </row>
    <row r="1127" spans="1:10">
      <c r="A1127" s="90" t="s">
        <v>216</v>
      </c>
      <c r="B1127" s="87">
        <v>45910</v>
      </c>
      <c r="C1127" t="s">
        <v>511</v>
      </c>
      <c r="D1127" t="s">
        <v>2110</v>
      </c>
      <c r="E1127" t="s">
        <v>512</v>
      </c>
      <c r="F1127" t="s">
        <v>802</v>
      </c>
      <c r="G1127" t="s">
        <v>474</v>
      </c>
      <c r="H1127" t="s">
        <v>470</v>
      </c>
      <c r="I1127" t="s">
        <v>475</v>
      </c>
      <c r="J1127">
        <v>175000</v>
      </c>
    </row>
    <row r="1128" spans="1:10">
      <c r="A1128" s="90" t="s">
        <v>216</v>
      </c>
      <c r="B1128" s="87">
        <v>45910</v>
      </c>
      <c r="C1128" t="s">
        <v>819</v>
      </c>
      <c r="D1128" t="s">
        <v>2110</v>
      </c>
      <c r="E1128" t="s">
        <v>512</v>
      </c>
      <c r="F1128" t="s">
        <v>802</v>
      </c>
      <c r="G1128" t="s">
        <v>474</v>
      </c>
      <c r="H1128" t="s">
        <v>470</v>
      </c>
      <c r="I1128" t="s">
        <v>475</v>
      </c>
      <c r="J1128">
        <v>666.76</v>
      </c>
    </row>
    <row r="1129" spans="1:10">
      <c r="A1129" s="90" t="s">
        <v>216</v>
      </c>
      <c r="B1129" s="87">
        <v>45911</v>
      </c>
      <c r="C1129" t="s">
        <v>3021</v>
      </c>
      <c r="D1129" t="s">
        <v>2110</v>
      </c>
      <c r="E1129" t="s">
        <v>3022</v>
      </c>
      <c r="F1129" t="s">
        <v>855</v>
      </c>
      <c r="G1129" t="s">
        <v>2125</v>
      </c>
      <c r="H1129" t="s">
        <v>470</v>
      </c>
      <c r="I1129" t="s">
        <v>487</v>
      </c>
      <c r="J1129">
        <v>13304.9</v>
      </c>
    </row>
    <row r="1130" spans="1:10">
      <c r="A1130" s="90" t="s">
        <v>216</v>
      </c>
      <c r="B1130" s="87">
        <v>45911</v>
      </c>
      <c r="C1130" t="s">
        <v>3023</v>
      </c>
      <c r="D1130" t="s">
        <v>2110</v>
      </c>
      <c r="E1130" t="s">
        <v>3024</v>
      </c>
      <c r="F1130" t="s">
        <v>857</v>
      </c>
      <c r="G1130" t="s">
        <v>2125</v>
      </c>
      <c r="H1130" t="s">
        <v>470</v>
      </c>
      <c r="I1130" t="s">
        <v>487</v>
      </c>
      <c r="J1130">
        <v>12439.21</v>
      </c>
    </row>
    <row r="1131" spans="1:10">
      <c r="A1131" s="90" t="s">
        <v>216</v>
      </c>
      <c r="B1131" s="87">
        <v>45911</v>
      </c>
      <c r="C1131" t="s">
        <v>3025</v>
      </c>
      <c r="D1131" t="s">
        <v>2110</v>
      </c>
      <c r="E1131" t="s">
        <v>3026</v>
      </c>
      <c r="F1131" t="s">
        <v>828</v>
      </c>
      <c r="G1131" t="s">
        <v>2125</v>
      </c>
      <c r="H1131" t="s">
        <v>470</v>
      </c>
      <c r="I1131" t="s">
        <v>487</v>
      </c>
      <c r="J1131">
        <v>13536.25</v>
      </c>
    </row>
    <row r="1132" spans="1:10">
      <c r="A1132" s="90" t="s">
        <v>216</v>
      </c>
      <c r="B1132" s="87">
        <v>45911</v>
      </c>
      <c r="C1132" t="s">
        <v>3027</v>
      </c>
      <c r="D1132" t="s">
        <v>2110</v>
      </c>
      <c r="E1132" t="s">
        <v>2378</v>
      </c>
      <c r="F1132" t="s">
        <v>828</v>
      </c>
      <c r="G1132" t="s">
        <v>2112</v>
      </c>
      <c r="H1132" t="s">
        <v>470</v>
      </c>
      <c r="I1132" t="s">
        <v>487</v>
      </c>
      <c r="J1132">
        <v>36400</v>
      </c>
    </row>
    <row r="1133" spans="1:10">
      <c r="A1133" s="90" t="s">
        <v>216</v>
      </c>
      <c r="B1133" s="87">
        <v>45911</v>
      </c>
      <c r="C1133" t="s">
        <v>2479</v>
      </c>
      <c r="D1133" t="s">
        <v>2110</v>
      </c>
      <c r="E1133" t="s">
        <v>477</v>
      </c>
      <c r="F1133" t="s">
        <v>802</v>
      </c>
      <c r="G1133" t="s">
        <v>74</v>
      </c>
      <c r="H1133" t="s">
        <v>470</v>
      </c>
      <c r="I1133" t="s">
        <v>471</v>
      </c>
      <c r="J1133">
        <v>20</v>
      </c>
    </row>
    <row r="1134" spans="1:10">
      <c r="A1134" s="90" t="s">
        <v>216</v>
      </c>
      <c r="B1134" s="87">
        <v>45911</v>
      </c>
      <c r="C1134" t="s">
        <v>2275</v>
      </c>
      <c r="D1134" t="s">
        <v>2110</v>
      </c>
      <c r="E1134" t="s">
        <v>477</v>
      </c>
      <c r="F1134" t="s">
        <v>802</v>
      </c>
      <c r="G1134" t="s">
        <v>74</v>
      </c>
      <c r="H1134" t="s">
        <v>470</v>
      </c>
      <c r="I1134" t="s">
        <v>471</v>
      </c>
      <c r="J1134">
        <v>1.56</v>
      </c>
    </row>
    <row r="1135" spans="1:10">
      <c r="A1135" s="90" t="s">
        <v>216</v>
      </c>
      <c r="B1135" s="87">
        <v>45911</v>
      </c>
      <c r="C1135" t="s">
        <v>2275</v>
      </c>
      <c r="D1135" t="s">
        <v>2110</v>
      </c>
      <c r="E1135" t="s">
        <v>477</v>
      </c>
      <c r="F1135" t="s">
        <v>802</v>
      </c>
      <c r="G1135" t="s">
        <v>74</v>
      </c>
      <c r="H1135" t="s">
        <v>470</v>
      </c>
      <c r="I1135" t="s">
        <v>471</v>
      </c>
      <c r="J1135">
        <v>20</v>
      </c>
    </row>
    <row r="1136" spans="1:10">
      <c r="A1136" s="90" t="s">
        <v>216</v>
      </c>
      <c r="B1136" s="87">
        <v>45911</v>
      </c>
      <c r="C1136" t="s">
        <v>511</v>
      </c>
      <c r="D1136" t="s">
        <v>2110</v>
      </c>
      <c r="E1136" t="s">
        <v>512</v>
      </c>
      <c r="F1136" t="s">
        <v>802</v>
      </c>
      <c r="G1136" t="s">
        <v>474</v>
      </c>
      <c r="H1136" t="s">
        <v>470</v>
      </c>
      <c r="I1136" t="s">
        <v>475</v>
      </c>
      <c r="J1136">
        <v>8725.77</v>
      </c>
    </row>
    <row r="1137" spans="1:10">
      <c r="A1137" s="90" t="s">
        <v>216</v>
      </c>
      <c r="B1137" s="87">
        <v>45911</v>
      </c>
      <c r="C1137" t="s">
        <v>511</v>
      </c>
      <c r="D1137" t="s">
        <v>2110</v>
      </c>
      <c r="E1137" t="s">
        <v>512</v>
      </c>
      <c r="F1137" t="s">
        <v>802</v>
      </c>
      <c r="G1137" t="s">
        <v>474</v>
      </c>
      <c r="H1137" t="s">
        <v>470</v>
      </c>
      <c r="I1137" t="s">
        <v>475</v>
      </c>
      <c r="J1137">
        <v>15225.75</v>
      </c>
    </row>
    <row r="1138" spans="1:10">
      <c r="A1138" s="90" t="s">
        <v>216</v>
      </c>
      <c r="B1138" s="87">
        <v>45911</v>
      </c>
      <c r="C1138" t="s">
        <v>817</v>
      </c>
      <c r="D1138" t="s">
        <v>2110</v>
      </c>
      <c r="E1138" t="s">
        <v>512</v>
      </c>
      <c r="F1138" t="s">
        <v>818</v>
      </c>
      <c r="G1138" t="s">
        <v>474</v>
      </c>
      <c r="H1138" t="s">
        <v>470</v>
      </c>
      <c r="I1138" t="s">
        <v>475</v>
      </c>
      <c r="J1138">
        <v>51770.400000000001</v>
      </c>
    </row>
    <row r="1139" spans="1:10">
      <c r="A1139" s="90" t="s">
        <v>216</v>
      </c>
      <c r="B1139" s="87">
        <v>45912</v>
      </c>
      <c r="C1139" t="s">
        <v>2275</v>
      </c>
      <c r="D1139" t="s">
        <v>2110</v>
      </c>
      <c r="E1139" t="s">
        <v>477</v>
      </c>
      <c r="F1139" t="s">
        <v>802</v>
      </c>
      <c r="G1139" t="s">
        <v>74</v>
      </c>
      <c r="H1139" t="s">
        <v>470</v>
      </c>
      <c r="I1139" t="s">
        <v>471</v>
      </c>
      <c r="J1139">
        <v>10</v>
      </c>
    </row>
    <row r="1140" spans="1:10">
      <c r="A1140" s="90" t="s">
        <v>216</v>
      </c>
      <c r="B1140" s="87">
        <v>45912</v>
      </c>
      <c r="C1140" t="s">
        <v>1249</v>
      </c>
      <c r="D1140" t="s">
        <v>2110</v>
      </c>
      <c r="E1140" t="s">
        <v>1250</v>
      </c>
      <c r="F1140" t="s">
        <v>3028</v>
      </c>
      <c r="G1140" t="s">
        <v>486</v>
      </c>
      <c r="H1140" t="s">
        <v>470</v>
      </c>
      <c r="I1140" t="s">
        <v>540</v>
      </c>
      <c r="J1140">
        <v>550000</v>
      </c>
    </row>
    <row r="1141" spans="1:10">
      <c r="A1141" s="90" t="s">
        <v>216</v>
      </c>
      <c r="B1141" s="87">
        <v>45912</v>
      </c>
      <c r="C1141" t="s">
        <v>511</v>
      </c>
      <c r="D1141" t="s">
        <v>2110</v>
      </c>
      <c r="E1141" t="s">
        <v>512</v>
      </c>
      <c r="F1141" t="s">
        <v>802</v>
      </c>
      <c r="G1141" t="s">
        <v>474</v>
      </c>
      <c r="H1141" t="s">
        <v>470</v>
      </c>
      <c r="I1141" t="s">
        <v>475</v>
      </c>
      <c r="J1141">
        <v>565000</v>
      </c>
    </row>
    <row r="1142" spans="1:10">
      <c r="A1142" s="90" t="s">
        <v>216</v>
      </c>
      <c r="B1142" s="87">
        <v>45912</v>
      </c>
      <c r="C1142" t="s">
        <v>517</v>
      </c>
      <c r="D1142" t="s">
        <v>2110</v>
      </c>
      <c r="E1142" t="s">
        <v>512</v>
      </c>
      <c r="F1142" t="s">
        <v>802</v>
      </c>
      <c r="G1142" t="s">
        <v>474</v>
      </c>
      <c r="H1142" t="s">
        <v>470</v>
      </c>
      <c r="I1142" t="s">
        <v>475</v>
      </c>
      <c r="J1142">
        <v>4599.5</v>
      </c>
    </row>
    <row r="1143" spans="1:10">
      <c r="A1143" s="90" t="s">
        <v>216</v>
      </c>
      <c r="B1143" s="87">
        <v>45915</v>
      </c>
      <c r="C1143" t="s">
        <v>3029</v>
      </c>
      <c r="D1143" t="s">
        <v>2110</v>
      </c>
      <c r="E1143" t="s">
        <v>3030</v>
      </c>
      <c r="F1143" t="s">
        <v>802</v>
      </c>
      <c r="G1143" t="s">
        <v>76</v>
      </c>
      <c r="H1143" t="s">
        <v>470</v>
      </c>
      <c r="I1143" t="s">
        <v>487</v>
      </c>
      <c r="J1143">
        <v>6258.06</v>
      </c>
    </row>
    <row r="1144" spans="1:10">
      <c r="A1144" s="90" t="s">
        <v>216</v>
      </c>
      <c r="B1144" s="87">
        <v>45915</v>
      </c>
      <c r="C1144" t="s">
        <v>3031</v>
      </c>
      <c r="D1144" t="s">
        <v>2110</v>
      </c>
      <c r="E1144" t="s">
        <v>3032</v>
      </c>
      <c r="F1144" t="s">
        <v>3033</v>
      </c>
      <c r="G1144" t="s">
        <v>193</v>
      </c>
      <c r="H1144" t="s">
        <v>470</v>
      </c>
      <c r="I1144" t="s">
        <v>487</v>
      </c>
      <c r="J1144">
        <v>2000</v>
      </c>
    </row>
    <row r="1145" spans="1:10">
      <c r="A1145" s="90" t="s">
        <v>216</v>
      </c>
      <c r="B1145" s="87">
        <v>45915</v>
      </c>
      <c r="C1145" t="s">
        <v>820</v>
      </c>
      <c r="D1145" t="s">
        <v>2110</v>
      </c>
      <c r="E1145" t="s">
        <v>512</v>
      </c>
      <c r="F1145" t="s">
        <v>821</v>
      </c>
      <c r="G1145" t="s">
        <v>474</v>
      </c>
      <c r="H1145" t="s">
        <v>470</v>
      </c>
      <c r="I1145" t="s">
        <v>475</v>
      </c>
      <c r="J1145">
        <v>54493.599999999999</v>
      </c>
    </row>
    <row r="1146" spans="1:10">
      <c r="A1146" s="90" t="s">
        <v>216</v>
      </c>
      <c r="B1146" s="87">
        <v>45915</v>
      </c>
      <c r="C1146" t="s">
        <v>822</v>
      </c>
      <c r="D1146" t="s">
        <v>2110</v>
      </c>
      <c r="E1146" t="s">
        <v>512</v>
      </c>
      <c r="F1146" t="s">
        <v>802</v>
      </c>
      <c r="G1146" t="s">
        <v>474</v>
      </c>
      <c r="H1146" t="s">
        <v>470</v>
      </c>
      <c r="I1146" t="s">
        <v>475</v>
      </c>
      <c r="J1146">
        <v>54700.800000000003</v>
      </c>
    </row>
    <row r="1147" spans="1:10">
      <c r="A1147" s="90" t="s">
        <v>216</v>
      </c>
      <c r="B1147" s="87">
        <v>45915</v>
      </c>
      <c r="C1147" t="s">
        <v>2275</v>
      </c>
      <c r="D1147" t="s">
        <v>2110</v>
      </c>
      <c r="E1147" t="s">
        <v>477</v>
      </c>
      <c r="F1147" t="s">
        <v>802</v>
      </c>
      <c r="G1147" t="s">
        <v>74</v>
      </c>
      <c r="H1147" t="s">
        <v>470</v>
      </c>
      <c r="I1147" t="s">
        <v>471</v>
      </c>
      <c r="J1147">
        <v>3.12</v>
      </c>
    </row>
    <row r="1148" spans="1:10">
      <c r="A1148" s="90" t="s">
        <v>216</v>
      </c>
      <c r="B1148" s="87">
        <v>45915</v>
      </c>
      <c r="C1148" t="s">
        <v>2275</v>
      </c>
      <c r="D1148" t="s">
        <v>2110</v>
      </c>
      <c r="E1148" t="s">
        <v>477</v>
      </c>
      <c r="F1148" t="s">
        <v>802</v>
      </c>
      <c r="G1148" t="s">
        <v>74</v>
      </c>
      <c r="H1148" t="s">
        <v>470</v>
      </c>
      <c r="I1148" t="s">
        <v>471</v>
      </c>
      <c r="J1148">
        <v>20</v>
      </c>
    </row>
    <row r="1149" spans="1:10">
      <c r="A1149" s="90" t="s">
        <v>216</v>
      </c>
      <c r="B1149" s="87">
        <v>45915</v>
      </c>
      <c r="C1149" t="s">
        <v>517</v>
      </c>
      <c r="D1149" t="s">
        <v>2110</v>
      </c>
      <c r="E1149" t="s">
        <v>512</v>
      </c>
      <c r="F1149" t="s">
        <v>802</v>
      </c>
      <c r="G1149" t="s">
        <v>474</v>
      </c>
      <c r="H1149" t="s">
        <v>470</v>
      </c>
      <c r="I1149" t="s">
        <v>475</v>
      </c>
      <c r="J1149">
        <v>216517.75</v>
      </c>
    </row>
    <row r="1150" spans="1:10">
      <c r="A1150" s="90" t="s">
        <v>216</v>
      </c>
      <c r="B1150" s="87">
        <v>45916</v>
      </c>
      <c r="C1150" t="s">
        <v>3034</v>
      </c>
      <c r="D1150" t="s">
        <v>2110</v>
      </c>
      <c r="E1150" t="s">
        <v>2932</v>
      </c>
      <c r="F1150" t="s">
        <v>850</v>
      </c>
      <c r="G1150" t="s">
        <v>2125</v>
      </c>
      <c r="H1150" t="s">
        <v>470</v>
      </c>
      <c r="I1150" t="s">
        <v>487</v>
      </c>
      <c r="J1150">
        <v>14229.6</v>
      </c>
    </row>
    <row r="1151" spans="1:10">
      <c r="A1151" s="90" t="s">
        <v>216</v>
      </c>
      <c r="B1151" s="87">
        <v>45916</v>
      </c>
      <c r="C1151" t="s">
        <v>3035</v>
      </c>
      <c r="D1151" t="s">
        <v>2110</v>
      </c>
      <c r="E1151" t="s">
        <v>1667</v>
      </c>
      <c r="F1151" t="s">
        <v>3036</v>
      </c>
      <c r="G1151" t="s">
        <v>2115</v>
      </c>
      <c r="H1151" t="s">
        <v>470</v>
      </c>
      <c r="I1151" t="s">
        <v>475</v>
      </c>
      <c r="J1151">
        <v>670.6</v>
      </c>
    </row>
    <row r="1152" spans="1:10">
      <c r="A1152" s="90" t="s">
        <v>216</v>
      </c>
      <c r="B1152" s="87">
        <v>45916</v>
      </c>
      <c r="C1152" t="s">
        <v>3035</v>
      </c>
      <c r="D1152" t="s">
        <v>2110</v>
      </c>
      <c r="E1152" t="s">
        <v>1667</v>
      </c>
      <c r="F1152" t="s">
        <v>3036</v>
      </c>
      <c r="G1152" t="s">
        <v>259</v>
      </c>
      <c r="H1152" t="s">
        <v>470</v>
      </c>
      <c r="I1152" t="s">
        <v>475</v>
      </c>
      <c r="J1152">
        <v>5386.62</v>
      </c>
    </row>
    <row r="1153" spans="1:10">
      <c r="A1153" s="90" t="s">
        <v>216</v>
      </c>
      <c r="B1153" s="87">
        <v>45916</v>
      </c>
      <c r="C1153" t="s">
        <v>3037</v>
      </c>
      <c r="D1153" t="s">
        <v>2110</v>
      </c>
      <c r="E1153" t="s">
        <v>2986</v>
      </c>
      <c r="F1153" t="s">
        <v>922</v>
      </c>
      <c r="G1153" t="s">
        <v>2112</v>
      </c>
      <c r="H1153" t="s">
        <v>470</v>
      </c>
      <c r="I1153" t="s">
        <v>487</v>
      </c>
      <c r="J1153">
        <v>11815</v>
      </c>
    </row>
    <row r="1154" spans="1:10">
      <c r="A1154" s="90" t="s">
        <v>216</v>
      </c>
      <c r="B1154" s="87">
        <v>45916</v>
      </c>
      <c r="C1154" t="s">
        <v>511</v>
      </c>
      <c r="D1154" t="s">
        <v>2110</v>
      </c>
      <c r="E1154" t="s">
        <v>512</v>
      </c>
      <c r="F1154" t="s">
        <v>802</v>
      </c>
      <c r="G1154" t="s">
        <v>474</v>
      </c>
      <c r="H1154" t="s">
        <v>470</v>
      </c>
      <c r="I1154" t="s">
        <v>475</v>
      </c>
      <c r="J1154">
        <v>550000</v>
      </c>
    </row>
    <row r="1155" spans="1:10">
      <c r="A1155" s="90" t="s">
        <v>216</v>
      </c>
      <c r="B1155" s="87">
        <v>45916</v>
      </c>
      <c r="C1155" t="s">
        <v>3038</v>
      </c>
      <c r="D1155" t="s">
        <v>2110</v>
      </c>
      <c r="E1155" t="s">
        <v>2564</v>
      </c>
      <c r="F1155" t="s">
        <v>3039</v>
      </c>
      <c r="G1155" t="s">
        <v>2115</v>
      </c>
      <c r="H1155" t="s">
        <v>470</v>
      </c>
      <c r="I1155" t="s">
        <v>796</v>
      </c>
      <c r="J1155">
        <v>160</v>
      </c>
    </row>
    <row r="1156" spans="1:10">
      <c r="A1156" s="90" t="s">
        <v>216</v>
      </c>
      <c r="B1156" s="87">
        <v>45916</v>
      </c>
      <c r="C1156" t="s">
        <v>3038</v>
      </c>
      <c r="D1156" t="s">
        <v>2110</v>
      </c>
      <c r="E1156" t="s">
        <v>2564</v>
      </c>
      <c r="F1156" t="s">
        <v>3039</v>
      </c>
      <c r="G1156" t="s">
        <v>251</v>
      </c>
      <c r="H1156" t="s">
        <v>470</v>
      </c>
      <c r="I1156" t="s">
        <v>796</v>
      </c>
      <c r="J1156">
        <v>659.39</v>
      </c>
    </row>
    <row r="1157" spans="1:10">
      <c r="A1157" s="90" t="s">
        <v>216</v>
      </c>
      <c r="B1157" s="87">
        <v>45916</v>
      </c>
      <c r="C1157" t="s">
        <v>2275</v>
      </c>
      <c r="D1157" t="s">
        <v>2110</v>
      </c>
      <c r="E1157" t="s">
        <v>2393</v>
      </c>
      <c r="F1157" t="s">
        <v>802</v>
      </c>
      <c r="G1157" t="s">
        <v>74</v>
      </c>
      <c r="H1157" t="s">
        <v>470</v>
      </c>
      <c r="I1157" t="s">
        <v>471</v>
      </c>
      <c r="J1157">
        <v>40</v>
      </c>
    </row>
    <row r="1158" spans="1:10">
      <c r="A1158" s="90" t="s">
        <v>216</v>
      </c>
      <c r="B1158" s="87">
        <v>45916</v>
      </c>
      <c r="C1158" t="s">
        <v>511</v>
      </c>
      <c r="D1158" t="s">
        <v>2110</v>
      </c>
      <c r="E1158" t="s">
        <v>512</v>
      </c>
      <c r="F1158" t="s">
        <v>802</v>
      </c>
      <c r="G1158" t="s">
        <v>474</v>
      </c>
      <c r="H1158" t="s">
        <v>470</v>
      </c>
      <c r="I1158" t="s">
        <v>475</v>
      </c>
      <c r="J1158">
        <v>126374.54</v>
      </c>
    </row>
    <row r="1159" spans="1:10">
      <c r="A1159" s="90" t="s">
        <v>216</v>
      </c>
      <c r="B1159" s="87">
        <v>45917</v>
      </c>
      <c r="C1159" t="s">
        <v>3040</v>
      </c>
      <c r="D1159" t="s">
        <v>2110</v>
      </c>
      <c r="E1159" t="s">
        <v>2378</v>
      </c>
      <c r="F1159" t="s">
        <v>868</v>
      </c>
      <c r="G1159" t="s">
        <v>2112</v>
      </c>
      <c r="H1159" t="s">
        <v>470</v>
      </c>
      <c r="I1159" t="s">
        <v>487</v>
      </c>
      <c r="J1159">
        <v>27872</v>
      </c>
    </row>
    <row r="1160" spans="1:10">
      <c r="A1160" s="90" t="s">
        <v>216</v>
      </c>
      <c r="B1160" s="87">
        <v>45917</v>
      </c>
      <c r="C1160" t="s">
        <v>3041</v>
      </c>
      <c r="D1160" t="s">
        <v>2110</v>
      </c>
      <c r="E1160" t="s">
        <v>2277</v>
      </c>
      <c r="F1160" t="s">
        <v>2305</v>
      </c>
      <c r="G1160" t="s">
        <v>226</v>
      </c>
      <c r="H1160" t="s">
        <v>2870</v>
      </c>
      <c r="I1160" t="s">
        <v>796</v>
      </c>
      <c r="J1160">
        <v>144.36000000000001</v>
      </c>
    </row>
    <row r="1161" spans="1:10">
      <c r="A1161" s="90" t="s">
        <v>216</v>
      </c>
      <c r="B1161" s="87">
        <v>45917</v>
      </c>
      <c r="C1161" t="s">
        <v>2275</v>
      </c>
      <c r="D1161" t="s">
        <v>2110</v>
      </c>
      <c r="E1161" t="s">
        <v>477</v>
      </c>
      <c r="F1161" t="s">
        <v>802</v>
      </c>
      <c r="G1161" t="s">
        <v>74</v>
      </c>
      <c r="H1161" t="s">
        <v>470</v>
      </c>
      <c r="I1161" t="s">
        <v>471</v>
      </c>
      <c r="J1161">
        <v>10</v>
      </c>
    </row>
    <row r="1162" spans="1:10">
      <c r="A1162" s="90" t="s">
        <v>216</v>
      </c>
      <c r="B1162" s="87">
        <v>45917</v>
      </c>
      <c r="C1162" t="s">
        <v>511</v>
      </c>
      <c r="D1162" t="s">
        <v>2110</v>
      </c>
      <c r="E1162" t="s">
        <v>512</v>
      </c>
      <c r="F1162" t="s">
        <v>802</v>
      </c>
      <c r="G1162" t="s">
        <v>474</v>
      </c>
      <c r="H1162" t="s">
        <v>470</v>
      </c>
      <c r="I1162" t="s">
        <v>475</v>
      </c>
      <c r="J1162">
        <v>28026.36</v>
      </c>
    </row>
    <row r="1163" spans="1:10">
      <c r="A1163" s="90" t="s">
        <v>216</v>
      </c>
      <c r="B1163" s="87">
        <v>45918</v>
      </c>
      <c r="C1163" t="s">
        <v>3042</v>
      </c>
      <c r="D1163" t="s">
        <v>2110</v>
      </c>
      <c r="E1163" t="s">
        <v>3022</v>
      </c>
      <c r="F1163" t="s">
        <v>855</v>
      </c>
      <c r="G1163" t="s">
        <v>2125</v>
      </c>
      <c r="H1163" t="s">
        <v>470</v>
      </c>
      <c r="I1163" t="s">
        <v>487</v>
      </c>
      <c r="J1163">
        <v>5702.1</v>
      </c>
    </row>
    <row r="1164" spans="1:10">
      <c r="A1164" s="90" t="s">
        <v>216</v>
      </c>
      <c r="B1164" s="87">
        <v>45918</v>
      </c>
      <c r="C1164" t="s">
        <v>3043</v>
      </c>
      <c r="D1164" t="s">
        <v>2110</v>
      </c>
      <c r="E1164" t="s">
        <v>3024</v>
      </c>
      <c r="F1164" t="s">
        <v>857</v>
      </c>
      <c r="G1164" t="s">
        <v>2125</v>
      </c>
      <c r="H1164" t="s">
        <v>470</v>
      </c>
      <c r="I1164" t="s">
        <v>487</v>
      </c>
      <c r="J1164">
        <v>5241.09</v>
      </c>
    </row>
    <row r="1165" spans="1:10">
      <c r="A1165" s="90" t="s">
        <v>216</v>
      </c>
      <c r="B1165" s="87">
        <v>45918</v>
      </c>
      <c r="C1165" t="s">
        <v>3044</v>
      </c>
      <c r="D1165" t="s">
        <v>2110</v>
      </c>
      <c r="E1165" t="s">
        <v>2964</v>
      </c>
      <c r="F1165" t="s">
        <v>868</v>
      </c>
      <c r="G1165" t="s">
        <v>2125</v>
      </c>
      <c r="H1165" t="s">
        <v>470</v>
      </c>
      <c r="I1165" t="s">
        <v>487</v>
      </c>
      <c r="J1165">
        <v>9755.2000000000007</v>
      </c>
    </row>
    <row r="1166" spans="1:10">
      <c r="A1166" s="90" t="s">
        <v>216</v>
      </c>
      <c r="B1166" s="87">
        <v>45918</v>
      </c>
      <c r="C1166" t="s">
        <v>3045</v>
      </c>
      <c r="D1166" t="s">
        <v>2110</v>
      </c>
      <c r="E1166" t="s">
        <v>2986</v>
      </c>
      <c r="F1166" t="s">
        <v>924</v>
      </c>
      <c r="G1166" t="s">
        <v>2112</v>
      </c>
      <c r="H1166" t="s">
        <v>470</v>
      </c>
      <c r="I1166" t="s">
        <v>487</v>
      </c>
      <c r="J1166">
        <v>79545.490000000005</v>
      </c>
    </row>
    <row r="1167" spans="1:10">
      <c r="A1167" s="90" t="s">
        <v>216</v>
      </c>
      <c r="B1167" s="87">
        <v>45918</v>
      </c>
      <c r="C1167" t="s">
        <v>3046</v>
      </c>
      <c r="D1167" t="s">
        <v>2110</v>
      </c>
      <c r="E1167" t="s">
        <v>2986</v>
      </c>
      <c r="F1167" t="s">
        <v>926</v>
      </c>
      <c r="G1167" t="s">
        <v>2112</v>
      </c>
      <c r="H1167" t="s">
        <v>470</v>
      </c>
      <c r="I1167" t="s">
        <v>487</v>
      </c>
      <c r="J1167">
        <v>70413.17</v>
      </c>
    </row>
    <row r="1168" spans="1:10">
      <c r="A1168" s="90" t="s">
        <v>216</v>
      </c>
      <c r="B1168" s="87">
        <v>45918</v>
      </c>
      <c r="C1168" t="s">
        <v>511</v>
      </c>
      <c r="D1168" t="s">
        <v>2110</v>
      </c>
      <c r="E1168" t="s">
        <v>512</v>
      </c>
      <c r="F1168" t="s">
        <v>802</v>
      </c>
      <c r="G1168" t="s">
        <v>474</v>
      </c>
      <c r="H1168" t="s">
        <v>470</v>
      </c>
      <c r="I1168" t="s">
        <v>475</v>
      </c>
      <c r="J1168">
        <v>80000</v>
      </c>
    </row>
    <row r="1169" spans="1:10">
      <c r="A1169" s="90" t="s">
        <v>216</v>
      </c>
      <c r="B1169" s="87">
        <v>45918</v>
      </c>
      <c r="C1169" t="s">
        <v>2275</v>
      </c>
      <c r="D1169" t="s">
        <v>2110</v>
      </c>
      <c r="E1169" t="s">
        <v>477</v>
      </c>
      <c r="F1169" t="s">
        <v>802</v>
      </c>
      <c r="G1169" t="s">
        <v>74</v>
      </c>
      <c r="H1169" t="s">
        <v>470</v>
      </c>
      <c r="I1169" t="s">
        <v>471</v>
      </c>
      <c r="J1169">
        <v>50</v>
      </c>
    </row>
    <row r="1170" spans="1:10">
      <c r="A1170" s="90" t="s">
        <v>216</v>
      </c>
      <c r="B1170" s="87">
        <v>45918</v>
      </c>
      <c r="C1170" t="s">
        <v>511</v>
      </c>
      <c r="D1170" t="s">
        <v>2110</v>
      </c>
      <c r="E1170" t="s">
        <v>512</v>
      </c>
      <c r="F1170" t="s">
        <v>802</v>
      </c>
      <c r="G1170" t="s">
        <v>474</v>
      </c>
      <c r="H1170" t="s">
        <v>470</v>
      </c>
      <c r="I1170" t="s">
        <v>475</v>
      </c>
      <c r="J1170">
        <v>23732.05</v>
      </c>
    </row>
    <row r="1171" spans="1:10">
      <c r="A1171" s="90" t="s">
        <v>216</v>
      </c>
      <c r="B1171" s="87">
        <v>45919</v>
      </c>
      <c r="C1171" t="s">
        <v>3047</v>
      </c>
      <c r="D1171" t="s">
        <v>2110</v>
      </c>
      <c r="E1171" t="s">
        <v>477</v>
      </c>
      <c r="F1171" t="s">
        <v>265</v>
      </c>
      <c r="G1171" t="s">
        <v>224</v>
      </c>
      <c r="H1171" t="s">
        <v>470</v>
      </c>
      <c r="I1171" t="s">
        <v>471</v>
      </c>
      <c r="J1171">
        <v>550</v>
      </c>
    </row>
    <row r="1172" spans="1:10">
      <c r="A1172" s="90" t="s">
        <v>216</v>
      </c>
      <c r="B1172" s="87">
        <v>45919</v>
      </c>
      <c r="C1172" t="s">
        <v>3047</v>
      </c>
      <c r="D1172" t="s">
        <v>2110</v>
      </c>
      <c r="E1172" t="s">
        <v>477</v>
      </c>
      <c r="F1172" t="s">
        <v>265</v>
      </c>
      <c r="G1172" t="s">
        <v>224</v>
      </c>
      <c r="H1172" t="s">
        <v>470</v>
      </c>
      <c r="I1172" t="s">
        <v>471</v>
      </c>
      <c r="J1172">
        <v>450.59</v>
      </c>
    </row>
    <row r="1173" spans="1:10">
      <c r="A1173" s="90" t="s">
        <v>216</v>
      </c>
      <c r="B1173" s="87">
        <v>45919</v>
      </c>
      <c r="C1173" t="s">
        <v>3047</v>
      </c>
      <c r="D1173" t="s">
        <v>2110</v>
      </c>
      <c r="E1173" t="s">
        <v>477</v>
      </c>
      <c r="F1173" t="s">
        <v>265</v>
      </c>
      <c r="G1173" t="s">
        <v>224</v>
      </c>
      <c r="H1173" t="s">
        <v>470</v>
      </c>
      <c r="I1173" t="s">
        <v>471</v>
      </c>
      <c r="J1173">
        <v>150.18</v>
      </c>
    </row>
    <row r="1174" spans="1:10">
      <c r="A1174" s="90" t="s">
        <v>216</v>
      </c>
      <c r="B1174" s="87">
        <v>45919</v>
      </c>
      <c r="C1174" t="s">
        <v>3048</v>
      </c>
      <c r="D1174" t="s">
        <v>2110</v>
      </c>
      <c r="E1174" t="s">
        <v>477</v>
      </c>
      <c r="F1174" t="s">
        <v>263</v>
      </c>
      <c r="G1174" t="s">
        <v>224</v>
      </c>
      <c r="H1174" t="s">
        <v>470</v>
      </c>
      <c r="I1174" t="s">
        <v>471</v>
      </c>
      <c r="J1174">
        <v>53.91</v>
      </c>
    </row>
    <row r="1175" spans="1:10">
      <c r="A1175" s="90" t="s">
        <v>216</v>
      </c>
      <c r="B1175" s="87">
        <v>45919</v>
      </c>
      <c r="C1175" t="s">
        <v>3048</v>
      </c>
      <c r="D1175" t="s">
        <v>2110</v>
      </c>
      <c r="E1175" t="s">
        <v>477</v>
      </c>
      <c r="F1175" t="s">
        <v>263</v>
      </c>
      <c r="G1175" t="s">
        <v>224</v>
      </c>
      <c r="H1175" t="s">
        <v>470</v>
      </c>
      <c r="I1175" t="s">
        <v>471</v>
      </c>
      <c r="J1175">
        <v>550</v>
      </c>
    </row>
    <row r="1176" spans="1:10">
      <c r="A1176" s="90" t="s">
        <v>216</v>
      </c>
      <c r="B1176" s="87">
        <v>45919</v>
      </c>
      <c r="C1176" t="s">
        <v>3048</v>
      </c>
      <c r="D1176" t="s">
        <v>2110</v>
      </c>
      <c r="E1176" t="s">
        <v>477</v>
      </c>
      <c r="F1176" t="s">
        <v>263</v>
      </c>
      <c r="G1176" t="s">
        <v>224</v>
      </c>
      <c r="H1176" t="s">
        <v>470</v>
      </c>
      <c r="I1176" t="s">
        <v>471</v>
      </c>
      <c r="J1176">
        <v>100</v>
      </c>
    </row>
    <row r="1177" spans="1:10">
      <c r="A1177" s="90" t="s">
        <v>216</v>
      </c>
      <c r="B1177" s="87">
        <v>45919</v>
      </c>
      <c r="C1177" t="s">
        <v>3048</v>
      </c>
      <c r="D1177" t="s">
        <v>2110</v>
      </c>
      <c r="E1177" t="s">
        <v>477</v>
      </c>
      <c r="F1177" t="s">
        <v>263</v>
      </c>
      <c r="G1177" t="s">
        <v>224</v>
      </c>
      <c r="H1177" t="s">
        <v>470</v>
      </c>
      <c r="I1177" t="s">
        <v>471</v>
      </c>
      <c r="J1177">
        <v>250</v>
      </c>
    </row>
    <row r="1178" spans="1:10">
      <c r="A1178" s="90" t="s">
        <v>216</v>
      </c>
      <c r="B1178" s="87">
        <v>45919</v>
      </c>
      <c r="C1178" t="s">
        <v>3048</v>
      </c>
      <c r="D1178" t="s">
        <v>2110</v>
      </c>
      <c r="E1178" t="s">
        <v>477</v>
      </c>
      <c r="F1178" t="s">
        <v>263</v>
      </c>
      <c r="G1178" t="s">
        <v>224</v>
      </c>
      <c r="H1178" t="s">
        <v>470</v>
      </c>
      <c r="I1178" t="s">
        <v>471</v>
      </c>
      <c r="J1178">
        <v>161.68</v>
      </c>
    </row>
    <row r="1179" spans="1:10">
      <c r="A1179" s="90" t="s">
        <v>216</v>
      </c>
      <c r="B1179" s="87">
        <v>45919</v>
      </c>
      <c r="C1179" t="s">
        <v>2275</v>
      </c>
      <c r="D1179" t="s">
        <v>2110</v>
      </c>
      <c r="E1179" t="s">
        <v>477</v>
      </c>
      <c r="F1179" t="s">
        <v>802</v>
      </c>
      <c r="G1179" t="s">
        <v>66</v>
      </c>
      <c r="H1179" t="s">
        <v>470</v>
      </c>
      <c r="I1179" t="s">
        <v>471</v>
      </c>
      <c r="J1179">
        <v>1.71</v>
      </c>
    </row>
    <row r="1180" spans="1:10">
      <c r="A1180" s="90" t="s">
        <v>216</v>
      </c>
      <c r="B1180" s="87">
        <v>45919</v>
      </c>
      <c r="C1180" t="s">
        <v>66</v>
      </c>
      <c r="D1180" t="s">
        <v>2110</v>
      </c>
      <c r="E1180" t="s">
        <v>477</v>
      </c>
      <c r="F1180" t="s">
        <v>802</v>
      </c>
      <c r="G1180" t="s">
        <v>66</v>
      </c>
      <c r="H1180" t="s">
        <v>470</v>
      </c>
      <c r="I1180" t="s">
        <v>471</v>
      </c>
      <c r="J1180">
        <v>0.61</v>
      </c>
    </row>
    <row r="1181" spans="1:10">
      <c r="A1181" s="90" t="s">
        <v>216</v>
      </c>
      <c r="B1181" s="87">
        <v>45919</v>
      </c>
      <c r="C1181" t="s">
        <v>3049</v>
      </c>
      <c r="D1181" t="s">
        <v>2110</v>
      </c>
      <c r="E1181" t="s">
        <v>2401</v>
      </c>
      <c r="F1181" t="s">
        <v>277</v>
      </c>
      <c r="G1181" t="s">
        <v>2381</v>
      </c>
      <c r="H1181" t="s">
        <v>470</v>
      </c>
      <c r="I1181" t="s">
        <v>796</v>
      </c>
      <c r="J1181">
        <v>417.35</v>
      </c>
    </row>
    <row r="1182" spans="1:10">
      <c r="A1182" s="90" t="s">
        <v>216</v>
      </c>
      <c r="B1182" s="87">
        <v>45919</v>
      </c>
      <c r="C1182" t="s">
        <v>3050</v>
      </c>
      <c r="D1182" t="s">
        <v>2110</v>
      </c>
      <c r="E1182" t="s">
        <v>2318</v>
      </c>
      <c r="F1182" t="s">
        <v>788</v>
      </c>
      <c r="G1182" t="s">
        <v>64</v>
      </c>
      <c r="H1182" t="s">
        <v>2870</v>
      </c>
      <c r="I1182" t="s">
        <v>471</v>
      </c>
      <c r="J1182">
        <v>854.27</v>
      </c>
    </row>
    <row r="1183" spans="1:10">
      <c r="A1183" s="90" t="s">
        <v>216</v>
      </c>
      <c r="B1183" s="87">
        <v>45919</v>
      </c>
      <c r="C1183" t="s">
        <v>517</v>
      </c>
      <c r="D1183" t="s">
        <v>2110</v>
      </c>
      <c r="E1183" t="s">
        <v>512</v>
      </c>
      <c r="F1183" t="s">
        <v>802</v>
      </c>
      <c r="G1183" t="s">
        <v>474</v>
      </c>
      <c r="H1183" t="s">
        <v>470</v>
      </c>
      <c r="I1183" t="s">
        <v>475</v>
      </c>
      <c r="J1183">
        <v>888320.44</v>
      </c>
    </row>
    <row r="1184" spans="1:10">
      <c r="A1184" s="90" t="s">
        <v>216</v>
      </c>
      <c r="B1184" s="87">
        <v>45922</v>
      </c>
      <c r="C1184" t="s">
        <v>3051</v>
      </c>
      <c r="D1184" t="s">
        <v>2110</v>
      </c>
      <c r="E1184" t="s">
        <v>2338</v>
      </c>
      <c r="F1184" t="s">
        <v>788</v>
      </c>
      <c r="G1184" t="s">
        <v>269</v>
      </c>
      <c r="H1184" t="s">
        <v>470</v>
      </c>
      <c r="I1184" t="s">
        <v>796</v>
      </c>
      <c r="J1184">
        <v>1531.38</v>
      </c>
    </row>
    <row r="1185" spans="1:10">
      <c r="A1185" s="90" t="s">
        <v>216</v>
      </c>
      <c r="B1185" s="87">
        <v>45922</v>
      </c>
      <c r="C1185" t="s">
        <v>3052</v>
      </c>
      <c r="D1185" t="s">
        <v>2110</v>
      </c>
      <c r="E1185" t="s">
        <v>2964</v>
      </c>
      <c r="F1185" t="s">
        <v>868</v>
      </c>
      <c r="G1185" t="s">
        <v>2125</v>
      </c>
      <c r="H1185" t="s">
        <v>470</v>
      </c>
      <c r="I1185" t="s">
        <v>487</v>
      </c>
      <c r="J1185">
        <v>4180.8</v>
      </c>
    </row>
    <row r="1186" spans="1:10">
      <c r="A1186" s="90" t="s">
        <v>216</v>
      </c>
      <c r="B1186" s="87">
        <v>45922</v>
      </c>
      <c r="C1186" t="s">
        <v>2836</v>
      </c>
      <c r="D1186" t="s">
        <v>2110</v>
      </c>
      <c r="E1186" t="s">
        <v>477</v>
      </c>
      <c r="F1186" t="s">
        <v>2311</v>
      </c>
      <c r="G1186" t="s">
        <v>515</v>
      </c>
      <c r="H1186" t="s">
        <v>3053</v>
      </c>
      <c r="I1186" t="s">
        <v>471</v>
      </c>
      <c r="J1186">
        <v>55555.56</v>
      </c>
    </row>
    <row r="1187" spans="1:10">
      <c r="A1187" s="90" t="s">
        <v>216</v>
      </c>
      <c r="B1187" s="87">
        <v>45922</v>
      </c>
      <c r="C1187" t="s">
        <v>2836</v>
      </c>
      <c r="D1187" t="s">
        <v>2110</v>
      </c>
      <c r="E1187" t="s">
        <v>477</v>
      </c>
      <c r="F1187" t="s">
        <v>2311</v>
      </c>
      <c r="G1187" t="s">
        <v>69</v>
      </c>
      <c r="H1187" t="s">
        <v>3053</v>
      </c>
      <c r="I1187" t="s">
        <v>471</v>
      </c>
      <c r="J1187">
        <v>849.55</v>
      </c>
    </row>
    <row r="1188" spans="1:10">
      <c r="A1188" s="90" t="s">
        <v>216</v>
      </c>
      <c r="B1188" s="87">
        <v>45922</v>
      </c>
      <c r="C1188" t="s">
        <v>2275</v>
      </c>
      <c r="D1188" t="s">
        <v>2110</v>
      </c>
      <c r="E1188" t="s">
        <v>477</v>
      </c>
      <c r="F1188" t="s">
        <v>802</v>
      </c>
      <c r="G1188" t="s">
        <v>74</v>
      </c>
      <c r="H1188" t="s">
        <v>470</v>
      </c>
      <c r="I1188" t="s">
        <v>471</v>
      </c>
      <c r="J1188">
        <v>1.56</v>
      </c>
    </row>
    <row r="1189" spans="1:10">
      <c r="A1189" s="90" t="s">
        <v>216</v>
      </c>
      <c r="B1189" s="87">
        <v>45922</v>
      </c>
      <c r="C1189" t="s">
        <v>2479</v>
      </c>
      <c r="D1189" t="s">
        <v>2110</v>
      </c>
      <c r="E1189" t="s">
        <v>477</v>
      </c>
      <c r="F1189" t="s">
        <v>802</v>
      </c>
      <c r="G1189" t="s">
        <v>74</v>
      </c>
      <c r="H1189" t="s">
        <v>470</v>
      </c>
      <c r="I1189" t="s">
        <v>471</v>
      </c>
      <c r="J1189">
        <v>10</v>
      </c>
    </row>
    <row r="1190" spans="1:10">
      <c r="A1190" s="90" t="s">
        <v>216</v>
      </c>
      <c r="B1190" s="87">
        <v>45922</v>
      </c>
      <c r="C1190" t="s">
        <v>840</v>
      </c>
      <c r="D1190" t="s">
        <v>2110</v>
      </c>
      <c r="E1190" t="s">
        <v>512</v>
      </c>
      <c r="F1190" t="s">
        <v>841</v>
      </c>
      <c r="G1190" t="s">
        <v>474</v>
      </c>
      <c r="H1190" t="s">
        <v>470</v>
      </c>
      <c r="I1190" t="s">
        <v>475</v>
      </c>
      <c r="J1190">
        <v>71543.199999999997</v>
      </c>
    </row>
    <row r="1191" spans="1:10">
      <c r="A1191" s="90" t="s">
        <v>216</v>
      </c>
      <c r="B1191" s="87">
        <v>45922</v>
      </c>
      <c r="C1191" t="s">
        <v>517</v>
      </c>
      <c r="D1191" t="s">
        <v>2110</v>
      </c>
      <c r="E1191" t="s">
        <v>512</v>
      </c>
      <c r="F1191" t="s">
        <v>842</v>
      </c>
      <c r="G1191" t="s">
        <v>474</v>
      </c>
      <c r="H1191" t="s">
        <v>470</v>
      </c>
      <c r="I1191" t="s">
        <v>475</v>
      </c>
      <c r="J1191">
        <v>9459.75</v>
      </c>
    </row>
    <row r="1192" spans="1:10">
      <c r="A1192" s="90" t="s">
        <v>216</v>
      </c>
      <c r="B1192" s="87">
        <v>45923</v>
      </c>
      <c r="C1192" t="s">
        <v>3054</v>
      </c>
      <c r="D1192" t="s">
        <v>2110</v>
      </c>
      <c r="E1192" t="s">
        <v>535</v>
      </c>
      <c r="F1192" t="s">
        <v>2686</v>
      </c>
      <c r="G1192" t="s">
        <v>2112</v>
      </c>
      <c r="H1192" t="s">
        <v>470</v>
      </c>
      <c r="I1192" t="s">
        <v>475</v>
      </c>
      <c r="J1192">
        <v>14733.33</v>
      </c>
    </row>
    <row r="1193" spans="1:10">
      <c r="A1193" s="90" t="s">
        <v>216</v>
      </c>
      <c r="B1193" s="87">
        <v>45923</v>
      </c>
      <c r="C1193" t="s">
        <v>3055</v>
      </c>
      <c r="D1193" t="s">
        <v>2110</v>
      </c>
      <c r="E1193" t="s">
        <v>535</v>
      </c>
      <c r="F1193" t="s">
        <v>2716</v>
      </c>
      <c r="G1193" t="s">
        <v>2112</v>
      </c>
      <c r="H1193" t="s">
        <v>470</v>
      </c>
      <c r="I1193" t="s">
        <v>475</v>
      </c>
      <c r="J1193">
        <v>83500</v>
      </c>
    </row>
    <row r="1194" spans="1:10">
      <c r="A1194" s="90" t="s">
        <v>216</v>
      </c>
      <c r="B1194" s="87">
        <v>45923</v>
      </c>
      <c r="C1194" t="s">
        <v>3056</v>
      </c>
      <c r="D1194" t="s">
        <v>2110</v>
      </c>
      <c r="E1194" t="s">
        <v>535</v>
      </c>
      <c r="F1194" t="s">
        <v>2723</v>
      </c>
      <c r="G1194" t="s">
        <v>2112</v>
      </c>
      <c r="H1194" t="s">
        <v>470</v>
      </c>
      <c r="I1194" t="s">
        <v>475</v>
      </c>
      <c r="J1194">
        <v>87066.67</v>
      </c>
    </row>
    <row r="1195" spans="1:10">
      <c r="A1195" s="90" t="s">
        <v>216</v>
      </c>
      <c r="B1195" s="87">
        <v>45923</v>
      </c>
      <c r="C1195" t="s">
        <v>3057</v>
      </c>
      <c r="D1195" t="s">
        <v>2110</v>
      </c>
      <c r="E1195" t="s">
        <v>535</v>
      </c>
      <c r="F1195" t="s">
        <v>2721</v>
      </c>
      <c r="G1195" t="s">
        <v>2112</v>
      </c>
      <c r="H1195" t="s">
        <v>470</v>
      </c>
      <c r="I1195" t="s">
        <v>475</v>
      </c>
      <c r="J1195">
        <v>82433.33</v>
      </c>
    </row>
    <row r="1196" spans="1:10">
      <c r="A1196" s="90" t="s">
        <v>216</v>
      </c>
      <c r="B1196" s="87">
        <v>45923</v>
      </c>
      <c r="C1196" t="s">
        <v>3058</v>
      </c>
      <c r="D1196" t="s">
        <v>2110</v>
      </c>
      <c r="E1196" t="s">
        <v>535</v>
      </c>
      <c r="F1196" t="s">
        <v>2749</v>
      </c>
      <c r="G1196" t="s">
        <v>2112</v>
      </c>
      <c r="H1196" t="s">
        <v>470</v>
      </c>
      <c r="I1196" t="s">
        <v>475</v>
      </c>
      <c r="J1196">
        <v>82750</v>
      </c>
    </row>
    <row r="1197" spans="1:10">
      <c r="A1197" s="90" t="s">
        <v>216</v>
      </c>
      <c r="B1197" s="87">
        <v>45923</v>
      </c>
      <c r="C1197" t="s">
        <v>3059</v>
      </c>
      <c r="D1197" t="s">
        <v>2110</v>
      </c>
      <c r="E1197" t="s">
        <v>535</v>
      </c>
      <c r="F1197" t="s">
        <v>2747</v>
      </c>
      <c r="G1197" t="s">
        <v>2112</v>
      </c>
      <c r="H1197" t="s">
        <v>470</v>
      </c>
      <c r="I1197" t="s">
        <v>475</v>
      </c>
      <c r="J1197">
        <v>89200</v>
      </c>
    </row>
    <row r="1198" spans="1:10">
      <c r="A1198" s="90" t="s">
        <v>216</v>
      </c>
      <c r="B1198" s="87">
        <v>45923</v>
      </c>
      <c r="C1198" t="s">
        <v>3060</v>
      </c>
      <c r="D1198" t="s">
        <v>2110</v>
      </c>
      <c r="E1198" t="s">
        <v>535</v>
      </c>
      <c r="F1198" t="s">
        <v>2737</v>
      </c>
      <c r="G1198" t="s">
        <v>2112</v>
      </c>
      <c r="H1198" t="s">
        <v>470</v>
      </c>
      <c r="I1198" t="s">
        <v>475</v>
      </c>
      <c r="J1198">
        <v>51066.67</v>
      </c>
    </row>
    <row r="1199" spans="1:10">
      <c r="A1199" s="90" t="s">
        <v>216</v>
      </c>
      <c r="B1199" s="87">
        <v>45923</v>
      </c>
      <c r="C1199" t="s">
        <v>3061</v>
      </c>
      <c r="D1199" t="s">
        <v>2110</v>
      </c>
      <c r="E1199" t="s">
        <v>535</v>
      </c>
      <c r="F1199" t="s">
        <v>2741</v>
      </c>
      <c r="G1199" t="s">
        <v>2112</v>
      </c>
      <c r="H1199" t="s">
        <v>470</v>
      </c>
      <c r="I1199" t="s">
        <v>475</v>
      </c>
      <c r="J1199">
        <v>60210</v>
      </c>
    </row>
    <row r="1200" spans="1:10">
      <c r="A1200" s="90" t="s">
        <v>216</v>
      </c>
      <c r="B1200" s="87">
        <v>45923</v>
      </c>
      <c r="C1200" t="s">
        <v>3062</v>
      </c>
      <c r="D1200" t="s">
        <v>2110</v>
      </c>
      <c r="E1200" t="s">
        <v>535</v>
      </c>
      <c r="F1200" t="s">
        <v>2745</v>
      </c>
      <c r="G1200" t="s">
        <v>2112</v>
      </c>
      <c r="H1200" t="s">
        <v>470</v>
      </c>
      <c r="I1200" t="s">
        <v>475</v>
      </c>
      <c r="J1200">
        <v>76500</v>
      </c>
    </row>
    <row r="1201" spans="1:10">
      <c r="A1201" s="90" t="s">
        <v>216</v>
      </c>
      <c r="B1201" s="87">
        <v>45923</v>
      </c>
      <c r="C1201" t="s">
        <v>3063</v>
      </c>
      <c r="D1201" t="s">
        <v>2110</v>
      </c>
      <c r="E1201" t="s">
        <v>535</v>
      </c>
      <c r="F1201" t="s">
        <v>2770</v>
      </c>
      <c r="G1201" t="s">
        <v>2112</v>
      </c>
      <c r="H1201" t="s">
        <v>470</v>
      </c>
      <c r="I1201" t="s">
        <v>475</v>
      </c>
      <c r="J1201">
        <v>75510</v>
      </c>
    </row>
    <row r="1202" spans="1:10">
      <c r="A1202" s="90" t="s">
        <v>216</v>
      </c>
      <c r="B1202" s="87">
        <v>45923</v>
      </c>
      <c r="C1202" t="s">
        <v>3064</v>
      </c>
      <c r="D1202" t="s">
        <v>2110</v>
      </c>
      <c r="E1202" t="s">
        <v>535</v>
      </c>
      <c r="F1202" t="s">
        <v>2772</v>
      </c>
      <c r="G1202" t="s">
        <v>2112</v>
      </c>
      <c r="H1202" t="s">
        <v>470</v>
      </c>
      <c r="I1202" t="s">
        <v>475</v>
      </c>
      <c r="J1202">
        <v>34320</v>
      </c>
    </row>
    <row r="1203" spans="1:10">
      <c r="A1203" s="90" t="s">
        <v>216</v>
      </c>
      <c r="B1203" s="87">
        <v>45923</v>
      </c>
      <c r="C1203" t="s">
        <v>3013</v>
      </c>
      <c r="D1203" t="s">
        <v>2110</v>
      </c>
      <c r="E1203" t="s">
        <v>535</v>
      </c>
      <c r="F1203" t="s">
        <v>2673</v>
      </c>
      <c r="G1203" t="s">
        <v>2112</v>
      </c>
      <c r="H1203" t="s">
        <v>470</v>
      </c>
      <c r="I1203" t="s">
        <v>475</v>
      </c>
      <c r="J1203">
        <v>32383.33</v>
      </c>
    </row>
    <row r="1204" spans="1:10">
      <c r="A1204" s="90" t="s">
        <v>216</v>
      </c>
      <c r="B1204" s="87">
        <v>45923</v>
      </c>
      <c r="C1204" t="s">
        <v>3014</v>
      </c>
      <c r="D1204" t="s">
        <v>2110</v>
      </c>
      <c r="E1204" t="s">
        <v>535</v>
      </c>
      <c r="F1204" t="s">
        <v>2675</v>
      </c>
      <c r="G1204" t="s">
        <v>2112</v>
      </c>
      <c r="H1204" t="s">
        <v>470</v>
      </c>
      <c r="I1204" t="s">
        <v>475</v>
      </c>
      <c r="J1204">
        <v>42650</v>
      </c>
    </row>
    <row r="1205" spans="1:10">
      <c r="A1205" s="90" t="s">
        <v>216</v>
      </c>
      <c r="B1205" s="87">
        <v>45923</v>
      </c>
      <c r="C1205" t="s">
        <v>3054</v>
      </c>
      <c r="D1205" t="s">
        <v>2110</v>
      </c>
      <c r="E1205" t="s">
        <v>535</v>
      </c>
      <c r="F1205" t="s">
        <v>2686</v>
      </c>
      <c r="G1205" t="s">
        <v>2112</v>
      </c>
      <c r="H1205" t="s">
        <v>470</v>
      </c>
      <c r="I1205" t="s">
        <v>475</v>
      </c>
      <c r="J1205">
        <v>7366.67</v>
      </c>
    </row>
    <row r="1206" spans="1:10">
      <c r="A1206" s="90" t="s">
        <v>216</v>
      </c>
      <c r="B1206" s="87">
        <v>45923</v>
      </c>
      <c r="C1206" t="s">
        <v>3056</v>
      </c>
      <c r="D1206" t="s">
        <v>2110</v>
      </c>
      <c r="E1206" t="s">
        <v>535</v>
      </c>
      <c r="F1206" t="s">
        <v>2723</v>
      </c>
      <c r="G1206" t="s">
        <v>2112</v>
      </c>
      <c r="H1206" t="s">
        <v>470</v>
      </c>
      <c r="I1206" t="s">
        <v>475</v>
      </c>
      <c r="J1206">
        <v>43533.33</v>
      </c>
    </row>
    <row r="1207" spans="1:10">
      <c r="A1207" s="90" t="s">
        <v>216</v>
      </c>
      <c r="B1207" s="87">
        <v>45923</v>
      </c>
      <c r="C1207" t="s">
        <v>3055</v>
      </c>
      <c r="D1207" t="s">
        <v>2110</v>
      </c>
      <c r="E1207" t="s">
        <v>535</v>
      </c>
      <c r="F1207" t="s">
        <v>2716</v>
      </c>
      <c r="G1207" t="s">
        <v>2112</v>
      </c>
      <c r="H1207" t="s">
        <v>470</v>
      </c>
      <c r="I1207" t="s">
        <v>475</v>
      </c>
      <c r="J1207">
        <v>41750</v>
      </c>
    </row>
    <row r="1208" spans="1:10">
      <c r="A1208" s="90" t="s">
        <v>216</v>
      </c>
      <c r="B1208" s="87">
        <v>45923</v>
      </c>
      <c r="C1208" t="s">
        <v>3057</v>
      </c>
      <c r="D1208" t="s">
        <v>2110</v>
      </c>
      <c r="E1208" t="s">
        <v>535</v>
      </c>
      <c r="F1208" t="s">
        <v>2721</v>
      </c>
      <c r="G1208" t="s">
        <v>2112</v>
      </c>
      <c r="H1208" t="s">
        <v>470</v>
      </c>
      <c r="I1208" t="s">
        <v>475</v>
      </c>
      <c r="J1208">
        <v>41216.67</v>
      </c>
    </row>
    <row r="1209" spans="1:10">
      <c r="A1209" s="90" t="s">
        <v>216</v>
      </c>
      <c r="B1209" s="87">
        <v>45923</v>
      </c>
      <c r="C1209" t="s">
        <v>3061</v>
      </c>
      <c r="D1209" t="s">
        <v>2110</v>
      </c>
      <c r="E1209" t="s">
        <v>535</v>
      </c>
      <c r="F1209" t="s">
        <v>2741</v>
      </c>
      <c r="G1209" t="s">
        <v>2112</v>
      </c>
      <c r="H1209" t="s">
        <v>470</v>
      </c>
      <c r="I1209" t="s">
        <v>475</v>
      </c>
      <c r="J1209">
        <v>40140</v>
      </c>
    </row>
    <row r="1210" spans="1:10">
      <c r="A1210" s="90" t="s">
        <v>216</v>
      </c>
      <c r="B1210" s="87">
        <v>45923</v>
      </c>
      <c r="C1210" t="s">
        <v>3058</v>
      </c>
      <c r="D1210" t="s">
        <v>2110</v>
      </c>
      <c r="E1210" t="s">
        <v>535</v>
      </c>
      <c r="F1210" t="s">
        <v>2749</v>
      </c>
      <c r="G1210" t="s">
        <v>2112</v>
      </c>
      <c r="H1210" t="s">
        <v>470</v>
      </c>
      <c r="I1210" t="s">
        <v>475</v>
      </c>
      <c r="J1210">
        <v>41375</v>
      </c>
    </row>
    <row r="1211" spans="1:10">
      <c r="A1211" s="90" t="s">
        <v>216</v>
      </c>
      <c r="B1211" s="87">
        <v>45923</v>
      </c>
      <c r="C1211" t="s">
        <v>3065</v>
      </c>
      <c r="D1211" t="s">
        <v>2110</v>
      </c>
      <c r="E1211" t="s">
        <v>535</v>
      </c>
      <c r="F1211" t="s">
        <v>2745</v>
      </c>
      <c r="G1211" t="s">
        <v>2112</v>
      </c>
      <c r="H1211" t="s">
        <v>470</v>
      </c>
      <c r="I1211" t="s">
        <v>475</v>
      </c>
      <c r="J1211">
        <v>51000</v>
      </c>
    </row>
    <row r="1212" spans="1:10">
      <c r="A1212" s="90" t="s">
        <v>216</v>
      </c>
      <c r="B1212" s="87">
        <v>45923</v>
      </c>
      <c r="C1212" t="s">
        <v>3063</v>
      </c>
      <c r="D1212" t="s">
        <v>2110</v>
      </c>
      <c r="E1212" t="s">
        <v>535</v>
      </c>
      <c r="F1212" t="s">
        <v>2770</v>
      </c>
      <c r="G1212" t="s">
        <v>2112</v>
      </c>
      <c r="H1212" t="s">
        <v>470</v>
      </c>
      <c r="I1212" t="s">
        <v>475</v>
      </c>
      <c r="J1212">
        <v>50340</v>
      </c>
    </row>
    <row r="1213" spans="1:10">
      <c r="A1213" s="90" t="s">
        <v>216</v>
      </c>
      <c r="B1213" s="87">
        <v>45923</v>
      </c>
      <c r="C1213" t="s">
        <v>3059</v>
      </c>
      <c r="D1213" t="s">
        <v>2110</v>
      </c>
      <c r="E1213" t="s">
        <v>535</v>
      </c>
      <c r="F1213" t="s">
        <v>2747</v>
      </c>
      <c r="G1213" t="s">
        <v>2112</v>
      </c>
      <c r="H1213" t="s">
        <v>470</v>
      </c>
      <c r="I1213" t="s">
        <v>475</v>
      </c>
      <c r="J1213">
        <v>44600</v>
      </c>
    </row>
    <row r="1214" spans="1:10">
      <c r="A1214" s="90" t="s">
        <v>216</v>
      </c>
      <c r="B1214" s="87">
        <v>45923</v>
      </c>
      <c r="C1214" t="s">
        <v>3060</v>
      </c>
      <c r="D1214" t="s">
        <v>2110</v>
      </c>
      <c r="E1214" t="s">
        <v>535</v>
      </c>
      <c r="F1214" t="s">
        <v>2737</v>
      </c>
      <c r="G1214" t="s">
        <v>2112</v>
      </c>
      <c r="H1214" t="s">
        <v>470</v>
      </c>
      <c r="I1214" t="s">
        <v>475</v>
      </c>
      <c r="J1214">
        <v>25533.33</v>
      </c>
    </row>
    <row r="1215" spans="1:10">
      <c r="A1215" s="90" t="s">
        <v>216</v>
      </c>
      <c r="B1215" s="87">
        <v>45923</v>
      </c>
      <c r="C1215" t="s">
        <v>3064</v>
      </c>
      <c r="D1215" t="s">
        <v>2110</v>
      </c>
      <c r="E1215" t="s">
        <v>535</v>
      </c>
      <c r="F1215" t="s">
        <v>2772</v>
      </c>
      <c r="G1215" t="s">
        <v>2112</v>
      </c>
      <c r="H1215" t="s">
        <v>470</v>
      </c>
      <c r="I1215" t="s">
        <v>475</v>
      </c>
      <c r="J1215">
        <v>22880</v>
      </c>
    </row>
    <row r="1216" spans="1:10">
      <c r="A1216" s="90" t="s">
        <v>216</v>
      </c>
      <c r="B1216" s="87">
        <v>45923</v>
      </c>
      <c r="C1216" t="s">
        <v>511</v>
      </c>
      <c r="D1216" t="s">
        <v>2110</v>
      </c>
      <c r="E1216" t="s">
        <v>512</v>
      </c>
      <c r="F1216" t="s">
        <v>802</v>
      </c>
      <c r="G1216" t="s">
        <v>474</v>
      </c>
      <c r="H1216" t="s">
        <v>470</v>
      </c>
      <c r="I1216" t="s">
        <v>475</v>
      </c>
      <c r="J1216">
        <v>737290</v>
      </c>
    </row>
    <row r="1217" spans="1:10">
      <c r="A1217" s="90" t="s">
        <v>216</v>
      </c>
      <c r="B1217" s="87">
        <v>45924</v>
      </c>
      <c r="C1217" t="s">
        <v>3066</v>
      </c>
      <c r="D1217" t="s">
        <v>2110</v>
      </c>
      <c r="E1217" t="s">
        <v>1667</v>
      </c>
      <c r="F1217" t="s">
        <v>3067</v>
      </c>
      <c r="G1217" t="s">
        <v>2115</v>
      </c>
      <c r="H1217" t="s">
        <v>470</v>
      </c>
      <c r="I1217" t="s">
        <v>475</v>
      </c>
      <c r="J1217">
        <v>174.2</v>
      </c>
    </row>
    <row r="1218" spans="1:10">
      <c r="A1218" s="90" t="s">
        <v>216</v>
      </c>
      <c r="B1218" s="87">
        <v>45924</v>
      </c>
      <c r="C1218" t="s">
        <v>3066</v>
      </c>
      <c r="D1218" t="s">
        <v>2110</v>
      </c>
      <c r="E1218" t="s">
        <v>1667</v>
      </c>
      <c r="F1218" t="s">
        <v>3067</v>
      </c>
      <c r="G1218" t="s">
        <v>259</v>
      </c>
      <c r="H1218" t="s">
        <v>470</v>
      </c>
      <c r="I1218" t="s">
        <v>475</v>
      </c>
      <c r="J1218">
        <v>1337.86</v>
      </c>
    </row>
    <row r="1219" spans="1:10">
      <c r="A1219" s="90" t="s">
        <v>216</v>
      </c>
      <c r="B1219" s="87">
        <v>45924</v>
      </c>
      <c r="C1219" t="s">
        <v>3068</v>
      </c>
      <c r="D1219" t="s">
        <v>2110</v>
      </c>
      <c r="E1219" t="s">
        <v>3069</v>
      </c>
      <c r="F1219" t="s">
        <v>871</v>
      </c>
      <c r="G1219" t="s">
        <v>2125</v>
      </c>
      <c r="H1219" t="s">
        <v>470</v>
      </c>
      <c r="I1219" t="s">
        <v>487</v>
      </c>
      <c r="J1219">
        <v>9280.6</v>
      </c>
    </row>
    <row r="1220" spans="1:10">
      <c r="A1220" s="90" t="s">
        <v>216</v>
      </c>
      <c r="B1220" s="87">
        <v>45924</v>
      </c>
      <c r="C1220" t="s">
        <v>3070</v>
      </c>
      <c r="D1220" t="s">
        <v>2110</v>
      </c>
      <c r="E1220" t="s">
        <v>2378</v>
      </c>
      <c r="F1220" t="s">
        <v>871</v>
      </c>
      <c r="G1220" t="s">
        <v>2112</v>
      </c>
      <c r="H1220" t="s">
        <v>470</v>
      </c>
      <c r="I1220" t="s">
        <v>487</v>
      </c>
      <c r="J1220">
        <v>30304</v>
      </c>
    </row>
    <row r="1221" spans="1:10">
      <c r="A1221" s="90" t="s">
        <v>216</v>
      </c>
      <c r="B1221" s="87">
        <v>45924</v>
      </c>
      <c r="C1221" t="s">
        <v>3071</v>
      </c>
      <c r="D1221" t="s">
        <v>2110</v>
      </c>
      <c r="E1221" t="s">
        <v>3072</v>
      </c>
      <c r="F1221" t="s">
        <v>874</v>
      </c>
      <c r="G1221" t="s">
        <v>2125</v>
      </c>
      <c r="H1221" t="s">
        <v>470</v>
      </c>
      <c r="I1221" t="s">
        <v>487</v>
      </c>
      <c r="J1221">
        <v>7563.15</v>
      </c>
    </row>
    <row r="1222" spans="1:10">
      <c r="A1222" s="90" t="s">
        <v>216</v>
      </c>
      <c r="B1222" s="87">
        <v>45924</v>
      </c>
      <c r="C1222" t="s">
        <v>2275</v>
      </c>
      <c r="D1222" t="s">
        <v>2110</v>
      </c>
      <c r="E1222" t="s">
        <v>477</v>
      </c>
      <c r="F1222" t="s">
        <v>802</v>
      </c>
      <c r="G1222" t="s">
        <v>74</v>
      </c>
      <c r="H1222" t="s">
        <v>470</v>
      </c>
      <c r="I1222" t="s">
        <v>471</v>
      </c>
      <c r="J1222">
        <v>30</v>
      </c>
    </row>
    <row r="1223" spans="1:10">
      <c r="A1223" s="90" t="s">
        <v>216</v>
      </c>
      <c r="B1223" s="87">
        <v>45924</v>
      </c>
      <c r="C1223" t="s">
        <v>511</v>
      </c>
      <c r="D1223" t="s">
        <v>2110</v>
      </c>
      <c r="E1223" t="s">
        <v>512</v>
      </c>
      <c r="F1223" t="s">
        <v>802</v>
      </c>
      <c r="G1223" t="s">
        <v>474</v>
      </c>
      <c r="H1223" t="s">
        <v>470</v>
      </c>
      <c r="I1223" t="s">
        <v>475</v>
      </c>
      <c r="J1223">
        <v>52390.59</v>
      </c>
    </row>
    <row r="1224" spans="1:10">
      <c r="A1224" s="90" t="s">
        <v>216</v>
      </c>
      <c r="B1224" s="87">
        <v>45925</v>
      </c>
      <c r="C1224" t="s">
        <v>3073</v>
      </c>
      <c r="D1224" t="s">
        <v>2110</v>
      </c>
      <c r="E1224" t="s">
        <v>3074</v>
      </c>
      <c r="F1224" t="s">
        <v>876</v>
      </c>
      <c r="G1224" t="s">
        <v>2125</v>
      </c>
      <c r="H1224" t="s">
        <v>470</v>
      </c>
      <c r="I1224" t="s">
        <v>487</v>
      </c>
      <c r="J1224">
        <v>6504.68</v>
      </c>
    </row>
    <row r="1225" spans="1:10">
      <c r="A1225" s="90" t="s">
        <v>216</v>
      </c>
      <c r="B1225" s="87">
        <v>45925</v>
      </c>
      <c r="C1225" t="s">
        <v>3075</v>
      </c>
      <c r="D1225" t="s">
        <v>2110</v>
      </c>
      <c r="E1225" t="s">
        <v>3076</v>
      </c>
      <c r="F1225" t="s">
        <v>884</v>
      </c>
      <c r="G1225" t="s">
        <v>2125</v>
      </c>
      <c r="H1225" t="s">
        <v>470</v>
      </c>
      <c r="I1225" t="s">
        <v>487</v>
      </c>
      <c r="J1225">
        <v>8449.98</v>
      </c>
    </row>
    <row r="1226" spans="1:10">
      <c r="A1226" s="90" t="s">
        <v>216</v>
      </c>
      <c r="B1226" s="87">
        <v>45925</v>
      </c>
      <c r="C1226" t="s">
        <v>3077</v>
      </c>
      <c r="D1226" t="s">
        <v>2110</v>
      </c>
      <c r="E1226" t="s">
        <v>2378</v>
      </c>
      <c r="F1226" t="s">
        <v>884</v>
      </c>
      <c r="G1226" t="s">
        <v>2112</v>
      </c>
      <c r="H1226" t="s">
        <v>470</v>
      </c>
      <c r="I1226" t="s">
        <v>487</v>
      </c>
      <c r="J1226">
        <v>15776</v>
      </c>
    </row>
    <row r="1227" spans="1:10">
      <c r="A1227" s="90" t="s">
        <v>216</v>
      </c>
      <c r="B1227" s="87">
        <v>45925</v>
      </c>
      <c r="C1227" t="s">
        <v>843</v>
      </c>
      <c r="D1227" t="s">
        <v>2110</v>
      </c>
      <c r="E1227" t="s">
        <v>512</v>
      </c>
      <c r="F1227" t="s">
        <v>844</v>
      </c>
      <c r="G1227" t="s">
        <v>474</v>
      </c>
      <c r="H1227" t="s">
        <v>470</v>
      </c>
      <c r="I1227" t="s">
        <v>475</v>
      </c>
      <c r="J1227">
        <v>72490.399999999994</v>
      </c>
    </row>
    <row r="1228" spans="1:10">
      <c r="A1228" s="90" t="s">
        <v>216</v>
      </c>
      <c r="B1228" s="87">
        <v>45925</v>
      </c>
      <c r="C1228" t="s">
        <v>3078</v>
      </c>
      <c r="D1228" t="s">
        <v>2110</v>
      </c>
      <c r="E1228" t="s">
        <v>2300</v>
      </c>
      <c r="F1228" t="s">
        <v>802</v>
      </c>
      <c r="G1228" t="s">
        <v>70</v>
      </c>
      <c r="H1228" t="s">
        <v>470</v>
      </c>
      <c r="I1228" t="s">
        <v>796</v>
      </c>
      <c r="J1228">
        <v>50.55</v>
      </c>
    </row>
    <row r="1229" spans="1:10">
      <c r="A1229" s="90" t="s">
        <v>216</v>
      </c>
      <c r="B1229" s="87">
        <v>45925</v>
      </c>
      <c r="C1229" t="s">
        <v>2275</v>
      </c>
      <c r="D1229" t="s">
        <v>2110</v>
      </c>
      <c r="E1229" t="s">
        <v>477</v>
      </c>
      <c r="F1229" t="s">
        <v>802</v>
      </c>
      <c r="G1229" t="s">
        <v>74</v>
      </c>
      <c r="H1229" t="s">
        <v>470</v>
      </c>
      <c r="I1229" t="s">
        <v>471</v>
      </c>
      <c r="J1229">
        <v>1.56</v>
      </c>
    </row>
    <row r="1230" spans="1:10">
      <c r="A1230" s="90" t="s">
        <v>216</v>
      </c>
      <c r="B1230" s="87">
        <v>45925</v>
      </c>
      <c r="C1230" t="s">
        <v>2479</v>
      </c>
      <c r="D1230" t="s">
        <v>2110</v>
      </c>
      <c r="E1230" t="s">
        <v>477</v>
      </c>
      <c r="F1230" t="s">
        <v>802</v>
      </c>
      <c r="G1230" t="s">
        <v>74</v>
      </c>
      <c r="H1230" t="s">
        <v>470</v>
      </c>
      <c r="I1230" t="s">
        <v>471</v>
      </c>
      <c r="J1230">
        <v>6.5</v>
      </c>
    </row>
    <row r="1231" spans="1:10">
      <c r="A1231" s="90" t="s">
        <v>216</v>
      </c>
      <c r="B1231" s="87">
        <v>45925</v>
      </c>
      <c r="C1231" t="s">
        <v>2275</v>
      </c>
      <c r="D1231" t="s">
        <v>2110</v>
      </c>
      <c r="E1231" t="s">
        <v>477</v>
      </c>
      <c r="F1231" t="s">
        <v>802</v>
      </c>
      <c r="G1231" t="s">
        <v>74</v>
      </c>
      <c r="H1231" t="s">
        <v>470</v>
      </c>
      <c r="I1231" t="s">
        <v>471</v>
      </c>
      <c r="J1231">
        <v>30</v>
      </c>
    </row>
    <row r="1232" spans="1:10">
      <c r="A1232" s="90" t="s">
        <v>216</v>
      </c>
      <c r="B1232" s="87">
        <v>45925</v>
      </c>
      <c r="C1232" t="s">
        <v>517</v>
      </c>
      <c r="D1232" t="s">
        <v>2110</v>
      </c>
      <c r="E1232" t="s">
        <v>512</v>
      </c>
      <c r="F1232" t="s">
        <v>802</v>
      </c>
      <c r="G1232" t="s">
        <v>474</v>
      </c>
      <c r="H1232" t="s">
        <v>470</v>
      </c>
      <c r="I1232" t="s">
        <v>475</v>
      </c>
      <c r="J1232">
        <v>41671.129999999997</v>
      </c>
    </row>
    <row r="1233" spans="1:10">
      <c r="A1233" s="90" t="s">
        <v>216</v>
      </c>
      <c r="B1233" s="87">
        <v>45926</v>
      </c>
      <c r="C1233" t="s">
        <v>3079</v>
      </c>
      <c r="D1233" t="s">
        <v>2110</v>
      </c>
      <c r="E1233" t="s">
        <v>3069</v>
      </c>
      <c r="F1233" t="s">
        <v>871</v>
      </c>
      <c r="G1233" t="s">
        <v>2125</v>
      </c>
      <c r="H1233" t="s">
        <v>470</v>
      </c>
      <c r="I1233" t="s">
        <v>487</v>
      </c>
      <c r="J1233">
        <v>3880.4</v>
      </c>
    </row>
    <row r="1234" spans="1:10">
      <c r="A1234" s="90" t="s">
        <v>216</v>
      </c>
      <c r="B1234" s="87">
        <v>45926</v>
      </c>
      <c r="C1234" t="s">
        <v>3080</v>
      </c>
      <c r="D1234" t="s">
        <v>2110</v>
      </c>
      <c r="E1234" t="s">
        <v>3072</v>
      </c>
      <c r="F1234" t="s">
        <v>874</v>
      </c>
      <c r="G1234" t="s">
        <v>2125</v>
      </c>
      <c r="H1234" t="s">
        <v>470</v>
      </c>
      <c r="I1234" t="s">
        <v>487</v>
      </c>
      <c r="J1234">
        <v>3151.35</v>
      </c>
    </row>
    <row r="1235" spans="1:10">
      <c r="A1235" s="90" t="s">
        <v>216</v>
      </c>
      <c r="B1235" s="87">
        <v>45926</v>
      </c>
      <c r="C1235" t="s">
        <v>3081</v>
      </c>
      <c r="D1235" t="s">
        <v>2110</v>
      </c>
      <c r="E1235" t="s">
        <v>477</v>
      </c>
      <c r="F1235" t="s">
        <v>270</v>
      </c>
      <c r="G1235" t="s">
        <v>74</v>
      </c>
      <c r="H1235" t="s">
        <v>470</v>
      </c>
      <c r="I1235" t="s">
        <v>471</v>
      </c>
      <c r="J1235">
        <v>250</v>
      </c>
    </row>
    <row r="1236" spans="1:10">
      <c r="A1236" s="90" t="s">
        <v>216</v>
      </c>
      <c r="B1236" s="87">
        <v>45926</v>
      </c>
      <c r="C1236" t="s">
        <v>3082</v>
      </c>
      <c r="D1236" t="s">
        <v>2110</v>
      </c>
      <c r="E1236" t="s">
        <v>2300</v>
      </c>
      <c r="F1236" t="s">
        <v>3083</v>
      </c>
      <c r="G1236" t="s">
        <v>220</v>
      </c>
      <c r="H1236" t="s">
        <v>3084</v>
      </c>
      <c r="I1236" t="s">
        <v>796</v>
      </c>
      <c r="J1236">
        <v>3005.72</v>
      </c>
    </row>
    <row r="1237" spans="1:10">
      <c r="A1237" s="90" t="s">
        <v>216</v>
      </c>
      <c r="B1237" s="87">
        <v>45926</v>
      </c>
      <c r="C1237" t="s">
        <v>3085</v>
      </c>
      <c r="D1237" t="s">
        <v>2110</v>
      </c>
      <c r="E1237" t="s">
        <v>477</v>
      </c>
      <c r="F1237" t="s">
        <v>2325</v>
      </c>
      <c r="G1237" t="s">
        <v>515</v>
      </c>
      <c r="H1237" t="s">
        <v>3086</v>
      </c>
      <c r="I1237" t="s">
        <v>471</v>
      </c>
      <c r="J1237">
        <v>33666.57</v>
      </c>
    </row>
    <row r="1238" spans="1:10">
      <c r="A1238" s="90" t="s">
        <v>216</v>
      </c>
      <c r="B1238" s="87">
        <v>45926</v>
      </c>
      <c r="C1238" t="s">
        <v>3085</v>
      </c>
      <c r="D1238" t="s">
        <v>2110</v>
      </c>
      <c r="E1238" t="s">
        <v>477</v>
      </c>
      <c r="F1238" t="s">
        <v>2325</v>
      </c>
      <c r="G1238" t="s">
        <v>69</v>
      </c>
      <c r="H1238" t="s">
        <v>3086</v>
      </c>
      <c r="I1238" t="s">
        <v>471</v>
      </c>
      <c r="J1238">
        <v>5357.59</v>
      </c>
    </row>
    <row r="1239" spans="1:10">
      <c r="A1239" s="90" t="s">
        <v>216</v>
      </c>
      <c r="B1239" s="87">
        <v>45926</v>
      </c>
      <c r="C1239" t="s">
        <v>2275</v>
      </c>
      <c r="D1239" t="s">
        <v>2110</v>
      </c>
      <c r="E1239" t="s">
        <v>477</v>
      </c>
      <c r="F1239" t="s">
        <v>802</v>
      </c>
      <c r="G1239" t="s">
        <v>74</v>
      </c>
      <c r="H1239" t="s">
        <v>470</v>
      </c>
      <c r="I1239" t="s">
        <v>471</v>
      </c>
      <c r="J1239">
        <v>20</v>
      </c>
    </row>
    <row r="1240" spans="1:10">
      <c r="A1240" s="90" t="s">
        <v>216</v>
      </c>
      <c r="B1240" s="87">
        <v>45926</v>
      </c>
      <c r="C1240" t="s">
        <v>511</v>
      </c>
      <c r="D1240" t="s">
        <v>2110</v>
      </c>
      <c r="E1240" t="s">
        <v>512</v>
      </c>
      <c r="F1240" t="s">
        <v>802</v>
      </c>
      <c r="G1240" t="s">
        <v>474</v>
      </c>
      <c r="H1240" t="s">
        <v>470</v>
      </c>
      <c r="I1240" t="s">
        <v>475</v>
      </c>
      <c r="J1240">
        <v>18753.150000000001</v>
      </c>
    </row>
    <row r="1241" spans="1:10">
      <c r="A1241" s="90" t="s">
        <v>216</v>
      </c>
      <c r="B1241" s="87">
        <v>45929</v>
      </c>
      <c r="C1241" t="s">
        <v>3087</v>
      </c>
      <c r="D1241" t="s">
        <v>2110</v>
      </c>
      <c r="E1241" t="s">
        <v>3074</v>
      </c>
      <c r="F1241" t="s">
        <v>876</v>
      </c>
      <c r="G1241" t="s">
        <v>2125</v>
      </c>
      <c r="H1241" t="s">
        <v>470</v>
      </c>
      <c r="I1241" t="s">
        <v>487</v>
      </c>
      <c r="J1241">
        <v>2697.72</v>
      </c>
    </row>
    <row r="1242" spans="1:10">
      <c r="A1242" s="90" t="s">
        <v>216</v>
      </c>
      <c r="B1242" s="87">
        <v>45929</v>
      </c>
      <c r="C1242" t="s">
        <v>3088</v>
      </c>
      <c r="D1242" t="s">
        <v>2110</v>
      </c>
      <c r="E1242" t="s">
        <v>3076</v>
      </c>
      <c r="F1242" t="s">
        <v>884</v>
      </c>
      <c r="G1242" t="s">
        <v>2125</v>
      </c>
      <c r="H1242" t="s">
        <v>470</v>
      </c>
      <c r="I1242" t="s">
        <v>487</v>
      </c>
      <c r="J1242">
        <v>3531.42</v>
      </c>
    </row>
    <row r="1243" spans="1:10">
      <c r="A1243" s="90" t="s">
        <v>216</v>
      </c>
      <c r="B1243" s="87">
        <v>45929</v>
      </c>
      <c r="C1243" t="s">
        <v>3089</v>
      </c>
      <c r="D1243" t="s">
        <v>2110</v>
      </c>
      <c r="E1243" t="s">
        <v>477</v>
      </c>
      <c r="F1243" t="s">
        <v>802</v>
      </c>
      <c r="G1243" t="s">
        <v>194</v>
      </c>
      <c r="H1243" t="s">
        <v>470</v>
      </c>
      <c r="I1243" t="s">
        <v>471</v>
      </c>
      <c r="J1243">
        <v>5152.5600000000004</v>
      </c>
    </row>
    <row r="1244" spans="1:10">
      <c r="A1244" s="90" t="s">
        <v>216</v>
      </c>
      <c r="B1244" s="87">
        <v>45929</v>
      </c>
      <c r="C1244" t="s">
        <v>3089</v>
      </c>
      <c r="D1244" t="s">
        <v>2110</v>
      </c>
      <c r="E1244" t="s">
        <v>477</v>
      </c>
      <c r="F1244" t="s">
        <v>802</v>
      </c>
      <c r="G1244" t="s">
        <v>232</v>
      </c>
      <c r="H1244" t="s">
        <v>470</v>
      </c>
      <c r="I1244" t="s">
        <v>471</v>
      </c>
      <c r="J1244">
        <v>500</v>
      </c>
    </row>
    <row r="1245" spans="1:10">
      <c r="A1245" s="90" t="s">
        <v>216</v>
      </c>
      <c r="B1245" s="87">
        <v>45929</v>
      </c>
      <c r="C1245" t="s">
        <v>3089</v>
      </c>
      <c r="D1245" t="s">
        <v>2110</v>
      </c>
      <c r="E1245" t="s">
        <v>477</v>
      </c>
      <c r="F1245" t="s">
        <v>802</v>
      </c>
      <c r="G1245" t="s">
        <v>74</v>
      </c>
      <c r="H1245" t="s">
        <v>470</v>
      </c>
      <c r="I1245" t="s">
        <v>471</v>
      </c>
      <c r="J1245">
        <v>19</v>
      </c>
    </row>
    <row r="1246" spans="1:10">
      <c r="A1246" s="90" t="s">
        <v>216</v>
      </c>
      <c r="B1246" s="87">
        <v>45929</v>
      </c>
      <c r="C1246" t="s">
        <v>3090</v>
      </c>
      <c r="D1246" t="s">
        <v>2110</v>
      </c>
      <c r="E1246" t="s">
        <v>3091</v>
      </c>
      <c r="F1246" t="s">
        <v>895</v>
      </c>
      <c r="G1246" t="s">
        <v>2125</v>
      </c>
      <c r="H1246" t="s">
        <v>470</v>
      </c>
      <c r="I1246" t="s">
        <v>487</v>
      </c>
      <c r="J1246">
        <v>11814.32</v>
      </c>
    </row>
    <row r="1247" spans="1:10">
      <c r="A1247" s="90" t="s">
        <v>216</v>
      </c>
      <c r="B1247" s="87">
        <v>45929</v>
      </c>
      <c r="C1247" t="s">
        <v>3092</v>
      </c>
      <c r="D1247" t="s">
        <v>2110</v>
      </c>
      <c r="E1247" t="s">
        <v>1667</v>
      </c>
      <c r="F1247" t="s">
        <v>3093</v>
      </c>
      <c r="G1247" t="s">
        <v>2115</v>
      </c>
      <c r="H1247" t="s">
        <v>470</v>
      </c>
      <c r="I1247" t="s">
        <v>475</v>
      </c>
      <c r="J1247">
        <v>722.5</v>
      </c>
    </row>
    <row r="1248" spans="1:10">
      <c r="A1248" s="90" t="s">
        <v>216</v>
      </c>
      <c r="B1248" s="87">
        <v>45929</v>
      </c>
      <c r="C1248" t="s">
        <v>3092</v>
      </c>
      <c r="D1248" t="s">
        <v>2110</v>
      </c>
      <c r="E1248" t="s">
        <v>1667</v>
      </c>
      <c r="F1248" t="s">
        <v>3093</v>
      </c>
      <c r="G1248" t="s">
        <v>259</v>
      </c>
      <c r="H1248" t="s">
        <v>470</v>
      </c>
      <c r="I1248" t="s">
        <v>475</v>
      </c>
      <c r="J1248">
        <v>4360.91</v>
      </c>
    </row>
    <row r="1249" spans="1:10">
      <c r="A1249" s="90" t="s">
        <v>216</v>
      </c>
      <c r="B1249" s="87">
        <v>45929</v>
      </c>
      <c r="C1249" t="s">
        <v>3094</v>
      </c>
      <c r="D1249" t="s">
        <v>2110</v>
      </c>
      <c r="E1249" t="s">
        <v>3095</v>
      </c>
      <c r="F1249" t="s">
        <v>986</v>
      </c>
      <c r="G1249" t="s">
        <v>2125</v>
      </c>
      <c r="H1249" t="s">
        <v>470</v>
      </c>
      <c r="I1249" t="s">
        <v>487</v>
      </c>
      <c r="J1249">
        <v>6832.56</v>
      </c>
    </row>
    <row r="1250" spans="1:10">
      <c r="A1250" s="90" t="s">
        <v>216</v>
      </c>
      <c r="B1250" s="87">
        <v>45929</v>
      </c>
      <c r="C1250" t="s">
        <v>3096</v>
      </c>
      <c r="D1250" t="s">
        <v>2110</v>
      </c>
      <c r="E1250" t="s">
        <v>3097</v>
      </c>
      <c r="F1250" t="s">
        <v>897</v>
      </c>
      <c r="G1250" t="s">
        <v>2125</v>
      </c>
      <c r="H1250" t="s">
        <v>470</v>
      </c>
      <c r="I1250" t="s">
        <v>487</v>
      </c>
      <c r="J1250">
        <v>7290.36</v>
      </c>
    </row>
    <row r="1251" spans="1:10">
      <c r="A1251" s="90" t="s">
        <v>216</v>
      </c>
      <c r="B1251" s="87">
        <v>45929</v>
      </c>
      <c r="C1251" t="s">
        <v>3098</v>
      </c>
      <c r="D1251" t="s">
        <v>2110</v>
      </c>
      <c r="E1251" t="s">
        <v>2378</v>
      </c>
      <c r="F1251" t="s">
        <v>274</v>
      </c>
      <c r="G1251" t="s">
        <v>2112</v>
      </c>
      <c r="H1251" t="s">
        <v>470</v>
      </c>
      <c r="I1251" t="s">
        <v>487</v>
      </c>
      <c r="J1251">
        <v>-1552</v>
      </c>
    </row>
    <row r="1252" spans="1:10">
      <c r="A1252" s="90" t="s">
        <v>216</v>
      </c>
      <c r="B1252" s="87">
        <v>45929</v>
      </c>
      <c r="C1252" t="s">
        <v>2275</v>
      </c>
      <c r="D1252" t="s">
        <v>2110</v>
      </c>
      <c r="E1252" t="s">
        <v>477</v>
      </c>
      <c r="F1252" t="s">
        <v>802</v>
      </c>
      <c r="G1252" t="s">
        <v>74</v>
      </c>
      <c r="H1252" t="s">
        <v>470</v>
      </c>
      <c r="I1252" t="s">
        <v>471</v>
      </c>
      <c r="J1252">
        <v>50</v>
      </c>
    </row>
    <row r="1253" spans="1:10">
      <c r="A1253" s="90" t="s">
        <v>216</v>
      </c>
      <c r="B1253" s="87">
        <v>45929</v>
      </c>
      <c r="C1253" t="s">
        <v>511</v>
      </c>
      <c r="D1253" t="s">
        <v>2110</v>
      </c>
      <c r="E1253" t="s">
        <v>512</v>
      </c>
      <c r="F1253" t="s">
        <v>802</v>
      </c>
      <c r="G1253" t="s">
        <v>474</v>
      </c>
      <c r="H1253" t="s">
        <v>470</v>
      </c>
      <c r="I1253" t="s">
        <v>475</v>
      </c>
      <c r="J1253">
        <v>41919.35</v>
      </c>
    </row>
    <row r="1254" spans="1:10">
      <c r="A1254" s="90" t="s">
        <v>216</v>
      </c>
      <c r="B1254" s="87">
        <v>45929</v>
      </c>
      <c r="C1254" t="s">
        <v>3099</v>
      </c>
      <c r="D1254" t="s">
        <v>2110</v>
      </c>
      <c r="E1254" t="s">
        <v>477</v>
      </c>
      <c r="F1254" t="s">
        <v>270</v>
      </c>
      <c r="G1254" t="s">
        <v>74</v>
      </c>
      <c r="H1254" t="s">
        <v>470</v>
      </c>
      <c r="I1254" t="s">
        <v>471</v>
      </c>
      <c r="J1254">
        <v>250</v>
      </c>
    </row>
    <row r="1255" spans="1:10">
      <c r="A1255" s="90" t="s">
        <v>216</v>
      </c>
      <c r="B1255" s="87">
        <v>45929</v>
      </c>
      <c r="C1255" t="s">
        <v>3100</v>
      </c>
      <c r="D1255" t="s">
        <v>2110</v>
      </c>
      <c r="E1255" t="s">
        <v>477</v>
      </c>
      <c r="F1255" t="s">
        <v>270</v>
      </c>
      <c r="G1255" t="s">
        <v>74</v>
      </c>
      <c r="H1255" t="s">
        <v>470</v>
      </c>
      <c r="I1255" t="s">
        <v>471</v>
      </c>
      <c r="J1255">
        <v>250</v>
      </c>
    </row>
    <row r="1256" spans="1:10">
      <c r="A1256" s="90" t="s">
        <v>216</v>
      </c>
      <c r="B1256" s="87">
        <v>45930</v>
      </c>
      <c r="C1256" t="s">
        <v>3101</v>
      </c>
      <c r="D1256" t="s">
        <v>2110</v>
      </c>
      <c r="E1256" t="s">
        <v>1137</v>
      </c>
      <c r="F1256" t="s">
        <v>3102</v>
      </c>
      <c r="G1256" t="s">
        <v>61</v>
      </c>
      <c r="H1256" t="s">
        <v>2994</v>
      </c>
      <c r="I1256" t="s">
        <v>487</v>
      </c>
      <c r="J1256">
        <v>1518</v>
      </c>
    </row>
    <row r="1257" spans="1:10">
      <c r="A1257" s="90" t="s">
        <v>216</v>
      </c>
      <c r="B1257" s="87">
        <v>45930</v>
      </c>
      <c r="C1257" t="s">
        <v>2784</v>
      </c>
      <c r="D1257" t="s">
        <v>2110</v>
      </c>
      <c r="E1257" t="s">
        <v>480</v>
      </c>
      <c r="F1257" t="s">
        <v>802</v>
      </c>
      <c r="G1257" t="s">
        <v>71</v>
      </c>
      <c r="H1257" t="s">
        <v>2994</v>
      </c>
      <c r="I1257" t="s">
        <v>475</v>
      </c>
      <c r="J1257">
        <v>2314</v>
      </c>
    </row>
    <row r="1258" spans="1:10">
      <c r="A1258" s="90" t="s">
        <v>216</v>
      </c>
      <c r="B1258" s="87">
        <v>45930</v>
      </c>
      <c r="C1258" t="s">
        <v>2803</v>
      </c>
      <c r="D1258" t="s">
        <v>2110</v>
      </c>
      <c r="E1258" t="s">
        <v>480</v>
      </c>
      <c r="F1258" t="s">
        <v>802</v>
      </c>
      <c r="G1258" t="s">
        <v>180</v>
      </c>
      <c r="H1258" t="s">
        <v>470</v>
      </c>
      <c r="I1258" t="s">
        <v>475</v>
      </c>
      <c r="J1258">
        <v>3250.03</v>
      </c>
    </row>
    <row r="1259" spans="1:10">
      <c r="A1259" s="90" t="s">
        <v>216</v>
      </c>
      <c r="B1259" s="87">
        <v>45930</v>
      </c>
      <c r="C1259" t="s">
        <v>3103</v>
      </c>
      <c r="D1259" t="s">
        <v>2110</v>
      </c>
      <c r="E1259" t="s">
        <v>812</v>
      </c>
      <c r="F1259" t="s">
        <v>279</v>
      </c>
      <c r="G1259" t="s">
        <v>2213</v>
      </c>
      <c r="H1259" t="s">
        <v>470</v>
      </c>
      <c r="I1259" t="s">
        <v>796</v>
      </c>
      <c r="J1259">
        <v>62058.78</v>
      </c>
    </row>
    <row r="1260" spans="1:10">
      <c r="A1260" s="90" t="s">
        <v>216</v>
      </c>
      <c r="B1260" s="87">
        <v>45930</v>
      </c>
      <c r="C1260" t="s">
        <v>3103</v>
      </c>
      <c r="D1260" t="s">
        <v>2110</v>
      </c>
      <c r="E1260" t="s">
        <v>812</v>
      </c>
      <c r="F1260" t="s">
        <v>279</v>
      </c>
      <c r="G1260" t="s">
        <v>182</v>
      </c>
      <c r="H1260" t="s">
        <v>470</v>
      </c>
      <c r="I1260" t="s">
        <v>796</v>
      </c>
      <c r="J1260">
        <v>7853.72</v>
      </c>
    </row>
    <row r="1261" spans="1:10">
      <c r="A1261" s="90" t="s">
        <v>216</v>
      </c>
      <c r="B1261" s="87">
        <v>45930</v>
      </c>
      <c r="C1261" t="s">
        <v>511</v>
      </c>
      <c r="D1261" t="s">
        <v>2110</v>
      </c>
      <c r="E1261" t="s">
        <v>512</v>
      </c>
      <c r="F1261" t="s">
        <v>802</v>
      </c>
      <c r="G1261" t="s">
        <v>474</v>
      </c>
      <c r="H1261" t="s">
        <v>470</v>
      </c>
      <c r="I1261" t="s">
        <v>475</v>
      </c>
      <c r="J1261">
        <v>100000</v>
      </c>
    </row>
    <row r="1262" spans="1:10">
      <c r="A1262" s="90" t="s">
        <v>216</v>
      </c>
      <c r="B1262" s="87">
        <v>45930</v>
      </c>
      <c r="C1262" t="s">
        <v>3104</v>
      </c>
      <c r="D1262" t="s">
        <v>2110</v>
      </c>
      <c r="E1262" t="s">
        <v>477</v>
      </c>
      <c r="F1262" t="s">
        <v>3105</v>
      </c>
      <c r="G1262" t="s">
        <v>218</v>
      </c>
      <c r="H1262" t="s">
        <v>470</v>
      </c>
      <c r="I1262" t="s">
        <v>471</v>
      </c>
      <c r="J1262">
        <v>126230</v>
      </c>
    </row>
    <row r="1263" spans="1:10">
      <c r="A1263" s="90" t="s">
        <v>216</v>
      </c>
      <c r="B1263" s="87">
        <v>45930</v>
      </c>
      <c r="C1263" t="s">
        <v>2275</v>
      </c>
      <c r="D1263" t="s">
        <v>2110</v>
      </c>
      <c r="E1263" t="s">
        <v>477</v>
      </c>
      <c r="F1263" t="s">
        <v>802</v>
      </c>
      <c r="G1263" t="s">
        <v>74</v>
      </c>
      <c r="H1263" t="s">
        <v>470</v>
      </c>
      <c r="I1263" t="s">
        <v>471</v>
      </c>
      <c r="J1263">
        <v>10</v>
      </c>
    </row>
    <row r="1264" spans="1:10">
      <c r="A1264" s="90" t="s">
        <v>216</v>
      </c>
      <c r="B1264" s="87">
        <v>45930</v>
      </c>
      <c r="C1264" t="s">
        <v>511</v>
      </c>
      <c r="D1264" t="s">
        <v>2110</v>
      </c>
      <c r="E1264" t="s">
        <v>512</v>
      </c>
      <c r="F1264" t="s">
        <v>802</v>
      </c>
      <c r="G1264" t="s">
        <v>474</v>
      </c>
      <c r="H1264" t="s">
        <v>470</v>
      </c>
      <c r="I1264" t="s">
        <v>475</v>
      </c>
      <c r="J1264">
        <v>88170.28</v>
      </c>
    </row>
    <row r="1265" spans="1:10">
      <c r="A1265" s="90" t="s">
        <v>216</v>
      </c>
      <c r="B1265" s="87">
        <v>45930</v>
      </c>
      <c r="C1265" t="s">
        <v>2347</v>
      </c>
      <c r="D1265" t="s">
        <v>2110</v>
      </c>
      <c r="E1265" t="s">
        <v>477</v>
      </c>
      <c r="F1265" t="s">
        <v>802</v>
      </c>
      <c r="G1265" t="s">
        <v>68</v>
      </c>
      <c r="H1265" t="s">
        <v>470</v>
      </c>
      <c r="I1265" t="s">
        <v>471</v>
      </c>
      <c r="J1265">
        <v>79.14</v>
      </c>
    </row>
    <row r="1266" spans="1:10">
      <c r="A1266" s="90" t="s">
        <v>216</v>
      </c>
      <c r="B1266" s="87">
        <v>45930</v>
      </c>
      <c r="C1266" t="s">
        <v>2347</v>
      </c>
      <c r="D1266" t="s">
        <v>2110</v>
      </c>
      <c r="E1266" t="s">
        <v>477</v>
      </c>
      <c r="F1266" t="s">
        <v>802</v>
      </c>
      <c r="G1266" t="s">
        <v>68</v>
      </c>
      <c r="H1266" t="s">
        <v>470</v>
      </c>
      <c r="I1266" t="s">
        <v>471</v>
      </c>
      <c r="J1266">
        <v>17477.8</v>
      </c>
    </row>
    <row r="1267" spans="1:10">
      <c r="A1267" s="90" t="s">
        <v>216</v>
      </c>
      <c r="B1267" s="87">
        <v>45930</v>
      </c>
      <c r="C1267" t="s">
        <v>2348</v>
      </c>
      <c r="D1267" t="s">
        <v>2110</v>
      </c>
      <c r="E1267" t="s">
        <v>477</v>
      </c>
      <c r="F1267" t="s">
        <v>802</v>
      </c>
      <c r="G1267" t="s">
        <v>66</v>
      </c>
      <c r="H1267" t="s">
        <v>470</v>
      </c>
      <c r="I1267" t="s">
        <v>471</v>
      </c>
      <c r="J1267">
        <v>153.65</v>
      </c>
    </row>
    <row r="1268" spans="1:10">
      <c r="A1268" s="90" t="s">
        <v>216</v>
      </c>
      <c r="B1268" s="87">
        <v>45930</v>
      </c>
      <c r="C1268" t="s">
        <v>2347</v>
      </c>
      <c r="D1268" t="s">
        <v>2110</v>
      </c>
      <c r="E1268" t="s">
        <v>477</v>
      </c>
      <c r="F1268" t="s">
        <v>802</v>
      </c>
      <c r="G1268" t="s">
        <v>68</v>
      </c>
      <c r="H1268" t="s">
        <v>470</v>
      </c>
      <c r="I1268" t="s">
        <v>471</v>
      </c>
      <c r="J1268">
        <v>8.98</v>
      </c>
    </row>
    <row r="1269" spans="1:10">
      <c r="A1269" s="90" t="s">
        <v>216</v>
      </c>
      <c r="B1269" s="87">
        <v>45931</v>
      </c>
      <c r="C1269" t="s">
        <v>3106</v>
      </c>
      <c r="D1269" t="s">
        <v>2110</v>
      </c>
      <c r="E1269" t="s">
        <v>3107</v>
      </c>
      <c r="F1269" t="s">
        <v>802</v>
      </c>
      <c r="G1269" t="s">
        <v>60</v>
      </c>
      <c r="H1269" t="s">
        <v>470</v>
      </c>
      <c r="I1269" t="s">
        <v>487</v>
      </c>
      <c r="J1269">
        <v>40.28</v>
      </c>
    </row>
    <row r="1270" spans="1:10">
      <c r="A1270" s="90" t="s">
        <v>216</v>
      </c>
      <c r="B1270" s="87">
        <v>45931</v>
      </c>
      <c r="C1270" t="s">
        <v>3108</v>
      </c>
      <c r="D1270" t="s">
        <v>2110</v>
      </c>
      <c r="E1270" t="s">
        <v>3095</v>
      </c>
      <c r="F1270" t="s">
        <v>986</v>
      </c>
      <c r="G1270" t="s">
        <v>2125</v>
      </c>
      <c r="H1270" t="s">
        <v>470</v>
      </c>
      <c r="I1270" t="s">
        <v>487</v>
      </c>
      <c r="J1270">
        <v>2883.24</v>
      </c>
    </row>
    <row r="1271" spans="1:10">
      <c r="A1271" s="90" t="s">
        <v>216</v>
      </c>
      <c r="B1271" s="87">
        <v>45931</v>
      </c>
      <c r="C1271" t="s">
        <v>3108</v>
      </c>
      <c r="D1271" t="s">
        <v>2110</v>
      </c>
      <c r="E1271" t="s">
        <v>3095</v>
      </c>
      <c r="F1271" t="s">
        <v>986</v>
      </c>
      <c r="G1271" t="s">
        <v>182</v>
      </c>
      <c r="H1271" t="s">
        <v>470</v>
      </c>
      <c r="I1271" t="s">
        <v>487</v>
      </c>
      <c r="J1271">
        <v>2883.24</v>
      </c>
    </row>
    <row r="1272" spans="1:10">
      <c r="A1272" s="90" t="s">
        <v>216</v>
      </c>
      <c r="B1272" s="87">
        <v>45931</v>
      </c>
      <c r="C1272" t="s">
        <v>849</v>
      </c>
      <c r="D1272" t="s">
        <v>2110</v>
      </c>
      <c r="E1272" t="s">
        <v>512</v>
      </c>
      <c r="F1272" t="s">
        <v>850</v>
      </c>
      <c r="G1272" t="s">
        <v>474</v>
      </c>
      <c r="H1272" t="s">
        <v>470</v>
      </c>
      <c r="I1272" t="s">
        <v>475</v>
      </c>
      <c r="J1272">
        <v>50142.400000000001</v>
      </c>
    </row>
    <row r="1273" spans="1:10">
      <c r="A1273" s="90" t="s">
        <v>216</v>
      </c>
      <c r="B1273" s="87">
        <v>45931</v>
      </c>
      <c r="C1273" t="s">
        <v>2454</v>
      </c>
      <c r="D1273" t="s">
        <v>2110</v>
      </c>
      <c r="E1273" t="s">
        <v>480</v>
      </c>
      <c r="F1273" t="s">
        <v>518</v>
      </c>
      <c r="G1273" t="s">
        <v>71</v>
      </c>
      <c r="H1273" t="s">
        <v>470</v>
      </c>
      <c r="I1273" t="s">
        <v>475</v>
      </c>
      <c r="J1273">
        <v>10000</v>
      </c>
    </row>
    <row r="1274" spans="1:10">
      <c r="A1274" s="90" t="s">
        <v>216</v>
      </c>
      <c r="B1274" s="87">
        <v>45931</v>
      </c>
      <c r="C1274" t="s">
        <v>3109</v>
      </c>
      <c r="D1274" t="s">
        <v>2110</v>
      </c>
      <c r="E1274" t="s">
        <v>477</v>
      </c>
      <c r="F1274" t="s">
        <v>270</v>
      </c>
      <c r="G1274" t="s">
        <v>74</v>
      </c>
      <c r="H1274" t="s">
        <v>470</v>
      </c>
      <c r="I1274" t="s">
        <v>471</v>
      </c>
      <c r="J1274">
        <v>250</v>
      </c>
    </row>
    <row r="1275" spans="1:10">
      <c r="A1275" s="90" t="s">
        <v>216</v>
      </c>
      <c r="B1275" s="87">
        <v>45931</v>
      </c>
      <c r="C1275" t="s">
        <v>3110</v>
      </c>
      <c r="D1275" t="s">
        <v>2110</v>
      </c>
      <c r="E1275" t="s">
        <v>2262</v>
      </c>
      <c r="F1275" t="s">
        <v>3111</v>
      </c>
      <c r="G1275" t="s">
        <v>73</v>
      </c>
      <c r="H1275" t="s">
        <v>3112</v>
      </c>
      <c r="I1275" t="s">
        <v>796</v>
      </c>
      <c r="J1275">
        <v>633.01</v>
      </c>
    </row>
    <row r="1276" spans="1:10">
      <c r="A1276" s="90" t="s">
        <v>216</v>
      </c>
      <c r="B1276" s="87">
        <v>45931</v>
      </c>
      <c r="C1276" t="s">
        <v>3113</v>
      </c>
      <c r="D1276" t="s">
        <v>2110</v>
      </c>
      <c r="E1276" t="s">
        <v>477</v>
      </c>
      <c r="F1276" t="s">
        <v>2273</v>
      </c>
      <c r="G1276" t="s">
        <v>2269</v>
      </c>
      <c r="H1276" t="s">
        <v>3114</v>
      </c>
      <c r="I1276" t="s">
        <v>471</v>
      </c>
      <c r="J1276">
        <v>10125</v>
      </c>
    </row>
    <row r="1277" spans="1:10">
      <c r="A1277" s="90" t="s">
        <v>216</v>
      </c>
      <c r="B1277" s="87">
        <v>45931</v>
      </c>
      <c r="C1277" t="s">
        <v>3113</v>
      </c>
      <c r="D1277" t="s">
        <v>2110</v>
      </c>
      <c r="E1277" t="s">
        <v>477</v>
      </c>
      <c r="F1277" t="s">
        <v>2273</v>
      </c>
      <c r="G1277" t="s">
        <v>2271</v>
      </c>
      <c r="H1277" t="s">
        <v>3114</v>
      </c>
      <c r="I1277" t="s">
        <v>471</v>
      </c>
      <c r="J1277">
        <v>233.69</v>
      </c>
    </row>
    <row r="1278" spans="1:10">
      <c r="A1278" s="90" t="s">
        <v>216</v>
      </c>
      <c r="B1278" s="87">
        <v>45931</v>
      </c>
      <c r="C1278" t="s">
        <v>2275</v>
      </c>
      <c r="D1278" t="s">
        <v>2110</v>
      </c>
      <c r="E1278" t="s">
        <v>477</v>
      </c>
      <c r="F1278" t="s">
        <v>518</v>
      </c>
      <c r="G1278" t="s">
        <v>74</v>
      </c>
      <c r="H1278" t="s">
        <v>470</v>
      </c>
      <c r="I1278" t="s">
        <v>471</v>
      </c>
      <c r="J1278">
        <v>1.64</v>
      </c>
    </row>
    <row r="1279" spans="1:10">
      <c r="A1279" s="90" t="s">
        <v>216</v>
      </c>
      <c r="B1279" s="87">
        <v>45931</v>
      </c>
      <c r="C1279" t="s">
        <v>2275</v>
      </c>
      <c r="D1279" t="s">
        <v>2110</v>
      </c>
      <c r="E1279" t="s">
        <v>477</v>
      </c>
      <c r="F1279" t="s">
        <v>518</v>
      </c>
      <c r="G1279" t="s">
        <v>74</v>
      </c>
      <c r="H1279" t="s">
        <v>470</v>
      </c>
      <c r="I1279" t="s">
        <v>471</v>
      </c>
      <c r="J1279">
        <v>15</v>
      </c>
    </row>
    <row r="1280" spans="1:10">
      <c r="A1280" s="90" t="s">
        <v>216</v>
      </c>
      <c r="B1280" s="87">
        <v>45931</v>
      </c>
      <c r="C1280" t="s">
        <v>517</v>
      </c>
      <c r="D1280" t="s">
        <v>2110</v>
      </c>
      <c r="E1280" t="s">
        <v>512</v>
      </c>
      <c r="F1280" t="s">
        <v>518</v>
      </c>
      <c r="G1280" t="s">
        <v>474</v>
      </c>
      <c r="H1280" t="s">
        <v>470</v>
      </c>
      <c r="I1280" t="s">
        <v>475</v>
      </c>
      <c r="J1280">
        <v>36309.199999999997</v>
      </c>
    </row>
    <row r="1281" spans="1:10">
      <c r="A1281" s="90" t="s">
        <v>216</v>
      </c>
      <c r="B1281" s="87">
        <v>45931</v>
      </c>
      <c r="C1281" t="s">
        <v>2275</v>
      </c>
      <c r="D1281" t="s">
        <v>2110</v>
      </c>
      <c r="E1281" t="s">
        <v>477</v>
      </c>
      <c r="F1281" t="s">
        <v>518</v>
      </c>
      <c r="G1281" t="s">
        <v>74</v>
      </c>
      <c r="H1281" t="s">
        <v>470</v>
      </c>
      <c r="I1281" t="s">
        <v>471</v>
      </c>
      <c r="J1281">
        <v>10</v>
      </c>
    </row>
    <row r="1282" spans="1:10">
      <c r="A1282" s="90" t="s">
        <v>216</v>
      </c>
      <c r="B1282" s="87">
        <v>45932</v>
      </c>
      <c r="C1282" t="s">
        <v>2876</v>
      </c>
      <c r="D1282" t="s">
        <v>2110</v>
      </c>
      <c r="E1282" t="s">
        <v>1756</v>
      </c>
      <c r="F1282" t="s">
        <v>802</v>
      </c>
      <c r="G1282" t="s">
        <v>67</v>
      </c>
      <c r="H1282" t="s">
        <v>470</v>
      </c>
      <c r="I1282" t="s">
        <v>796</v>
      </c>
      <c r="J1282">
        <v>573.54</v>
      </c>
    </row>
    <row r="1283" spans="1:10">
      <c r="A1283" s="90" t="s">
        <v>216</v>
      </c>
      <c r="B1283" s="87">
        <v>45932</v>
      </c>
      <c r="C1283" t="s">
        <v>3115</v>
      </c>
      <c r="D1283" t="s">
        <v>2110</v>
      </c>
      <c r="E1283" t="s">
        <v>1002</v>
      </c>
      <c r="F1283" t="s">
        <v>788</v>
      </c>
      <c r="G1283" t="s">
        <v>2115</v>
      </c>
      <c r="H1283" t="s">
        <v>470</v>
      </c>
      <c r="I1283" t="s">
        <v>796</v>
      </c>
      <c r="J1283">
        <v>450</v>
      </c>
    </row>
    <row r="1284" spans="1:10">
      <c r="A1284" s="90" t="s">
        <v>216</v>
      </c>
      <c r="B1284" s="87">
        <v>45932</v>
      </c>
      <c r="C1284" t="s">
        <v>3115</v>
      </c>
      <c r="D1284" t="s">
        <v>2110</v>
      </c>
      <c r="E1284" t="s">
        <v>1002</v>
      </c>
      <c r="F1284" t="s">
        <v>788</v>
      </c>
      <c r="G1284" t="s">
        <v>223</v>
      </c>
      <c r="H1284" t="s">
        <v>470</v>
      </c>
      <c r="I1284" t="s">
        <v>796</v>
      </c>
      <c r="J1284">
        <v>1247.5999999999999</v>
      </c>
    </row>
    <row r="1285" spans="1:10">
      <c r="A1285" s="90" t="s">
        <v>216</v>
      </c>
      <c r="B1285" s="87">
        <v>45932</v>
      </c>
      <c r="C1285" t="s">
        <v>3116</v>
      </c>
      <c r="D1285" t="s">
        <v>2110</v>
      </c>
      <c r="E1285" t="s">
        <v>3117</v>
      </c>
      <c r="F1285" t="s">
        <v>879</v>
      </c>
      <c r="G1285" t="s">
        <v>2125</v>
      </c>
      <c r="H1285" t="s">
        <v>470</v>
      </c>
      <c r="I1285" t="s">
        <v>487</v>
      </c>
      <c r="J1285">
        <v>6573</v>
      </c>
    </row>
    <row r="1286" spans="1:10">
      <c r="A1286" s="90" t="s">
        <v>216</v>
      </c>
      <c r="B1286" s="87">
        <v>45932</v>
      </c>
      <c r="C1286" t="s">
        <v>3118</v>
      </c>
      <c r="D1286" t="s">
        <v>2110</v>
      </c>
      <c r="E1286" t="s">
        <v>3119</v>
      </c>
      <c r="F1286" t="s">
        <v>3120</v>
      </c>
      <c r="G1286" t="s">
        <v>2125</v>
      </c>
      <c r="H1286" t="s">
        <v>470</v>
      </c>
      <c r="I1286" t="s">
        <v>487</v>
      </c>
      <c r="J1286">
        <v>5680</v>
      </c>
    </row>
    <row r="1287" spans="1:10">
      <c r="A1287" s="90" t="s">
        <v>216</v>
      </c>
      <c r="B1287" s="87">
        <v>45932</v>
      </c>
      <c r="C1287" t="s">
        <v>511</v>
      </c>
      <c r="D1287" t="s">
        <v>2110</v>
      </c>
      <c r="E1287" t="s">
        <v>512</v>
      </c>
      <c r="F1287" t="s">
        <v>518</v>
      </c>
      <c r="G1287" t="s">
        <v>474</v>
      </c>
      <c r="H1287" t="s">
        <v>470</v>
      </c>
      <c r="I1287" t="s">
        <v>475</v>
      </c>
      <c r="J1287">
        <v>100000</v>
      </c>
    </row>
    <row r="1288" spans="1:10">
      <c r="A1288" s="90" t="s">
        <v>216</v>
      </c>
      <c r="B1288" s="87">
        <v>45932</v>
      </c>
      <c r="C1288" t="s">
        <v>3121</v>
      </c>
      <c r="D1288" t="s">
        <v>2110</v>
      </c>
      <c r="E1288" t="s">
        <v>812</v>
      </c>
      <c r="F1288" t="s">
        <v>283</v>
      </c>
      <c r="G1288" t="s">
        <v>2213</v>
      </c>
      <c r="H1288" t="s">
        <v>470</v>
      </c>
      <c r="I1288" t="s">
        <v>796</v>
      </c>
      <c r="J1288">
        <v>23548.77</v>
      </c>
    </row>
    <row r="1289" spans="1:10">
      <c r="A1289" s="90" t="s">
        <v>216</v>
      </c>
      <c r="B1289" s="87">
        <v>45932</v>
      </c>
      <c r="C1289" t="s">
        <v>2275</v>
      </c>
      <c r="D1289" t="s">
        <v>2110</v>
      </c>
      <c r="E1289" t="s">
        <v>477</v>
      </c>
      <c r="F1289" t="s">
        <v>518</v>
      </c>
      <c r="G1289" t="s">
        <v>74</v>
      </c>
      <c r="H1289" t="s">
        <v>470</v>
      </c>
      <c r="I1289" t="s">
        <v>471</v>
      </c>
      <c r="J1289">
        <v>20</v>
      </c>
    </row>
    <row r="1290" spans="1:10">
      <c r="A1290" s="90" t="s">
        <v>216</v>
      </c>
      <c r="B1290" s="87">
        <v>45932</v>
      </c>
      <c r="C1290" t="s">
        <v>517</v>
      </c>
      <c r="D1290" t="s">
        <v>2110</v>
      </c>
      <c r="E1290" t="s">
        <v>512</v>
      </c>
      <c r="F1290" t="s">
        <v>518</v>
      </c>
      <c r="G1290" t="s">
        <v>474</v>
      </c>
      <c r="H1290" t="s">
        <v>470</v>
      </c>
      <c r="I1290" t="s">
        <v>475</v>
      </c>
      <c r="J1290">
        <v>15064.54</v>
      </c>
    </row>
    <row r="1291" spans="1:10">
      <c r="A1291" s="90" t="s">
        <v>216</v>
      </c>
      <c r="B1291" s="87">
        <v>45933</v>
      </c>
      <c r="C1291" t="s">
        <v>3122</v>
      </c>
      <c r="D1291" t="s">
        <v>2110</v>
      </c>
      <c r="E1291" t="s">
        <v>3091</v>
      </c>
      <c r="F1291" t="s">
        <v>895</v>
      </c>
      <c r="G1291" t="s">
        <v>2125</v>
      </c>
      <c r="H1291" t="s">
        <v>470</v>
      </c>
      <c r="I1291" t="s">
        <v>487</v>
      </c>
      <c r="J1291">
        <v>4973.28</v>
      </c>
    </row>
    <row r="1292" spans="1:10">
      <c r="A1292" s="90" t="s">
        <v>216</v>
      </c>
      <c r="B1292" s="87">
        <v>45933</v>
      </c>
      <c r="C1292" t="s">
        <v>3123</v>
      </c>
      <c r="D1292" t="s">
        <v>2110</v>
      </c>
      <c r="E1292" t="s">
        <v>3124</v>
      </c>
      <c r="F1292" t="s">
        <v>899</v>
      </c>
      <c r="G1292" t="s">
        <v>2125</v>
      </c>
      <c r="H1292" t="s">
        <v>470</v>
      </c>
      <c r="I1292" t="s">
        <v>487</v>
      </c>
      <c r="J1292">
        <v>10756.48</v>
      </c>
    </row>
    <row r="1293" spans="1:10">
      <c r="A1293" s="90" t="s">
        <v>216</v>
      </c>
      <c r="B1293" s="87">
        <v>45933</v>
      </c>
      <c r="C1293" t="s">
        <v>2275</v>
      </c>
      <c r="D1293" t="s">
        <v>2110</v>
      </c>
      <c r="E1293" t="s">
        <v>477</v>
      </c>
      <c r="F1293" t="s">
        <v>518</v>
      </c>
      <c r="G1293" t="s">
        <v>74</v>
      </c>
      <c r="H1293" t="s">
        <v>470</v>
      </c>
      <c r="I1293" t="s">
        <v>471</v>
      </c>
      <c r="J1293">
        <v>3.28</v>
      </c>
    </row>
    <row r="1294" spans="1:10">
      <c r="A1294" s="90" t="s">
        <v>216</v>
      </c>
      <c r="B1294" s="87">
        <v>45933</v>
      </c>
      <c r="C1294" t="s">
        <v>3125</v>
      </c>
      <c r="D1294" t="s">
        <v>2110</v>
      </c>
      <c r="E1294" t="s">
        <v>477</v>
      </c>
      <c r="F1294" t="s">
        <v>518</v>
      </c>
      <c r="G1294" t="s">
        <v>74</v>
      </c>
      <c r="H1294" t="s">
        <v>470</v>
      </c>
      <c r="I1294" t="s">
        <v>471</v>
      </c>
      <c r="J1294">
        <v>50</v>
      </c>
    </row>
    <row r="1295" spans="1:10">
      <c r="A1295" s="90" t="s">
        <v>216</v>
      </c>
      <c r="B1295" s="87">
        <v>45933</v>
      </c>
      <c r="C1295" t="s">
        <v>854</v>
      </c>
      <c r="D1295" t="s">
        <v>2110</v>
      </c>
      <c r="E1295" t="s">
        <v>512</v>
      </c>
      <c r="F1295" t="s">
        <v>855</v>
      </c>
      <c r="G1295" t="s">
        <v>474</v>
      </c>
      <c r="H1295" t="s">
        <v>470</v>
      </c>
      <c r="I1295" t="s">
        <v>475</v>
      </c>
      <c r="J1295">
        <v>67784</v>
      </c>
    </row>
    <row r="1296" spans="1:10">
      <c r="A1296" s="90" t="s">
        <v>216</v>
      </c>
      <c r="B1296" s="87">
        <v>45933</v>
      </c>
      <c r="C1296" t="s">
        <v>856</v>
      </c>
      <c r="D1296" t="s">
        <v>2110</v>
      </c>
      <c r="E1296" t="s">
        <v>512</v>
      </c>
      <c r="F1296" t="s">
        <v>857</v>
      </c>
      <c r="G1296" t="s">
        <v>474</v>
      </c>
      <c r="H1296" t="s">
        <v>470</v>
      </c>
      <c r="I1296" t="s">
        <v>475</v>
      </c>
      <c r="J1296">
        <v>63373.599999999999</v>
      </c>
    </row>
    <row r="1297" spans="1:10">
      <c r="A1297" s="90" t="s">
        <v>216</v>
      </c>
      <c r="B1297" s="87">
        <v>45933</v>
      </c>
      <c r="C1297" t="s">
        <v>517</v>
      </c>
      <c r="D1297" t="s">
        <v>2110</v>
      </c>
      <c r="E1297" t="s">
        <v>512</v>
      </c>
      <c r="F1297" t="s">
        <v>518</v>
      </c>
      <c r="G1297" t="s">
        <v>474</v>
      </c>
      <c r="H1297" t="s">
        <v>470</v>
      </c>
      <c r="I1297" t="s">
        <v>475</v>
      </c>
      <c r="J1297">
        <v>116162.48</v>
      </c>
    </row>
    <row r="1298" spans="1:10">
      <c r="A1298" s="90" t="s">
        <v>216</v>
      </c>
      <c r="B1298" s="87">
        <v>45936</v>
      </c>
      <c r="C1298" t="s">
        <v>3126</v>
      </c>
      <c r="D1298" t="s">
        <v>2110</v>
      </c>
      <c r="E1298" t="s">
        <v>3097</v>
      </c>
      <c r="F1298" t="s">
        <v>897</v>
      </c>
      <c r="G1298" t="s">
        <v>2125</v>
      </c>
      <c r="H1298" t="s">
        <v>470</v>
      </c>
      <c r="I1298" t="s">
        <v>487</v>
      </c>
      <c r="J1298">
        <v>2664.84</v>
      </c>
    </row>
    <row r="1299" spans="1:10">
      <c r="A1299" s="90" t="s">
        <v>216</v>
      </c>
      <c r="B1299" s="87">
        <v>45936</v>
      </c>
      <c r="C1299" t="s">
        <v>3127</v>
      </c>
      <c r="D1299" t="s">
        <v>2110</v>
      </c>
      <c r="E1299" t="s">
        <v>3124</v>
      </c>
      <c r="F1299" t="s">
        <v>899</v>
      </c>
      <c r="G1299" t="s">
        <v>2125</v>
      </c>
      <c r="H1299" t="s">
        <v>470</v>
      </c>
      <c r="I1299" t="s">
        <v>487</v>
      </c>
      <c r="J1299">
        <v>4519.92</v>
      </c>
    </row>
    <row r="1300" spans="1:10">
      <c r="A1300" s="90" t="s">
        <v>216</v>
      </c>
      <c r="B1300" s="87">
        <v>45936</v>
      </c>
      <c r="C1300" t="s">
        <v>3128</v>
      </c>
      <c r="D1300" t="s">
        <v>2110</v>
      </c>
      <c r="E1300" t="s">
        <v>2986</v>
      </c>
      <c r="F1300" t="s">
        <v>3129</v>
      </c>
      <c r="G1300" t="s">
        <v>2494</v>
      </c>
      <c r="H1300" t="s">
        <v>470</v>
      </c>
      <c r="I1300" t="s">
        <v>796</v>
      </c>
      <c r="J1300">
        <v>29218.799999999999</v>
      </c>
    </row>
    <row r="1301" spans="1:10">
      <c r="A1301" s="90" t="s">
        <v>216</v>
      </c>
      <c r="B1301" s="87">
        <v>45936</v>
      </c>
      <c r="C1301" t="s">
        <v>3130</v>
      </c>
      <c r="D1301" t="s">
        <v>2110</v>
      </c>
      <c r="E1301" t="s">
        <v>2986</v>
      </c>
      <c r="F1301" t="s">
        <v>3129</v>
      </c>
      <c r="G1301" t="s">
        <v>2494</v>
      </c>
      <c r="H1301" t="s">
        <v>470</v>
      </c>
      <c r="I1301" t="s">
        <v>796</v>
      </c>
      <c r="J1301">
        <v>1680.08</v>
      </c>
    </row>
    <row r="1302" spans="1:10">
      <c r="A1302" s="90" t="s">
        <v>216</v>
      </c>
      <c r="B1302" s="87">
        <v>45936</v>
      </c>
      <c r="C1302" t="s">
        <v>3131</v>
      </c>
      <c r="D1302" t="s">
        <v>2110</v>
      </c>
      <c r="E1302" t="s">
        <v>3132</v>
      </c>
      <c r="F1302" t="s">
        <v>950</v>
      </c>
      <c r="G1302" t="s">
        <v>2125</v>
      </c>
      <c r="H1302" t="s">
        <v>470</v>
      </c>
      <c r="I1302" t="s">
        <v>487</v>
      </c>
      <c r="J1302">
        <v>11329.92</v>
      </c>
    </row>
    <row r="1303" spans="1:10">
      <c r="A1303" s="90" t="s">
        <v>216</v>
      </c>
      <c r="B1303" s="87">
        <v>45936</v>
      </c>
      <c r="C1303" t="s">
        <v>3133</v>
      </c>
      <c r="D1303" t="s">
        <v>2110</v>
      </c>
      <c r="E1303" t="s">
        <v>2277</v>
      </c>
      <c r="F1303" t="s">
        <v>3134</v>
      </c>
      <c r="G1303" t="s">
        <v>65</v>
      </c>
      <c r="H1303" t="s">
        <v>2994</v>
      </c>
      <c r="I1303" t="s">
        <v>796</v>
      </c>
      <c r="J1303">
        <v>183</v>
      </c>
    </row>
    <row r="1304" spans="1:10">
      <c r="A1304" s="90" t="s">
        <v>216</v>
      </c>
      <c r="B1304" s="87">
        <v>45936</v>
      </c>
      <c r="C1304" t="s">
        <v>3135</v>
      </c>
      <c r="D1304" t="s">
        <v>2110</v>
      </c>
      <c r="E1304" t="s">
        <v>3136</v>
      </c>
      <c r="F1304" t="s">
        <v>864</v>
      </c>
      <c r="G1304" t="s">
        <v>2112</v>
      </c>
      <c r="H1304" t="s">
        <v>470</v>
      </c>
      <c r="I1304" t="s">
        <v>487</v>
      </c>
      <c r="J1304">
        <v>156709.16</v>
      </c>
    </row>
    <row r="1305" spans="1:10">
      <c r="A1305" s="90" t="s">
        <v>216</v>
      </c>
      <c r="B1305" s="87">
        <v>45936</v>
      </c>
      <c r="C1305" t="s">
        <v>3137</v>
      </c>
      <c r="D1305" t="s">
        <v>2110</v>
      </c>
      <c r="E1305" t="s">
        <v>3136</v>
      </c>
      <c r="F1305" t="s">
        <v>866</v>
      </c>
      <c r="G1305" t="s">
        <v>2112</v>
      </c>
      <c r="H1305" t="s">
        <v>470</v>
      </c>
      <c r="I1305" t="s">
        <v>487</v>
      </c>
      <c r="J1305">
        <v>156889.17000000001</v>
      </c>
    </row>
    <row r="1306" spans="1:10">
      <c r="A1306" s="90" t="s">
        <v>216</v>
      </c>
      <c r="B1306" s="87">
        <v>45936</v>
      </c>
      <c r="C1306" t="s">
        <v>2275</v>
      </c>
      <c r="D1306" t="s">
        <v>2110</v>
      </c>
      <c r="E1306" t="s">
        <v>477</v>
      </c>
      <c r="F1306" t="s">
        <v>518</v>
      </c>
      <c r="G1306" t="s">
        <v>74</v>
      </c>
      <c r="H1306" t="s">
        <v>470</v>
      </c>
      <c r="I1306" t="s">
        <v>471</v>
      </c>
      <c r="J1306">
        <v>70</v>
      </c>
    </row>
    <row r="1307" spans="1:10">
      <c r="A1307" s="90" t="s">
        <v>216</v>
      </c>
      <c r="B1307" s="87">
        <v>45936</v>
      </c>
      <c r="C1307" t="s">
        <v>511</v>
      </c>
      <c r="D1307" t="s">
        <v>2110</v>
      </c>
      <c r="E1307" t="s">
        <v>512</v>
      </c>
      <c r="F1307" t="s">
        <v>518</v>
      </c>
      <c r="G1307" t="s">
        <v>474</v>
      </c>
      <c r="H1307" t="s">
        <v>470</v>
      </c>
      <c r="I1307" t="s">
        <v>475</v>
      </c>
      <c r="J1307">
        <v>8486.6299999999992</v>
      </c>
    </row>
    <row r="1308" spans="1:10">
      <c r="A1308" s="90" t="s">
        <v>216</v>
      </c>
      <c r="B1308" s="87">
        <v>45936</v>
      </c>
      <c r="C1308" t="s">
        <v>2275</v>
      </c>
      <c r="D1308" t="s">
        <v>2110</v>
      </c>
      <c r="E1308" t="s">
        <v>2393</v>
      </c>
      <c r="F1308" t="s">
        <v>518</v>
      </c>
      <c r="G1308" t="s">
        <v>74</v>
      </c>
      <c r="H1308" t="s">
        <v>470</v>
      </c>
      <c r="I1308" t="s">
        <v>471</v>
      </c>
      <c r="J1308">
        <v>40</v>
      </c>
    </row>
    <row r="1309" spans="1:10">
      <c r="A1309" s="90" t="s">
        <v>216</v>
      </c>
      <c r="B1309" s="87">
        <v>45937</v>
      </c>
      <c r="C1309" t="s">
        <v>3138</v>
      </c>
      <c r="D1309" t="s">
        <v>2110</v>
      </c>
      <c r="E1309" t="s">
        <v>3139</v>
      </c>
      <c r="F1309" t="s">
        <v>954</v>
      </c>
      <c r="G1309" t="s">
        <v>2125</v>
      </c>
      <c r="H1309" t="s">
        <v>470</v>
      </c>
      <c r="I1309" t="s">
        <v>487</v>
      </c>
      <c r="J1309">
        <v>8641.92</v>
      </c>
    </row>
    <row r="1310" spans="1:10">
      <c r="A1310" s="90" t="s">
        <v>216</v>
      </c>
      <c r="B1310" s="87">
        <v>45937</v>
      </c>
      <c r="C1310" t="s">
        <v>3140</v>
      </c>
      <c r="D1310" t="s">
        <v>2110</v>
      </c>
      <c r="E1310" t="s">
        <v>3141</v>
      </c>
      <c r="F1310" t="s">
        <v>956</v>
      </c>
      <c r="G1310" t="s">
        <v>2125</v>
      </c>
      <c r="H1310" t="s">
        <v>470</v>
      </c>
      <c r="I1310" t="s">
        <v>487</v>
      </c>
      <c r="J1310">
        <v>8032.64</v>
      </c>
    </row>
    <row r="1311" spans="1:10">
      <c r="A1311" s="90" t="s">
        <v>216</v>
      </c>
      <c r="B1311" s="87">
        <v>45937</v>
      </c>
      <c r="C1311" t="s">
        <v>3142</v>
      </c>
      <c r="D1311" t="s">
        <v>2110</v>
      </c>
      <c r="E1311" t="s">
        <v>3143</v>
      </c>
      <c r="F1311" t="s">
        <v>963</v>
      </c>
      <c r="G1311" t="s">
        <v>2125</v>
      </c>
      <c r="H1311" t="s">
        <v>470</v>
      </c>
      <c r="I1311" t="s">
        <v>487</v>
      </c>
      <c r="J1311">
        <v>9409.68</v>
      </c>
    </row>
    <row r="1312" spans="1:10">
      <c r="A1312" s="90" t="s">
        <v>216</v>
      </c>
      <c r="B1312" s="87">
        <v>45937</v>
      </c>
      <c r="C1312" t="s">
        <v>3144</v>
      </c>
      <c r="D1312" t="s">
        <v>2110</v>
      </c>
      <c r="E1312" t="s">
        <v>1667</v>
      </c>
      <c r="F1312" t="s">
        <v>3145</v>
      </c>
      <c r="G1312" t="s">
        <v>2115</v>
      </c>
      <c r="H1312" t="s">
        <v>470</v>
      </c>
      <c r="I1312" t="s">
        <v>475</v>
      </c>
      <c r="J1312">
        <v>1066.3</v>
      </c>
    </row>
    <row r="1313" spans="1:10">
      <c r="A1313" s="90" t="s">
        <v>216</v>
      </c>
      <c r="B1313" s="87">
        <v>45937</v>
      </c>
      <c r="C1313" t="s">
        <v>3144</v>
      </c>
      <c r="D1313" t="s">
        <v>2110</v>
      </c>
      <c r="E1313" t="s">
        <v>1667</v>
      </c>
      <c r="F1313" t="s">
        <v>3145</v>
      </c>
      <c r="G1313" t="s">
        <v>259</v>
      </c>
      <c r="H1313" t="s">
        <v>470</v>
      </c>
      <c r="I1313" t="s">
        <v>475</v>
      </c>
      <c r="J1313">
        <v>5933.81</v>
      </c>
    </row>
    <row r="1314" spans="1:10">
      <c r="A1314" s="90" t="s">
        <v>216</v>
      </c>
      <c r="B1314" s="87">
        <v>45937</v>
      </c>
      <c r="C1314" t="s">
        <v>3144</v>
      </c>
      <c r="D1314" t="s">
        <v>2110</v>
      </c>
      <c r="E1314" t="s">
        <v>1667</v>
      </c>
      <c r="F1314" t="s">
        <v>3145</v>
      </c>
      <c r="G1314" t="s">
        <v>71</v>
      </c>
      <c r="H1314" t="s">
        <v>470</v>
      </c>
      <c r="I1314" t="s">
        <v>475</v>
      </c>
      <c r="J1314">
        <v>368.3</v>
      </c>
    </row>
    <row r="1315" spans="1:10">
      <c r="A1315" s="90" t="s">
        <v>216</v>
      </c>
      <c r="B1315" s="87">
        <v>45937</v>
      </c>
      <c r="C1315" t="s">
        <v>3146</v>
      </c>
      <c r="D1315" t="s">
        <v>2110</v>
      </c>
      <c r="E1315" t="s">
        <v>3147</v>
      </c>
      <c r="F1315" t="s">
        <v>965</v>
      </c>
      <c r="G1315" t="s">
        <v>2125</v>
      </c>
      <c r="H1315" t="s">
        <v>470</v>
      </c>
      <c r="I1315" t="s">
        <v>487</v>
      </c>
      <c r="J1315">
        <v>9243.36</v>
      </c>
    </row>
    <row r="1316" spans="1:10">
      <c r="A1316" s="90" t="s">
        <v>216</v>
      </c>
      <c r="B1316" s="87">
        <v>45937</v>
      </c>
      <c r="C1316" t="s">
        <v>2885</v>
      </c>
      <c r="D1316" t="s">
        <v>2110</v>
      </c>
      <c r="E1316" t="s">
        <v>2886</v>
      </c>
      <c r="F1316" t="s">
        <v>518</v>
      </c>
      <c r="G1316" t="s">
        <v>285</v>
      </c>
      <c r="H1316" t="s">
        <v>3148</v>
      </c>
      <c r="I1316" t="s">
        <v>475</v>
      </c>
      <c r="J1316">
        <v>1500</v>
      </c>
    </row>
    <row r="1317" spans="1:10">
      <c r="A1317" s="90" t="s">
        <v>216</v>
      </c>
      <c r="B1317" s="87">
        <v>45937</v>
      </c>
      <c r="C1317" t="s">
        <v>3149</v>
      </c>
      <c r="D1317" t="s">
        <v>2110</v>
      </c>
      <c r="E1317" t="s">
        <v>3150</v>
      </c>
      <c r="F1317" t="s">
        <v>348</v>
      </c>
      <c r="G1317" t="s">
        <v>2213</v>
      </c>
      <c r="H1317" t="s">
        <v>470</v>
      </c>
      <c r="I1317" t="s">
        <v>487</v>
      </c>
      <c r="J1317">
        <v>35000</v>
      </c>
    </row>
    <row r="1318" spans="1:10">
      <c r="A1318" s="90" t="s">
        <v>216</v>
      </c>
      <c r="B1318" s="87">
        <v>45937</v>
      </c>
      <c r="C1318" t="s">
        <v>3151</v>
      </c>
      <c r="D1318" t="s">
        <v>2110</v>
      </c>
      <c r="E1318" t="s">
        <v>812</v>
      </c>
      <c r="F1318" t="s">
        <v>270</v>
      </c>
      <c r="G1318" t="s">
        <v>219</v>
      </c>
      <c r="H1318" t="s">
        <v>470</v>
      </c>
      <c r="I1318" t="s">
        <v>487</v>
      </c>
      <c r="J1318">
        <v>-41524.449999999997</v>
      </c>
    </row>
    <row r="1319" spans="1:10">
      <c r="A1319" s="90" t="s">
        <v>216</v>
      </c>
      <c r="B1319" s="87">
        <v>45937</v>
      </c>
      <c r="C1319" t="s">
        <v>2275</v>
      </c>
      <c r="D1319" t="s">
        <v>2110</v>
      </c>
      <c r="E1319" t="s">
        <v>477</v>
      </c>
      <c r="F1319" t="s">
        <v>518</v>
      </c>
      <c r="G1319" t="s">
        <v>74</v>
      </c>
      <c r="H1319" t="s">
        <v>470</v>
      </c>
      <c r="I1319" t="s">
        <v>471</v>
      </c>
      <c r="J1319">
        <v>50</v>
      </c>
    </row>
    <row r="1320" spans="1:10">
      <c r="A1320" s="90" t="s">
        <v>216</v>
      </c>
      <c r="B1320" s="87">
        <v>45937</v>
      </c>
      <c r="C1320" t="s">
        <v>517</v>
      </c>
      <c r="D1320" t="s">
        <v>2110</v>
      </c>
      <c r="E1320" t="s">
        <v>512</v>
      </c>
      <c r="F1320" t="s">
        <v>518</v>
      </c>
      <c r="G1320" t="s">
        <v>474</v>
      </c>
      <c r="H1320" t="s">
        <v>470</v>
      </c>
      <c r="I1320" t="s">
        <v>475</v>
      </c>
      <c r="J1320">
        <v>156441.97</v>
      </c>
    </row>
    <row r="1321" spans="1:10">
      <c r="A1321" s="90" t="s">
        <v>216</v>
      </c>
      <c r="B1321" s="87">
        <v>45938</v>
      </c>
      <c r="C1321" t="s">
        <v>3152</v>
      </c>
      <c r="D1321" t="s">
        <v>2110</v>
      </c>
      <c r="E1321" t="s">
        <v>535</v>
      </c>
      <c r="F1321" t="s">
        <v>2924</v>
      </c>
      <c r="G1321" t="s">
        <v>2112</v>
      </c>
      <c r="H1321" t="s">
        <v>470</v>
      </c>
      <c r="I1321" t="s">
        <v>475</v>
      </c>
      <c r="J1321">
        <v>41626.67</v>
      </c>
    </row>
    <row r="1322" spans="1:10">
      <c r="A1322" s="90" t="s">
        <v>216</v>
      </c>
      <c r="B1322" s="87">
        <v>45938</v>
      </c>
      <c r="C1322" t="s">
        <v>3153</v>
      </c>
      <c r="D1322" t="s">
        <v>2110</v>
      </c>
      <c r="E1322" t="s">
        <v>3132</v>
      </c>
      <c r="F1322" t="s">
        <v>950</v>
      </c>
      <c r="G1322" t="s">
        <v>2125</v>
      </c>
      <c r="H1322" t="s">
        <v>470</v>
      </c>
      <c r="I1322" t="s">
        <v>487</v>
      </c>
      <c r="J1322">
        <v>4765.68</v>
      </c>
    </row>
    <row r="1323" spans="1:10">
      <c r="A1323" s="90" t="s">
        <v>216</v>
      </c>
      <c r="B1323" s="87">
        <v>45938</v>
      </c>
      <c r="C1323" t="s">
        <v>867</v>
      </c>
      <c r="D1323" t="s">
        <v>2110</v>
      </c>
      <c r="E1323" t="s">
        <v>512</v>
      </c>
      <c r="F1323" t="s">
        <v>868</v>
      </c>
      <c r="G1323" t="s">
        <v>474</v>
      </c>
      <c r="H1323" t="s">
        <v>470</v>
      </c>
      <c r="I1323" t="s">
        <v>475</v>
      </c>
      <c r="J1323">
        <v>51563.199999999997</v>
      </c>
    </row>
    <row r="1324" spans="1:10">
      <c r="A1324" s="90" t="s">
        <v>216</v>
      </c>
      <c r="B1324" s="87">
        <v>45938</v>
      </c>
      <c r="C1324" t="s">
        <v>2275</v>
      </c>
      <c r="D1324" t="s">
        <v>2110</v>
      </c>
      <c r="E1324" t="s">
        <v>477</v>
      </c>
      <c r="F1324" t="s">
        <v>518</v>
      </c>
      <c r="G1324" t="s">
        <v>74</v>
      </c>
      <c r="H1324" t="s">
        <v>470</v>
      </c>
      <c r="I1324" t="s">
        <v>471</v>
      </c>
      <c r="J1324">
        <v>1.64</v>
      </c>
    </row>
    <row r="1325" spans="1:10">
      <c r="A1325" s="90" t="s">
        <v>216</v>
      </c>
      <c r="B1325" s="87">
        <v>45938</v>
      </c>
      <c r="C1325" t="s">
        <v>2275</v>
      </c>
      <c r="D1325" t="s">
        <v>2110</v>
      </c>
      <c r="E1325" t="s">
        <v>477</v>
      </c>
      <c r="F1325" t="s">
        <v>518</v>
      </c>
      <c r="G1325" t="s">
        <v>74</v>
      </c>
      <c r="H1325" t="s">
        <v>470</v>
      </c>
      <c r="I1325" t="s">
        <v>471</v>
      </c>
      <c r="J1325">
        <v>30</v>
      </c>
    </row>
    <row r="1326" spans="1:10">
      <c r="A1326" s="90" t="s">
        <v>216</v>
      </c>
      <c r="B1326" s="87">
        <v>45938</v>
      </c>
      <c r="C1326" t="s">
        <v>511</v>
      </c>
      <c r="D1326" t="s">
        <v>2110</v>
      </c>
      <c r="E1326" t="s">
        <v>512</v>
      </c>
      <c r="F1326" t="s">
        <v>518</v>
      </c>
      <c r="G1326" t="s">
        <v>474</v>
      </c>
      <c r="H1326" t="s">
        <v>470</v>
      </c>
      <c r="I1326" t="s">
        <v>475</v>
      </c>
      <c r="J1326">
        <v>12242.29</v>
      </c>
    </row>
    <row r="1327" spans="1:10">
      <c r="A1327" s="90" t="s">
        <v>216</v>
      </c>
      <c r="B1327" s="87">
        <v>45939</v>
      </c>
      <c r="C1327" t="s">
        <v>2275</v>
      </c>
      <c r="D1327" t="s">
        <v>2110</v>
      </c>
      <c r="E1327" t="s">
        <v>477</v>
      </c>
      <c r="F1327" t="s">
        <v>518</v>
      </c>
      <c r="G1327" t="s">
        <v>74</v>
      </c>
      <c r="H1327" t="s">
        <v>470</v>
      </c>
      <c r="I1327" t="s">
        <v>471</v>
      </c>
      <c r="J1327">
        <v>50</v>
      </c>
    </row>
    <row r="1328" spans="1:10">
      <c r="A1328" s="90" t="s">
        <v>216</v>
      </c>
      <c r="B1328" s="87">
        <v>45939</v>
      </c>
      <c r="C1328" t="s">
        <v>517</v>
      </c>
      <c r="D1328" t="s">
        <v>2110</v>
      </c>
      <c r="E1328" t="s">
        <v>512</v>
      </c>
      <c r="F1328" t="s">
        <v>518</v>
      </c>
      <c r="G1328" t="s">
        <v>474</v>
      </c>
      <c r="H1328" t="s">
        <v>470</v>
      </c>
      <c r="I1328" t="s">
        <v>475</v>
      </c>
      <c r="J1328">
        <v>300614.73</v>
      </c>
    </row>
    <row r="1329" spans="1:10">
      <c r="A1329" s="90" t="s">
        <v>216</v>
      </c>
      <c r="B1329" s="87">
        <v>45940</v>
      </c>
      <c r="C1329" t="s">
        <v>3154</v>
      </c>
      <c r="D1329" t="s">
        <v>2110</v>
      </c>
      <c r="E1329" t="s">
        <v>1002</v>
      </c>
      <c r="F1329" t="s">
        <v>778</v>
      </c>
      <c r="G1329" t="s">
        <v>223</v>
      </c>
      <c r="H1329" t="s">
        <v>470</v>
      </c>
      <c r="I1329" t="s">
        <v>796</v>
      </c>
      <c r="J1329">
        <v>1237.5999999999999</v>
      </c>
    </row>
    <row r="1330" spans="1:10">
      <c r="A1330" s="90" t="s">
        <v>216</v>
      </c>
      <c r="B1330" s="87">
        <v>45940</v>
      </c>
      <c r="C1330" t="s">
        <v>3155</v>
      </c>
      <c r="D1330" t="s">
        <v>2110</v>
      </c>
      <c r="E1330" t="s">
        <v>3139</v>
      </c>
      <c r="F1330" t="s">
        <v>954</v>
      </c>
      <c r="G1330" t="s">
        <v>2125</v>
      </c>
      <c r="H1330" t="s">
        <v>470</v>
      </c>
      <c r="I1330" t="s">
        <v>487</v>
      </c>
      <c r="J1330">
        <v>3613.68</v>
      </c>
    </row>
    <row r="1331" spans="1:10">
      <c r="A1331" s="90" t="s">
        <v>216</v>
      </c>
      <c r="B1331" s="87">
        <v>45940</v>
      </c>
      <c r="C1331" t="s">
        <v>3156</v>
      </c>
      <c r="D1331" t="s">
        <v>2110</v>
      </c>
      <c r="E1331" t="s">
        <v>3141</v>
      </c>
      <c r="F1331" t="s">
        <v>956</v>
      </c>
      <c r="G1331" t="s">
        <v>2125</v>
      </c>
      <c r="H1331" t="s">
        <v>470</v>
      </c>
      <c r="I1331" t="s">
        <v>487</v>
      </c>
      <c r="J1331">
        <v>3352.56</v>
      </c>
    </row>
    <row r="1332" spans="1:10">
      <c r="A1332" s="90" t="s">
        <v>216</v>
      </c>
      <c r="B1332" s="87">
        <v>45940</v>
      </c>
      <c r="C1332" t="s">
        <v>3157</v>
      </c>
      <c r="D1332" t="s">
        <v>2110</v>
      </c>
      <c r="E1332" t="s">
        <v>3143</v>
      </c>
      <c r="F1332" t="s">
        <v>963</v>
      </c>
      <c r="G1332" t="s">
        <v>2125</v>
      </c>
      <c r="H1332" t="s">
        <v>470</v>
      </c>
      <c r="I1332" t="s">
        <v>487</v>
      </c>
      <c r="J1332">
        <v>3942.72</v>
      </c>
    </row>
    <row r="1333" spans="1:10">
      <c r="A1333" s="90" t="s">
        <v>216</v>
      </c>
      <c r="B1333" s="87">
        <v>45940</v>
      </c>
      <c r="C1333" t="s">
        <v>3158</v>
      </c>
      <c r="D1333" t="s">
        <v>2110</v>
      </c>
      <c r="E1333" t="s">
        <v>3147</v>
      </c>
      <c r="F1333" t="s">
        <v>965</v>
      </c>
      <c r="G1333" t="s">
        <v>2125</v>
      </c>
      <c r="H1333" t="s">
        <v>470</v>
      </c>
      <c r="I1333" t="s">
        <v>487</v>
      </c>
      <c r="J1333">
        <v>3871.44</v>
      </c>
    </row>
    <row r="1334" spans="1:10">
      <c r="A1334" s="90" t="s">
        <v>216</v>
      </c>
      <c r="B1334" s="87">
        <v>45940</v>
      </c>
      <c r="C1334" t="s">
        <v>3016</v>
      </c>
      <c r="D1334" t="s">
        <v>2110</v>
      </c>
      <c r="E1334" t="s">
        <v>2900</v>
      </c>
      <c r="F1334" t="s">
        <v>518</v>
      </c>
      <c r="G1334" t="s">
        <v>302</v>
      </c>
      <c r="H1334" t="s">
        <v>3159</v>
      </c>
      <c r="I1334" t="s">
        <v>796</v>
      </c>
      <c r="J1334">
        <v>2500</v>
      </c>
    </row>
    <row r="1335" spans="1:10">
      <c r="A1335" s="90" t="s">
        <v>216</v>
      </c>
      <c r="B1335" s="87">
        <v>45940</v>
      </c>
      <c r="C1335" t="s">
        <v>2295</v>
      </c>
      <c r="D1335" t="s">
        <v>2110</v>
      </c>
      <c r="E1335" t="s">
        <v>477</v>
      </c>
      <c r="F1335" t="s">
        <v>518</v>
      </c>
      <c r="G1335" t="s">
        <v>2295</v>
      </c>
      <c r="H1335" t="s">
        <v>470</v>
      </c>
      <c r="I1335" t="s">
        <v>471</v>
      </c>
      <c r="J1335">
        <v>2474.29</v>
      </c>
    </row>
    <row r="1336" spans="1:10">
      <c r="A1336" s="90" t="s">
        <v>216</v>
      </c>
      <c r="B1336" s="87">
        <v>45940</v>
      </c>
      <c r="C1336" t="s">
        <v>2454</v>
      </c>
      <c r="D1336" t="s">
        <v>2110</v>
      </c>
      <c r="E1336" t="s">
        <v>480</v>
      </c>
      <c r="F1336" t="s">
        <v>518</v>
      </c>
      <c r="G1336" t="s">
        <v>71</v>
      </c>
      <c r="H1336" t="s">
        <v>470</v>
      </c>
      <c r="I1336" t="s">
        <v>475</v>
      </c>
      <c r="J1336">
        <v>20000</v>
      </c>
    </row>
    <row r="1337" spans="1:10">
      <c r="A1337" s="90" t="s">
        <v>216</v>
      </c>
      <c r="B1337" s="87">
        <v>45940</v>
      </c>
      <c r="C1337" t="s">
        <v>3160</v>
      </c>
      <c r="D1337" t="s">
        <v>2110</v>
      </c>
      <c r="E1337" t="s">
        <v>2702</v>
      </c>
      <c r="F1337" t="s">
        <v>3161</v>
      </c>
      <c r="G1337" t="s">
        <v>63</v>
      </c>
      <c r="H1337" t="s">
        <v>470</v>
      </c>
      <c r="I1337" t="s">
        <v>796</v>
      </c>
      <c r="J1337">
        <v>896.95</v>
      </c>
    </row>
    <row r="1338" spans="1:10">
      <c r="A1338" s="90" t="s">
        <v>216</v>
      </c>
      <c r="B1338" s="87">
        <v>45940</v>
      </c>
      <c r="C1338" t="s">
        <v>2895</v>
      </c>
      <c r="D1338" t="s">
        <v>2110</v>
      </c>
      <c r="E1338" t="s">
        <v>477</v>
      </c>
      <c r="F1338" t="s">
        <v>514</v>
      </c>
      <c r="G1338" t="s">
        <v>515</v>
      </c>
      <c r="H1338" t="s">
        <v>3162</v>
      </c>
      <c r="I1338" t="s">
        <v>471</v>
      </c>
      <c r="J1338">
        <v>43571.43</v>
      </c>
    </row>
    <row r="1339" spans="1:10">
      <c r="A1339" s="90" t="s">
        <v>216</v>
      </c>
      <c r="B1339" s="87">
        <v>45940</v>
      </c>
      <c r="C1339" t="s">
        <v>2895</v>
      </c>
      <c r="D1339" t="s">
        <v>2110</v>
      </c>
      <c r="E1339" t="s">
        <v>477</v>
      </c>
      <c r="F1339" t="s">
        <v>514</v>
      </c>
      <c r="G1339" t="s">
        <v>69</v>
      </c>
      <c r="H1339" t="s">
        <v>3162</v>
      </c>
      <c r="I1339" t="s">
        <v>471</v>
      </c>
      <c r="J1339">
        <v>33462.86</v>
      </c>
    </row>
    <row r="1340" spans="1:10">
      <c r="A1340" s="90" t="s">
        <v>216</v>
      </c>
      <c r="B1340" s="87">
        <v>45940</v>
      </c>
      <c r="C1340" t="s">
        <v>2275</v>
      </c>
      <c r="D1340" t="s">
        <v>2110</v>
      </c>
      <c r="E1340" t="s">
        <v>477</v>
      </c>
      <c r="F1340" t="s">
        <v>518</v>
      </c>
      <c r="G1340" t="s">
        <v>74</v>
      </c>
      <c r="H1340" t="s">
        <v>470</v>
      </c>
      <c r="I1340" t="s">
        <v>471</v>
      </c>
      <c r="J1340">
        <v>95</v>
      </c>
    </row>
    <row r="1341" spans="1:10">
      <c r="A1341" s="90" t="s">
        <v>216</v>
      </c>
      <c r="B1341" s="87">
        <v>45940</v>
      </c>
      <c r="C1341" t="s">
        <v>2479</v>
      </c>
      <c r="D1341" t="s">
        <v>2110</v>
      </c>
      <c r="E1341" t="s">
        <v>477</v>
      </c>
      <c r="F1341" t="s">
        <v>518</v>
      </c>
      <c r="G1341" t="s">
        <v>74</v>
      </c>
      <c r="H1341" t="s">
        <v>470</v>
      </c>
      <c r="I1341" t="s">
        <v>471</v>
      </c>
      <c r="J1341">
        <v>50</v>
      </c>
    </row>
    <row r="1342" spans="1:10">
      <c r="A1342" s="90" t="s">
        <v>216</v>
      </c>
      <c r="B1342" s="87">
        <v>45940</v>
      </c>
      <c r="C1342" t="s">
        <v>511</v>
      </c>
      <c r="D1342" t="s">
        <v>2110</v>
      </c>
      <c r="E1342" t="s">
        <v>512</v>
      </c>
      <c r="F1342" t="s">
        <v>518</v>
      </c>
      <c r="G1342" t="s">
        <v>474</v>
      </c>
      <c r="H1342" t="s">
        <v>470</v>
      </c>
      <c r="I1342" t="s">
        <v>475</v>
      </c>
      <c r="J1342">
        <v>133686.39999999999</v>
      </c>
    </row>
    <row r="1343" spans="1:10">
      <c r="A1343" s="90" t="s">
        <v>216</v>
      </c>
      <c r="B1343" s="87">
        <v>45943</v>
      </c>
      <c r="C1343" t="s">
        <v>3163</v>
      </c>
      <c r="D1343" t="s">
        <v>2110</v>
      </c>
      <c r="E1343" t="s">
        <v>785</v>
      </c>
      <c r="F1343" t="s">
        <v>518</v>
      </c>
      <c r="G1343" t="s">
        <v>57</v>
      </c>
      <c r="H1343" t="s">
        <v>470</v>
      </c>
      <c r="I1343" t="s">
        <v>475</v>
      </c>
      <c r="J1343">
        <v>11463.94</v>
      </c>
    </row>
    <row r="1344" spans="1:10">
      <c r="A1344" s="90" t="s">
        <v>216</v>
      </c>
      <c r="B1344" s="87">
        <v>45943</v>
      </c>
      <c r="C1344" t="s">
        <v>2275</v>
      </c>
      <c r="D1344" t="s">
        <v>2110</v>
      </c>
      <c r="E1344" t="s">
        <v>477</v>
      </c>
      <c r="F1344" t="s">
        <v>518</v>
      </c>
      <c r="G1344" t="s">
        <v>74</v>
      </c>
      <c r="H1344" t="s">
        <v>470</v>
      </c>
      <c r="I1344" t="s">
        <v>471</v>
      </c>
      <c r="J1344">
        <v>60</v>
      </c>
    </row>
    <row r="1345" spans="1:10">
      <c r="A1345" s="90" t="s">
        <v>216</v>
      </c>
      <c r="B1345" s="87">
        <v>45943</v>
      </c>
      <c r="C1345" t="s">
        <v>511</v>
      </c>
      <c r="D1345" t="s">
        <v>2110</v>
      </c>
      <c r="E1345" t="s">
        <v>512</v>
      </c>
      <c r="F1345" t="s">
        <v>518</v>
      </c>
      <c r="G1345" t="s">
        <v>474</v>
      </c>
      <c r="H1345" t="s">
        <v>470</v>
      </c>
      <c r="I1345" t="s">
        <v>475</v>
      </c>
      <c r="J1345">
        <v>60326.17</v>
      </c>
    </row>
    <row r="1346" spans="1:10">
      <c r="A1346" s="90" t="s">
        <v>216</v>
      </c>
      <c r="B1346" s="87">
        <v>45944</v>
      </c>
      <c r="C1346" t="s">
        <v>3164</v>
      </c>
      <c r="D1346" t="s">
        <v>2110</v>
      </c>
      <c r="E1346" t="s">
        <v>812</v>
      </c>
      <c r="F1346" t="s">
        <v>279</v>
      </c>
      <c r="G1346" t="s">
        <v>2213</v>
      </c>
      <c r="H1346" t="s">
        <v>470</v>
      </c>
      <c r="I1346" t="s">
        <v>796</v>
      </c>
      <c r="J1346">
        <v>63438.07</v>
      </c>
    </row>
    <row r="1347" spans="1:10">
      <c r="A1347" s="90" t="s">
        <v>216</v>
      </c>
      <c r="B1347" s="87">
        <v>45944</v>
      </c>
      <c r="C1347" t="s">
        <v>3164</v>
      </c>
      <c r="D1347" t="s">
        <v>2110</v>
      </c>
      <c r="E1347" t="s">
        <v>812</v>
      </c>
      <c r="F1347" t="s">
        <v>279</v>
      </c>
      <c r="G1347" t="s">
        <v>182</v>
      </c>
      <c r="H1347" t="s">
        <v>470</v>
      </c>
      <c r="I1347" t="s">
        <v>796</v>
      </c>
      <c r="J1347">
        <v>5862.18</v>
      </c>
    </row>
    <row r="1348" spans="1:10">
      <c r="A1348" s="90" t="s">
        <v>216</v>
      </c>
      <c r="B1348" s="87">
        <v>45944</v>
      </c>
      <c r="C1348" t="s">
        <v>3165</v>
      </c>
      <c r="D1348" t="s">
        <v>2110</v>
      </c>
      <c r="E1348" t="s">
        <v>812</v>
      </c>
      <c r="F1348" t="s">
        <v>283</v>
      </c>
      <c r="G1348" t="s">
        <v>2213</v>
      </c>
      <c r="H1348" t="s">
        <v>470</v>
      </c>
      <c r="I1348" t="s">
        <v>796</v>
      </c>
      <c r="J1348">
        <v>25646.94</v>
      </c>
    </row>
    <row r="1349" spans="1:10">
      <c r="A1349" s="90" t="s">
        <v>216</v>
      </c>
      <c r="B1349" s="87">
        <v>45944</v>
      </c>
      <c r="C1349" t="s">
        <v>3165</v>
      </c>
      <c r="D1349" t="s">
        <v>2110</v>
      </c>
      <c r="E1349" t="s">
        <v>812</v>
      </c>
      <c r="F1349" t="s">
        <v>283</v>
      </c>
      <c r="G1349" t="s">
        <v>182</v>
      </c>
      <c r="H1349" t="s">
        <v>470</v>
      </c>
      <c r="I1349" t="s">
        <v>796</v>
      </c>
      <c r="J1349">
        <v>2557.06</v>
      </c>
    </row>
    <row r="1350" spans="1:10">
      <c r="A1350" s="90" t="s">
        <v>216</v>
      </c>
      <c r="B1350" s="87">
        <v>45944</v>
      </c>
      <c r="C1350" t="s">
        <v>3166</v>
      </c>
      <c r="D1350" t="s">
        <v>2110</v>
      </c>
      <c r="E1350" t="s">
        <v>1667</v>
      </c>
      <c r="F1350" t="s">
        <v>3167</v>
      </c>
      <c r="G1350" t="s">
        <v>2115</v>
      </c>
      <c r="H1350" t="s">
        <v>470</v>
      </c>
      <c r="I1350" t="s">
        <v>475</v>
      </c>
      <c r="J1350">
        <v>995.2</v>
      </c>
    </row>
    <row r="1351" spans="1:10">
      <c r="A1351" s="90" t="s">
        <v>216</v>
      </c>
      <c r="B1351" s="87">
        <v>45944</v>
      </c>
      <c r="C1351" t="s">
        <v>3166</v>
      </c>
      <c r="D1351" t="s">
        <v>2110</v>
      </c>
      <c r="E1351" t="s">
        <v>1667</v>
      </c>
      <c r="F1351" t="s">
        <v>3167</v>
      </c>
      <c r="G1351" t="s">
        <v>259</v>
      </c>
      <c r="H1351" t="s">
        <v>470</v>
      </c>
      <c r="I1351" t="s">
        <v>475</v>
      </c>
      <c r="J1351">
        <v>6382.94</v>
      </c>
    </row>
    <row r="1352" spans="1:10">
      <c r="A1352" s="90" t="s">
        <v>216</v>
      </c>
      <c r="B1352" s="87">
        <v>45944</v>
      </c>
      <c r="C1352" t="s">
        <v>3168</v>
      </c>
      <c r="D1352" t="s">
        <v>2110</v>
      </c>
      <c r="E1352" t="s">
        <v>2316</v>
      </c>
      <c r="F1352" t="s">
        <v>802</v>
      </c>
      <c r="G1352" t="s">
        <v>217</v>
      </c>
      <c r="H1352" t="s">
        <v>2994</v>
      </c>
      <c r="I1352" t="s">
        <v>796</v>
      </c>
      <c r="J1352">
        <v>197.59</v>
      </c>
    </row>
    <row r="1353" spans="1:10">
      <c r="A1353" s="90" t="s">
        <v>216</v>
      </c>
      <c r="B1353" s="87">
        <v>45944</v>
      </c>
      <c r="C1353" t="s">
        <v>2275</v>
      </c>
      <c r="D1353" t="s">
        <v>2110</v>
      </c>
      <c r="E1353" t="s">
        <v>477</v>
      </c>
      <c r="F1353" t="s">
        <v>518</v>
      </c>
      <c r="G1353" t="s">
        <v>74</v>
      </c>
      <c r="H1353" t="s">
        <v>470</v>
      </c>
      <c r="I1353" t="s">
        <v>471</v>
      </c>
      <c r="J1353">
        <v>30</v>
      </c>
    </row>
    <row r="1354" spans="1:10">
      <c r="A1354" s="90" t="s">
        <v>216</v>
      </c>
      <c r="B1354" s="87">
        <v>45944</v>
      </c>
      <c r="C1354" t="s">
        <v>511</v>
      </c>
      <c r="D1354" t="s">
        <v>2110</v>
      </c>
      <c r="E1354" t="s">
        <v>512</v>
      </c>
      <c r="F1354" t="s">
        <v>518</v>
      </c>
      <c r="G1354" t="s">
        <v>474</v>
      </c>
      <c r="H1354" t="s">
        <v>470</v>
      </c>
      <c r="I1354" t="s">
        <v>475</v>
      </c>
      <c r="J1354">
        <v>139362.32</v>
      </c>
    </row>
    <row r="1355" spans="1:10">
      <c r="A1355" s="90" t="s">
        <v>216</v>
      </c>
      <c r="B1355" s="87">
        <v>45944</v>
      </c>
      <c r="C1355" t="s">
        <v>3169</v>
      </c>
      <c r="D1355" t="s">
        <v>2110</v>
      </c>
      <c r="E1355" t="s">
        <v>493</v>
      </c>
      <c r="F1355" t="s">
        <v>543</v>
      </c>
      <c r="G1355" t="s">
        <v>486</v>
      </c>
      <c r="H1355" t="s">
        <v>470</v>
      </c>
      <c r="I1355" t="s">
        <v>487</v>
      </c>
      <c r="J1355">
        <v>25444.799999999999</v>
      </c>
    </row>
    <row r="1356" spans="1:10">
      <c r="A1356" s="90" t="s">
        <v>216</v>
      </c>
      <c r="B1356" s="87">
        <v>45945</v>
      </c>
      <c r="C1356" t="s">
        <v>3170</v>
      </c>
      <c r="D1356" t="s">
        <v>2110</v>
      </c>
      <c r="E1356" t="s">
        <v>2564</v>
      </c>
      <c r="F1356" t="s">
        <v>3171</v>
      </c>
      <c r="G1356" t="s">
        <v>2115</v>
      </c>
      <c r="H1356" t="s">
        <v>470</v>
      </c>
      <c r="I1356" t="s">
        <v>796</v>
      </c>
      <c r="J1356">
        <v>645</v>
      </c>
    </row>
    <row r="1357" spans="1:10">
      <c r="A1357" s="90" t="s">
        <v>216</v>
      </c>
      <c r="B1357" s="87">
        <v>45945</v>
      </c>
      <c r="C1357" t="s">
        <v>3170</v>
      </c>
      <c r="D1357" t="s">
        <v>2110</v>
      </c>
      <c r="E1357" t="s">
        <v>2564</v>
      </c>
      <c r="F1357" t="s">
        <v>3171</v>
      </c>
      <c r="G1357" t="s">
        <v>251</v>
      </c>
      <c r="H1357" t="s">
        <v>470</v>
      </c>
      <c r="I1357" t="s">
        <v>796</v>
      </c>
      <c r="J1357">
        <v>414.02</v>
      </c>
    </row>
    <row r="1358" spans="1:10">
      <c r="A1358" s="90" t="s">
        <v>216</v>
      </c>
      <c r="B1358" s="87">
        <v>45945</v>
      </c>
      <c r="C1358" t="s">
        <v>511</v>
      </c>
      <c r="D1358" t="s">
        <v>2110</v>
      </c>
      <c r="E1358" t="s">
        <v>512</v>
      </c>
      <c r="F1358" t="s">
        <v>518</v>
      </c>
      <c r="G1358" t="s">
        <v>474</v>
      </c>
      <c r="H1358" t="s">
        <v>470</v>
      </c>
      <c r="I1358" t="s">
        <v>475</v>
      </c>
      <c r="J1358">
        <v>1059.02</v>
      </c>
    </row>
    <row r="1359" spans="1:10">
      <c r="A1359" s="90" t="s">
        <v>216</v>
      </c>
      <c r="B1359" s="87">
        <v>45946</v>
      </c>
      <c r="C1359" t="s">
        <v>2275</v>
      </c>
      <c r="D1359" t="s">
        <v>2110</v>
      </c>
      <c r="E1359" t="s">
        <v>477</v>
      </c>
      <c r="F1359" t="s">
        <v>518</v>
      </c>
      <c r="G1359" t="s">
        <v>74</v>
      </c>
      <c r="H1359" t="s">
        <v>470</v>
      </c>
      <c r="I1359" t="s">
        <v>471</v>
      </c>
      <c r="J1359">
        <v>5</v>
      </c>
    </row>
    <row r="1360" spans="1:10">
      <c r="A1360" s="90" t="s">
        <v>216</v>
      </c>
      <c r="B1360" s="87">
        <v>45946</v>
      </c>
      <c r="C1360" t="s">
        <v>2275</v>
      </c>
      <c r="D1360" t="s">
        <v>2110</v>
      </c>
      <c r="E1360" t="s">
        <v>477</v>
      </c>
      <c r="F1360" t="s">
        <v>518</v>
      </c>
      <c r="G1360" t="s">
        <v>74</v>
      </c>
      <c r="H1360" t="s">
        <v>470</v>
      </c>
      <c r="I1360" t="s">
        <v>471</v>
      </c>
      <c r="J1360">
        <v>30</v>
      </c>
    </row>
    <row r="1361" spans="1:10">
      <c r="A1361" s="90" t="s">
        <v>216</v>
      </c>
      <c r="B1361" s="87">
        <v>45946</v>
      </c>
      <c r="C1361" t="s">
        <v>517</v>
      </c>
      <c r="D1361" t="s">
        <v>2110</v>
      </c>
      <c r="E1361" t="s">
        <v>512</v>
      </c>
      <c r="F1361" t="s">
        <v>518</v>
      </c>
      <c r="G1361" t="s">
        <v>474</v>
      </c>
      <c r="H1361" t="s">
        <v>470</v>
      </c>
      <c r="I1361" t="s">
        <v>475</v>
      </c>
      <c r="J1361">
        <v>141901.20000000001</v>
      </c>
    </row>
    <row r="1362" spans="1:10">
      <c r="A1362" s="90" t="s">
        <v>216</v>
      </c>
      <c r="B1362" s="87">
        <v>45947</v>
      </c>
      <c r="C1362" t="s">
        <v>3172</v>
      </c>
      <c r="D1362" t="s">
        <v>2110</v>
      </c>
      <c r="E1362" t="s">
        <v>535</v>
      </c>
      <c r="F1362" t="s">
        <v>2920</v>
      </c>
      <c r="G1362" t="s">
        <v>2112</v>
      </c>
      <c r="H1362" t="s">
        <v>470</v>
      </c>
      <c r="I1362" t="s">
        <v>475</v>
      </c>
      <c r="J1362">
        <v>40533.33</v>
      </c>
    </row>
    <row r="1363" spans="1:10">
      <c r="A1363" s="90" t="s">
        <v>216</v>
      </c>
      <c r="B1363" s="87">
        <v>45947</v>
      </c>
      <c r="C1363" t="s">
        <v>3173</v>
      </c>
      <c r="D1363" t="s">
        <v>2110</v>
      </c>
      <c r="E1363" t="s">
        <v>535</v>
      </c>
      <c r="F1363" t="s">
        <v>2922</v>
      </c>
      <c r="G1363" t="s">
        <v>2112</v>
      </c>
      <c r="H1363" t="s">
        <v>470</v>
      </c>
      <c r="I1363" t="s">
        <v>475</v>
      </c>
      <c r="J1363">
        <v>43120</v>
      </c>
    </row>
    <row r="1364" spans="1:10">
      <c r="A1364" s="90" t="s">
        <v>216</v>
      </c>
      <c r="B1364" s="87">
        <v>45947</v>
      </c>
      <c r="C1364" t="s">
        <v>3174</v>
      </c>
      <c r="D1364" t="s">
        <v>2110</v>
      </c>
      <c r="E1364" t="s">
        <v>535</v>
      </c>
      <c r="F1364" t="s">
        <v>2969</v>
      </c>
      <c r="G1364" t="s">
        <v>2112</v>
      </c>
      <c r="H1364" t="s">
        <v>470</v>
      </c>
      <c r="I1364" t="s">
        <v>475</v>
      </c>
      <c r="J1364">
        <v>44720</v>
      </c>
    </row>
    <row r="1365" spans="1:10">
      <c r="A1365" s="90" t="s">
        <v>216</v>
      </c>
      <c r="B1365" s="87">
        <v>45947</v>
      </c>
      <c r="C1365" t="s">
        <v>3175</v>
      </c>
      <c r="D1365" t="s">
        <v>2110</v>
      </c>
      <c r="E1365" t="s">
        <v>535</v>
      </c>
      <c r="F1365" t="s">
        <v>2926</v>
      </c>
      <c r="G1365" t="s">
        <v>2112</v>
      </c>
      <c r="H1365" t="s">
        <v>470</v>
      </c>
      <c r="I1365" t="s">
        <v>475</v>
      </c>
      <c r="J1365">
        <v>52293.33</v>
      </c>
    </row>
    <row r="1366" spans="1:10">
      <c r="A1366" s="90" t="s">
        <v>216</v>
      </c>
      <c r="B1366" s="87">
        <v>45947</v>
      </c>
      <c r="C1366" t="s">
        <v>3176</v>
      </c>
      <c r="D1366" t="s">
        <v>2110</v>
      </c>
      <c r="E1366" t="s">
        <v>535</v>
      </c>
      <c r="F1366" t="s">
        <v>2903</v>
      </c>
      <c r="G1366" t="s">
        <v>2112</v>
      </c>
      <c r="H1366" t="s">
        <v>470</v>
      </c>
      <c r="I1366" t="s">
        <v>475</v>
      </c>
      <c r="J1366">
        <v>42666.67</v>
      </c>
    </row>
    <row r="1367" spans="1:10">
      <c r="A1367" s="90" t="s">
        <v>216</v>
      </c>
      <c r="B1367" s="87">
        <v>45947</v>
      </c>
      <c r="C1367" t="s">
        <v>3177</v>
      </c>
      <c r="D1367" t="s">
        <v>2110</v>
      </c>
      <c r="E1367" t="s">
        <v>535</v>
      </c>
      <c r="F1367" t="s">
        <v>2971</v>
      </c>
      <c r="G1367" t="s">
        <v>2112</v>
      </c>
      <c r="H1367" t="s">
        <v>470</v>
      </c>
      <c r="I1367" t="s">
        <v>475</v>
      </c>
      <c r="J1367">
        <v>41653.33</v>
      </c>
    </row>
    <row r="1368" spans="1:10">
      <c r="A1368" s="90" t="s">
        <v>216</v>
      </c>
      <c r="B1368" s="87">
        <v>45947</v>
      </c>
      <c r="C1368" t="s">
        <v>3178</v>
      </c>
      <c r="D1368" t="s">
        <v>2110</v>
      </c>
      <c r="E1368" t="s">
        <v>535</v>
      </c>
      <c r="F1368" t="s">
        <v>2973</v>
      </c>
      <c r="G1368" t="s">
        <v>2112</v>
      </c>
      <c r="H1368" t="s">
        <v>470</v>
      </c>
      <c r="I1368" t="s">
        <v>475</v>
      </c>
      <c r="J1368">
        <v>35280</v>
      </c>
    </row>
    <row r="1369" spans="1:10">
      <c r="A1369" s="90" t="s">
        <v>216</v>
      </c>
      <c r="B1369" s="87">
        <v>45947</v>
      </c>
      <c r="C1369" t="s">
        <v>3179</v>
      </c>
      <c r="D1369" t="s">
        <v>2110</v>
      </c>
      <c r="E1369" t="s">
        <v>535</v>
      </c>
      <c r="F1369" t="s">
        <v>2975</v>
      </c>
      <c r="G1369" t="s">
        <v>2112</v>
      </c>
      <c r="H1369" t="s">
        <v>470</v>
      </c>
      <c r="I1369" t="s">
        <v>475</v>
      </c>
      <c r="J1369">
        <v>43493.33</v>
      </c>
    </row>
    <row r="1370" spans="1:10">
      <c r="A1370" s="90" t="s">
        <v>216</v>
      </c>
      <c r="B1370" s="87">
        <v>45947</v>
      </c>
      <c r="C1370" t="s">
        <v>3180</v>
      </c>
      <c r="D1370" t="s">
        <v>2110</v>
      </c>
      <c r="E1370" t="s">
        <v>535</v>
      </c>
      <c r="F1370" t="s">
        <v>928</v>
      </c>
      <c r="G1370" t="s">
        <v>2112</v>
      </c>
      <c r="H1370" t="s">
        <v>470</v>
      </c>
      <c r="I1370" t="s">
        <v>475</v>
      </c>
      <c r="J1370">
        <v>80322.37</v>
      </c>
    </row>
    <row r="1371" spans="1:10">
      <c r="A1371" s="90" t="s">
        <v>216</v>
      </c>
      <c r="B1371" s="87">
        <v>45947</v>
      </c>
      <c r="C1371" t="s">
        <v>3181</v>
      </c>
      <c r="D1371" t="s">
        <v>2110</v>
      </c>
      <c r="E1371" t="s">
        <v>535</v>
      </c>
      <c r="F1371" t="s">
        <v>930</v>
      </c>
      <c r="G1371" t="s">
        <v>2112</v>
      </c>
      <c r="H1371" t="s">
        <v>470</v>
      </c>
      <c r="I1371" t="s">
        <v>475</v>
      </c>
      <c r="J1371">
        <v>66067.600000000006</v>
      </c>
    </row>
    <row r="1372" spans="1:10">
      <c r="A1372" s="90" t="s">
        <v>216</v>
      </c>
      <c r="B1372" s="87">
        <v>45947</v>
      </c>
      <c r="C1372" t="s">
        <v>3181</v>
      </c>
      <c r="D1372" t="s">
        <v>2110</v>
      </c>
      <c r="E1372" t="s">
        <v>535</v>
      </c>
      <c r="F1372" t="s">
        <v>930</v>
      </c>
      <c r="G1372" t="s">
        <v>272</v>
      </c>
      <c r="H1372" t="s">
        <v>470</v>
      </c>
      <c r="I1372" t="s">
        <v>475</v>
      </c>
      <c r="J1372">
        <v>0.01</v>
      </c>
    </row>
    <row r="1373" spans="1:10">
      <c r="A1373" s="90" t="s">
        <v>216</v>
      </c>
      <c r="B1373" s="87">
        <v>45947</v>
      </c>
      <c r="C1373" t="s">
        <v>3182</v>
      </c>
      <c r="D1373" t="s">
        <v>2110</v>
      </c>
      <c r="E1373" t="s">
        <v>535</v>
      </c>
      <c r="F1373" t="s">
        <v>932</v>
      </c>
      <c r="G1373" t="s">
        <v>2112</v>
      </c>
      <c r="H1373" t="s">
        <v>470</v>
      </c>
      <c r="I1373" t="s">
        <v>475</v>
      </c>
      <c r="J1373">
        <v>57750.93</v>
      </c>
    </row>
    <row r="1374" spans="1:10">
      <c r="A1374" s="90" t="s">
        <v>216</v>
      </c>
      <c r="B1374" s="87">
        <v>45947</v>
      </c>
      <c r="C1374" t="s">
        <v>3183</v>
      </c>
      <c r="D1374" t="s">
        <v>2110</v>
      </c>
      <c r="E1374" t="s">
        <v>535</v>
      </c>
      <c r="F1374" t="s">
        <v>934</v>
      </c>
      <c r="G1374" t="s">
        <v>2112</v>
      </c>
      <c r="H1374" t="s">
        <v>470</v>
      </c>
      <c r="I1374" t="s">
        <v>475</v>
      </c>
      <c r="J1374">
        <v>60661.77</v>
      </c>
    </row>
    <row r="1375" spans="1:10">
      <c r="A1375" s="90" t="s">
        <v>216</v>
      </c>
      <c r="B1375" s="87">
        <v>45947</v>
      </c>
      <c r="C1375" t="s">
        <v>3184</v>
      </c>
      <c r="D1375" t="s">
        <v>2110</v>
      </c>
      <c r="E1375" t="s">
        <v>535</v>
      </c>
      <c r="F1375" t="s">
        <v>936</v>
      </c>
      <c r="G1375" t="s">
        <v>2112</v>
      </c>
      <c r="H1375" t="s">
        <v>470</v>
      </c>
      <c r="I1375" t="s">
        <v>475</v>
      </c>
      <c r="J1375">
        <v>82118.77</v>
      </c>
    </row>
    <row r="1376" spans="1:10">
      <c r="A1376" s="90" t="s">
        <v>216</v>
      </c>
      <c r="B1376" s="87">
        <v>45947</v>
      </c>
      <c r="C1376" t="s">
        <v>3185</v>
      </c>
      <c r="D1376" t="s">
        <v>2110</v>
      </c>
      <c r="E1376" t="s">
        <v>535</v>
      </c>
      <c r="F1376" t="s">
        <v>938</v>
      </c>
      <c r="G1376" t="s">
        <v>2112</v>
      </c>
      <c r="H1376" t="s">
        <v>470</v>
      </c>
      <c r="I1376" t="s">
        <v>475</v>
      </c>
      <c r="J1376">
        <v>81154.03</v>
      </c>
    </row>
    <row r="1377" spans="1:10">
      <c r="A1377" s="90" t="s">
        <v>216</v>
      </c>
      <c r="B1377" s="87">
        <v>45947</v>
      </c>
      <c r="C1377" t="s">
        <v>3186</v>
      </c>
      <c r="D1377" t="s">
        <v>2110</v>
      </c>
      <c r="E1377" t="s">
        <v>535</v>
      </c>
      <c r="F1377" t="s">
        <v>940</v>
      </c>
      <c r="G1377" t="s">
        <v>2112</v>
      </c>
      <c r="H1377" t="s">
        <v>470</v>
      </c>
      <c r="I1377" t="s">
        <v>475</v>
      </c>
      <c r="J1377">
        <v>81769.47</v>
      </c>
    </row>
    <row r="1378" spans="1:10">
      <c r="A1378" s="90" t="s">
        <v>216</v>
      </c>
      <c r="B1378" s="87">
        <v>45947</v>
      </c>
      <c r="C1378" t="s">
        <v>3187</v>
      </c>
      <c r="D1378" t="s">
        <v>2110</v>
      </c>
      <c r="E1378" t="s">
        <v>535</v>
      </c>
      <c r="F1378" t="s">
        <v>942</v>
      </c>
      <c r="G1378" t="s">
        <v>2112</v>
      </c>
      <c r="H1378" t="s">
        <v>470</v>
      </c>
      <c r="I1378" t="s">
        <v>475</v>
      </c>
      <c r="J1378">
        <v>84314.37</v>
      </c>
    </row>
    <row r="1379" spans="1:10">
      <c r="A1379" s="90" t="s">
        <v>216</v>
      </c>
      <c r="B1379" s="87">
        <v>45947</v>
      </c>
      <c r="C1379" t="s">
        <v>3188</v>
      </c>
      <c r="D1379" t="s">
        <v>2110</v>
      </c>
      <c r="E1379" t="s">
        <v>535</v>
      </c>
      <c r="F1379" t="s">
        <v>944</v>
      </c>
      <c r="G1379" t="s">
        <v>2112</v>
      </c>
      <c r="H1379" t="s">
        <v>470</v>
      </c>
      <c r="I1379" t="s">
        <v>475</v>
      </c>
      <c r="J1379">
        <v>80987.7</v>
      </c>
    </row>
    <row r="1380" spans="1:10">
      <c r="A1380" s="90" t="s">
        <v>216</v>
      </c>
      <c r="B1380" s="87">
        <v>45947</v>
      </c>
      <c r="C1380" t="s">
        <v>3189</v>
      </c>
      <c r="D1380" t="s">
        <v>2110</v>
      </c>
      <c r="E1380" t="s">
        <v>535</v>
      </c>
      <c r="F1380" t="s">
        <v>946</v>
      </c>
      <c r="G1380" t="s">
        <v>2112</v>
      </c>
      <c r="H1380" t="s">
        <v>470</v>
      </c>
      <c r="I1380" t="s">
        <v>475</v>
      </c>
      <c r="J1380">
        <v>82035.600000000006</v>
      </c>
    </row>
    <row r="1381" spans="1:10">
      <c r="A1381" s="90" t="s">
        <v>216</v>
      </c>
      <c r="B1381" s="87">
        <v>45947</v>
      </c>
      <c r="C1381" t="s">
        <v>3189</v>
      </c>
      <c r="D1381" t="s">
        <v>2110</v>
      </c>
      <c r="E1381" t="s">
        <v>535</v>
      </c>
      <c r="F1381" t="s">
        <v>946</v>
      </c>
      <c r="G1381" t="s">
        <v>2112</v>
      </c>
      <c r="H1381" t="s">
        <v>470</v>
      </c>
      <c r="I1381" t="s">
        <v>475</v>
      </c>
      <c r="J1381">
        <v>83.17</v>
      </c>
    </row>
    <row r="1382" spans="1:10">
      <c r="A1382" s="90" t="s">
        <v>216</v>
      </c>
      <c r="B1382" s="87">
        <v>45947</v>
      </c>
      <c r="C1382" t="s">
        <v>3190</v>
      </c>
      <c r="D1382" t="s">
        <v>2110</v>
      </c>
      <c r="E1382" t="s">
        <v>535</v>
      </c>
      <c r="F1382" t="s">
        <v>948</v>
      </c>
      <c r="G1382" t="s">
        <v>2112</v>
      </c>
      <c r="H1382" t="s">
        <v>470</v>
      </c>
      <c r="I1382" t="s">
        <v>475</v>
      </c>
      <c r="J1382">
        <v>41051.06</v>
      </c>
    </row>
    <row r="1383" spans="1:10">
      <c r="A1383" s="90" t="s">
        <v>216</v>
      </c>
      <c r="B1383" s="87">
        <v>45947</v>
      </c>
      <c r="C1383" t="s">
        <v>3191</v>
      </c>
      <c r="D1383" t="s">
        <v>2110</v>
      </c>
      <c r="E1383" t="s">
        <v>2277</v>
      </c>
      <c r="F1383" t="s">
        <v>2305</v>
      </c>
      <c r="G1383" t="s">
        <v>226</v>
      </c>
      <c r="H1383" t="s">
        <v>2994</v>
      </c>
      <c r="I1383" t="s">
        <v>796</v>
      </c>
      <c r="J1383">
        <v>137.84</v>
      </c>
    </row>
    <row r="1384" spans="1:10">
      <c r="A1384" s="90" t="s">
        <v>216</v>
      </c>
      <c r="B1384" s="87">
        <v>45947</v>
      </c>
      <c r="C1384" t="s">
        <v>511</v>
      </c>
      <c r="D1384" t="s">
        <v>2110</v>
      </c>
      <c r="E1384" t="s">
        <v>512</v>
      </c>
      <c r="F1384" t="s">
        <v>518</v>
      </c>
      <c r="G1384" t="s">
        <v>474</v>
      </c>
      <c r="H1384" t="s">
        <v>470</v>
      </c>
      <c r="I1384" t="s">
        <v>475</v>
      </c>
      <c r="J1384">
        <v>887750.74</v>
      </c>
    </row>
    <row r="1385" spans="1:10">
      <c r="A1385" s="90" t="s">
        <v>216</v>
      </c>
      <c r="B1385" s="87">
        <v>45948</v>
      </c>
      <c r="C1385" t="s">
        <v>3152</v>
      </c>
      <c r="D1385" t="s">
        <v>2110</v>
      </c>
      <c r="E1385" t="s">
        <v>535</v>
      </c>
      <c r="F1385" t="s">
        <v>2924</v>
      </c>
      <c r="G1385" t="s">
        <v>2112</v>
      </c>
      <c r="H1385" t="s">
        <v>470</v>
      </c>
      <c r="I1385" t="s">
        <v>475</v>
      </c>
      <c r="J1385">
        <v>23057.63</v>
      </c>
    </row>
    <row r="1386" spans="1:10">
      <c r="A1386" s="90" t="s">
        <v>216</v>
      </c>
      <c r="B1386" s="87">
        <v>45948</v>
      </c>
      <c r="C1386" t="s">
        <v>3173</v>
      </c>
      <c r="D1386" t="s">
        <v>2110</v>
      </c>
      <c r="E1386" t="s">
        <v>535</v>
      </c>
      <c r="F1386" t="s">
        <v>2922</v>
      </c>
      <c r="G1386" t="s">
        <v>2112</v>
      </c>
      <c r="H1386" t="s">
        <v>470</v>
      </c>
      <c r="I1386" t="s">
        <v>475</v>
      </c>
      <c r="J1386">
        <v>23884.81</v>
      </c>
    </row>
    <row r="1387" spans="1:10">
      <c r="A1387" s="90" t="s">
        <v>216</v>
      </c>
      <c r="B1387" s="87">
        <v>45948</v>
      </c>
      <c r="C1387" t="s">
        <v>3172</v>
      </c>
      <c r="D1387" t="s">
        <v>2110</v>
      </c>
      <c r="E1387" t="s">
        <v>535</v>
      </c>
      <c r="F1387" t="s">
        <v>2920</v>
      </c>
      <c r="G1387" t="s">
        <v>2112</v>
      </c>
      <c r="H1387" t="s">
        <v>470</v>
      </c>
      <c r="I1387" t="s">
        <v>475</v>
      </c>
      <c r="J1387">
        <v>22452.02</v>
      </c>
    </row>
    <row r="1388" spans="1:10">
      <c r="A1388" s="90" t="s">
        <v>216</v>
      </c>
      <c r="B1388" s="87">
        <v>45948</v>
      </c>
      <c r="C1388" t="s">
        <v>3175</v>
      </c>
      <c r="D1388" t="s">
        <v>2110</v>
      </c>
      <c r="E1388" t="s">
        <v>535</v>
      </c>
      <c r="F1388" t="s">
        <v>2926</v>
      </c>
      <c r="G1388" t="s">
        <v>2112</v>
      </c>
      <c r="H1388" t="s">
        <v>470</v>
      </c>
      <c r="I1388" t="s">
        <v>475</v>
      </c>
      <c r="J1388">
        <v>28966.07</v>
      </c>
    </row>
    <row r="1389" spans="1:10">
      <c r="A1389" s="90" t="s">
        <v>216</v>
      </c>
      <c r="B1389" s="87">
        <v>45948</v>
      </c>
      <c r="C1389" t="s">
        <v>3174</v>
      </c>
      <c r="D1389" t="s">
        <v>2110</v>
      </c>
      <c r="E1389" t="s">
        <v>535</v>
      </c>
      <c r="F1389" t="s">
        <v>2969</v>
      </c>
      <c r="G1389" t="s">
        <v>2112</v>
      </c>
      <c r="H1389" t="s">
        <v>470</v>
      </c>
      <c r="I1389" t="s">
        <v>475</v>
      </c>
      <c r="J1389">
        <v>24771.08</v>
      </c>
    </row>
    <row r="1390" spans="1:10">
      <c r="A1390" s="90" t="s">
        <v>216</v>
      </c>
      <c r="B1390" s="87">
        <v>45948</v>
      </c>
      <c r="C1390" t="s">
        <v>3176</v>
      </c>
      <c r="D1390" t="s">
        <v>2110</v>
      </c>
      <c r="E1390" t="s">
        <v>535</v>
      </c>
      <c r="F1390" t="s">
        <v>2903</v>
      </c>
      <c r="G1390" t="s">
        <v>2112</v>
      </c>
      <c r="H1390" t="s">
        <v>470</v>
      </c>
      <c r="I1390" t="s">
        <v>475</v>
      </c>
      <c r="J1390">
        <v>23633.7</v>
      </c>
    </row>
    <row r="1391" spans="1:10">
      <c r="A1391" s="90" t="s">
        <v>216</v>
      </c>
      <c r="B1391" s="87">
        <v>45948</v>
      </c>
      <c r="C1391" t="s">
        <v>3178</v>
      </c>
      <c r="D1391" t="s">
        <v>2110</v>
      </c>
      <c r="E1391" t="s">
        <v>535</v>
      </c>
      <c r="F1391" t="s">
        <v>2973</v>
      </c>
      <c r="G1391" t="s">
        <v>2112</v>
      </c>
      <c r="H1391" t="s">
        <v>470</v>
      </c>
      <c r="I1391" t="s">
        <v>475</v>
      </c>
      <c r="J1391">
        <v>19542.12</v>
      </c>
    </row>
    <row r="1392" spans="1:10">
      <c r="A1392" s="90" t="s">
        <v>216</v>
      </c>
      <c r="B1392" s="87">
        <v>45948</v>
      </c>
      <c r="C1392" t="s">
        <v>3179</v>
      </c>
      <c r="D1392" t="s">
        <v>2110</v>
      </c>
      <c r="E1392" t="s">
        <v>535</v>
      </c>
      <c r="F1392" t="s">
        <v>2975</v>
      </c>
      <c r="G1392" t="s">
        <v>2112</v>
      </c>
      <c r="H1392" t="s">
        <v>470</v>
      </c>
      <c r="I1392" t="s">
        <v>475</v>
      </c>
      <c r="J1392">
        <v>24091.61</v>
      </c>
    </row>
    <row r="1393" spans="1:10">
      <c r="A1393" s="90" t="s">
        <v>216</v>
      </c>
      <c r="B1393" s="87">
        <v>45948</v>
      </c>
      <c r="C1393" t="s">
        <v>3177</v>
      </c>
      <c r="D1393" t="s">
        <v>2110</v>
      </c>
      <c r="E1393" t="s">
        <v>535</v>
      </c>
      <c r="F1393" t="s">
        <v>2971</v>
      </c>
      <c r="G1393" t="s">
        <v>2112</v>
      </c>
      <c r="H1393" t="s">
        <v>470</v>
      </c>
      <c r="I1393" t="s">
        <v>475</v>
      </c>
      <c r="J1393">
        <v>23072.41</v>
      </c>
    </row>
    <row r="1394" spans="1:10">
      <c r="A1394" s="90" t="s">
        <v>216</v>
      </c>
      <c r="B1394" s="87">
        <v>45950</v>
      </c>
      <c r="C1394" t="s">
        <v>3192</v>
      </c>
      <c r="D1394" t="s">
        <v>2110</v>
      </c>
      <c r="E1394" t="s">
        <v>2986</v>
      </c>
      <c r="F1394" t="s">
        <v>3129</v>
      </c>
      <c r="G1394" t="s">
        <v>2381</v>
      </c>
      <c r="H1394" t="s">
        <v>470</v>
      </c>
      <c r="I1394" t="s">
        <v>796</v>
      </c>
      <c r="J1394">
        <v>2089.91</v>
      </c>
    </row>
    <row r="1395" spans="1:10">
      <c r="A1395" s="90" t="s">
        <v>216</v>
      </c>
      <c r="B1395" s="87">
        <v>45950</v>
      </c>
      <c r="C1395" t="s">
        <v>3192</v>
      </c>
      <c r="D1395" t="s">
        <v>2110</v>
      </c>
      <c r="E1395" t="s">
        <v>2986</v>
      </c>
      <c r="F1395" t="s">
        <v>3129</v>
      </c>
      <c r="G1395" t="s">
        <v>272</v>
      </c>
      <c r="H1395" t="s">
        <v>470</v>
      </c>
      <c r="I1395" t="s">
        <v>796</v>
      </c>
      <c r="J1395">
        <v>0.01</v>
      </c>
    </row>
    <row r="1396" spans="1:10">
      <c r="A1396" s="90" t="s">
        <v>216</v>
      </c>
      <c r="B1396" s="87">
        <v>45950</v>
      </c>
      <c r="C1396" t="s">
        <v>3193</v>
      </c>
      <c r="D1396" t="s">
        <v>2110</v>
      </c>
      <c r="E1396" t="s">
        <v>2318</v>
      </c>
      <c r="F1396" t="s">
        <v>802</v>
      </c>
      <c r="G1396" t="s">
        <v>64</v>
      </c>
      <c r="H1396" t="s">
        <v>2994</v>
      </c>
      <c r="I1396" t="s">
        <v>796</v>
      </c>
      <c r="J1396">
        <v>806</v>
      </c>
    </row>
    <row r="1397" spans="1:10">
      <c r="A1397" s="90" t="s">
        <v>216</v>
      </c>
      <c r="B1397" s="87">
        <v>45950</v>
      </c>
      <c r="C1397" t="s">
        <v>3194</v>
      </c>
      <c r="D1397" t="s">
        <v>2110</v>
      </c>
      <c r="E1397" t="s">
        <v>1756</v>
      </c>
      <c r="F1397" t="s">
        <v>802</v>
      </c>
      <c r="G1397" t="s">
        <v>67</v>
      </c>
      <c r="H1397" t="s">
        <v>470</v>
      </c>
      <c r="I1397" t="s">
        <v>796</v>
      </c>
      <c r="J1397">
        <v>58.96</v>
      </c>
    </row>
    <row r="1398" spans="1:10">
      <c r="A1398" s="90" t="s">
        <v>216</v>
      </c>
      <c r="B1398" s="87">
        <v>45950</v>
      </c>
      <c r="C1398" t="s">
        <v>3195</v>
      </c>
      <c r="D1398" t="s">
        <v>2110</v>
      </c>
      <c r="E1398" t="s">
        <v>2401</v>
      </c>
      <c r="F1398" t="s">
        <v>277</v>
      </c>
      <c r="G1398" t="s">
        <v>2381</v>
      </c>
      <c r="H1398" t="s">
        <v>470</v>
      </c>
      <c r="I1398" t="s">
        <v>796</v>
      </c>
      <c r="J1398">
        <v>240.64</v>
      </c>
    </row>
    <row r="1399" spans="1:10">
      <c r="A1399" s="90" t="s">
        <v>216</v>
      </c>
      <c r="B1399" s="87">
        <v>45950</v>
      </c>
      <c r="C1399" t="s">
        <v>2454</v>
      </c>
      <c r="D1399" t="s">
        <v>2110</v>
      </c>
      <c r="E1399" t="s">
        <v>480</v>
      </c>
      <c r="F1399" t="s">
        <v>518</v>
      </c>
      <c r="G1399" t="s">
        <v>71</v>
      </c>
      <c r="H1399" t="s">
        <v>470</v>
      </c>
      <c r="I1399" t="s">
        <v>475</v>
      </c>
      <c r="J1399">
        <v>5000</v>
      </c>
    </row>
    <row r="1400" spans="1:10">
      <c r="A1400" s="90" t="s">
        <v>216</v>
      </c>
      <c r="B1400" s="87">
        <v>45950</v>
      </c>
      <c r="C1400" t="s">
        <v>517</v>
      </c>
      <c r="D1400" t="s">
        <v>2110</v>
      </c>
      <c r="E1400" t="s">
        <v>512</v>
      </c>
      <c r="F1400" t="s">
        <v>518</v>
      </c>
      <c r="G1400" t="s">
        <v>474</v>
      </c>
      <c r="H1400" t="s">
        <v>470</v>
      </c>
      <c r="I1400" t="s">
        <v>475</v>
      </c>
      <c r="J1400">
        <v>106881.66</v>
      </c>
    </row>
    <row r="1401" spans="1:10">
      <c r="A1401" s="90" t="s">
        <v>216</v>
      </c>
      <c r="B1401" s="87">
        <v>45951</v>
      </c>
      <c r="C1401" t="s">
        <v>3196</v>
      </c>
      <c r="D1401" t="s">
        <v>2110</v>
      </c>
      <c r="E1401" t="s">
        <v>3117</v>
      </c>
      <c r="F1401" t="s">
        <v>879</v>
      </c>
      <c r="G1401" t="s">
        <v>2125</v>
      </c>
      <c r="H1401" t="s">
        <v>470</v>
      </c>
      <c r="I1401" t="s">
        <v>487</v>
      </c>
      <c r="J1401">
        <v>2772</v>
      </c>
    </row>
    <row r="1402" spans="1:10">
      <c r="A1402" s="90" t="s">
        <v>216</v>
      </c>
      <c r="B1402" s="87">
        <v>45951</v>
      </c>
      <c r="C1402" t="s">
        <v>2275</v>
      </c>
      <c r="D1402" t="s">
        <v>2110</v>
      </c>
      <c r="E1402" t="s">
        <v>477</v>
      </c>
      <c r="F1402" t="s">
        <v>518</v>
      </c>
      <c r="G1402" t="s">
        <v>74</v>
      </c>
      <c r="H1402" t="s">
        <v>470</v>
      </c>
      <c r="I1402" t="s">
        <v>471</v>
      </c>
      <c r="J1402">
        <v>20</v>
      </c>
    </row>
    <row r="1403" spans="1:10">
      <c r="A1403" s="90" t="s">
        <v>216</v>
      </c>
      <c r="B1403" s="87">
        <v>45951</v>
      </c>
      <c r="C1403" t="s">
        <v>961</v>
      </c>
      <c r="D1403" t="s">
        <v>2110</v>
      </c>
      <c r="E1403" t="s">
        <v>512</v>
      </c>
      <c r="F1403" t="s">
        <v>518</v>
      </c>
      <c r="G1403" t="s">
        <v>474</v>
      </c>
      <c r="H1403" t="s">
        <v>470</v>
      </c>
      <c r="I1403" t="s">
        <v>475</v>
      </c>
      <c r="J1403">
        <v>1000000</v>
      </c>
    </row>
    <row r="1404" spans="1:10">
      <c r="A1404" s="90" t="s">
        <v>216</v>
      </c>
      <c r="B1404" s="87">
        <v>45951</v>
      </c>
      <c r="C1404" t="s">
        <v>511</v>
      </c>
      <c r="D1404" t="s">
        <v>2110</v>
      </c>
      <c r="E1404" t="s">
        <v>512</v>
      </c>
      <c r="F1404" t="s">
        <v>518</v>
      </c>
      <c r="G1404" t="s">
        <v>474</v>
      </c>
      <c r="H1404" t="s">
        <v>470</v>
      </c>
      <c r="I1404" t="s">
        <v>475</v>
      </c>
      <c r="J1404">
        <v>996217.76</v>
      </c>
    </row>
    <row r="1405" spans="1:10">
      <c r="A1405" s="90" t="s">
        <v>216</v>
      </c>
      <c r="B1405" s="87">
        <v>45952</v>
      </c>
      <c r="C1405" t="s">
        <v>3197</v>
      </c>
      <c r="D1405" t="s">
        <v>2110</v>
      </c>
      <c r="E1405" t="s">
        <v>3143</v>
      </c>
      <c r="F1405" t="s">
        <v>990</v>
      </c>
      <c r="G1405" t="s">
        <v>2125</v>
      </c>
      <c r="H1405" t="s">
        <v>470</v>
      </c>
      <c r="I1405" t="s">
        <v>487</v>
      </c>
      <c r="J1405">
        <v>8870.4</v>
      </c>
    </row>
    <row r="1406" spans="1:10">
      <c r="A1406" s="90" t="s">
        <v>216</v>
      </c>
      <c r="B1406" s="87">
        <v>45952</v>
      </c>
      <c r="C1406" t="s">
        <v>3198</v>
      </c>
      <c r="D1406" t="s">
        <v>2110</v>
      </c>
      <c r="E1406" t="s">
        <v>1667</v>
      </c>
      <c r="F1406" t="s">
        <v>3199</v>
      </c>
      <c r="G1406" t="s">
        <v>2115</v>
      </c>
      <c r="H1406" t="s">
        <v>470</v>
      </c>
      <c r="I1406" t="s">
        <v>475</v>
      </c>
      <c r="J1406">
        <v>641.9</v>
      </c>
    </row>
    <row r="1407" spans="1:10">
      <c r="A1407" s="90" t="s">
        <v>216</v>
      </c>
      <c r="B1407" s="87">
        <v>45952</v>
      </c>
      <c r="C1407" t="s">
        <v>3198</v>
      </c>
      <c r="D1407" t="s">
        <v>2110</v>
      </c>
      <c r="E1407" t="s">
        <v>1667</v>
      </c>
      <c r="F1407" t="s">
        <v>3199</v>
      </c>
      <c r="G1407" t="s">
        <v>71</v>
      </c>
      <c r="H1407" t="s">
        <v>470</v>
      </c>
      <c r="I1407" t="s">
        <v>475</v>
      </c>
      <c r="J1407">
        <v>2.2999999999999998</v>
      </c>
    </row>
    <row r="1408" spans="1:10">
      <c r="A1408" s="90" t="s">
        <v>216</v>
      </c>
      <c r="B1408" s="87">
        <v>45952</v>
      </c>
      <c r="C1408" t="s">
        <v>2275</v>
      </c>
      <c r="D1408" t="s">
        <v>2110</v>
      </c>
      <c r="E1408" t="s">
        <v>477</v>
      </c>
      <c r="F1408" t="s">
        <v>518</v>
      </c>
      <c r="G1408" t="s">
        <v>74</v>
      </c>
      <c r="H1408" t="s">
        <v>470</v>
      </c>
      <c r="I1408" t="s">
        <v>471</v>
      </c>
      <c r="J1408">
        <v>30</v>
      </c>
    </row>
    <row r="1409" spans="1:10">
      <c r="A1409" s="90" t="s">
        <v>216</v>
      </c>
      <c r="B1409" s="87">
        <v>45952</v>
      </c>
      <c r="C1409" t="s">
        <v>511</v>
      </c>
      <c r="D1409" t="s">
        <v>2110</v>
      </c>
      <c r="E1409" t="s">
        <v>512</v>
      </c>
      <c r="F1409" t="s">
        <v>518</v>
      </c>
      <c r="G1409" t="s">
        <v>474</v>
      </c>
      <c r="H1409" t="s">
        <v>470</v>
      </c>
      <c r="I1409" t="s">
        <v>475</v>
      </c>
      <c r="J1409">
        <v>19059.599999999999</v>
      </c>
    </row>
    <row r="1410" spans="1:10">
      <c r="A1410" s="90" t="s">
        <v>216</v>
      </c>
      <c r="B1410" s="87">
        <v>45953</v>
      </c>
      <c r="C1410" t="s">
        <v>3200</v>
      </c>
      <c r="D1410" t="s">
        <v>2110</v>
      </c>
      <c r="E1410" t="s">
        <v>2316</v>
      </c>
      <c r="F1410" t="s">
        <v>518</v>
      </c>
      <c r="G1410" t="s">
        <v>217</v>
      </c>
      <c r="H1410" t="s">
        <v>3112</v>
      </c>
      <c r="I1410" t="s">
        <v>796</v>
      </c>
      <c r="J1410">
        <v>102.75</v>
      </c>
    </row>
    <row r="1411" spans="1:10">
      <c r="A1411" s="90" t="s">
        <v>216</v>
      </c>
      <c r="B1411" s="87">
        <v>45953</v>
      </c>
      <c r="C1411" t="s">
        <v>3201</v>
      </c>
      <c r="D1411" t="s">
        <v>2110</v>
      </c>
      <c r="E1411" t="s">
        <v>3202</v>
      </c>
      <c r="F1411" t="s">
        <v>983</v>
      </c>
      <c r="G1411" t="s">
        <v>2125</v>
      </c>
      <c r="H1411" t="s">
        <v>470</v>
      </c>
      <c r="I1411" t="s">
        <v>487</v>
      </c>
      <c r="J1411">
        <v>8373.1200000000008</v>
      </c>
    </row>
    <row r="1412" spans="1:10">
      <c r="A1412" s="90" t="s">
        <v>216</v>
      </c>
      <c r="B1412" s="87">
        <v>45953</v>
      </c>
      <c r="C1412" t="s">
        <v>3203</v>
      </c>
      <c r="D1412" t="s">
        <v>2110</v>
      </c>
      <c r="E1412" t="s">
        <v>480</v>
      </c>
      <c r="F1412" t="s">
        <v>518</v>
      </c>
      <c r="G1412" t="s">
        <v>72</v>
      </c>
      <c r="H1412" t="s">
        <v>470</v>
      </c>
      <c r="I1412" t="s">
        <v>475</v>
      </c>
      <c r="J1412">
        <v>1075.1400000000001</v>
      </c>
    </row>
    <row r="1413" spans="1:10">
      <c r="A1413" s="90" t="s">
        <v>216</v>
      </c>
      <c r="B1413" s="87">
        <v>45953</v>
      </c>
      <c r="C1413" t="s">
        <v>3203</v>
      </c>
      <c r="D1413" t="s">
        <v>2110</v>
      </c>
      <c r="E1413" t="s">
        <v>480</v>
      </c>
      <c r="F1413" t="s">
        <v>518</v>
      </c>
      <c r="G1413" t="s">
        <v>58</v>
      </c>
      <c r="H1413" t="s">
        <v>470</v>
      </c>
      <c r="I1413" t="s">
        <v>475</v>
      </c>
      <c r="J1413">
        <v>3357.3</v>
      </c>
    </row>
    <row r="1414" spans="1:10">
      <c r="A1414" s="90" t="s">
        <v>216</v>
      </c>
      <c r="B1414" s="87">
        <v>45953</v>
      </c>
      <c r="C1414" t="s">
        <v>3203</v>
      </c>
      <c r="D1414" t="s">
        <v>2110</v>
      </c>
      <c r="E1414" t="s">
        <v>480</v>
      </c>
      <c r="F1414" t="s">
        <v>518</v>
      </c>
      <c r="G1414" t="s">
        <v>198</v>
      </c>
      <c r="H1414" t="s">
        <v>470</v>
      </c>
      <c r="I1414" t="s">
        <v>475</v>
      </c>
      <c r="J1414">
        <v>545.52</v>
      </c>
    </row>
    <row r="1415" spans="1:10">
      <c r="A1415" s="90" t="s">
        <v>216</v>
      </c>
      <c r="B1415" s="87">
        <v>45953</v>
      </c>
      <c r="C1415" t="s">
        <v>3203</v>
      </c>
      <c r="D1415" t="s">
        <v>2110</v>
      </c>
      <c r="E1415" t="s">
        <v>480</v>
      </c>
      <c r="F1415" t="s">
        <v>518</v>
      </c>
      <c r="G1415" t="s">
        <v>62</v>
      </c>
      <c r="H1415" t="s">
        <v>470</v>
      </c>
      <c r="I1415" t="s">
        <v>475</v>
      </c>
      <c r="J1415">
        <v>328.29</v>
      </c>
    </row>
    <row r="1416" spans="1:10">
      <c r="A1416" s="90" t="s">
        <v>216</v>
      </c>
      <c r="B1416" s="87">
        <v>45953</v>
      </c>
      <c r="C1416" t="s">
        <v>3203</v>
      </c>
      <c r="D1416" t="s">
        <v>2110</v>
      </c>
      <c r="E1416" t="s">
        <v>480</v>
      </c>
      <c r="F1416" t="s">
        <v>518</v>
      </c>
      <c r="G1416" t="s">
        <v>198</v>
      </c>
      <c r="H1416" t="s">
        <v>470</v>
      </c>
      <c r="I1416" t="s">
        <v>475</v>
      </c>
      <c r="J1416">
        <v>80</v>
      </c>
    </row>
    <row r="1417" spans="1:10">
      <c r="A1417" s="90" t="s">
        <v>216</v>
      </c>
      <c r="B1417" s="87">
        <v>45953</v>
      </c>
      <c r="C1417" t="s">
        <v>3203</v>
      </c>
      <c r="D1417" t="s">
        <v>2110</v>
      </c>
      <c r="E1417" t="s">
        <v>480</v>
      </c>
      <c r="F1417" t="s">
        <v>518</v>
      </c>
      <c r="G1417" t="s">
        <v>198</v>
      </c>
      <c r="H1417" t="s">
        <v>470</v>
      </c>
      <c r="I1417" t="s">
        <v>475</v>
      </c>
      <c r="J1417">
        <v>533.66999999999996</v>
      </c>
    </row>
    <row r="1418" spans="1:10">
      <c r="A1418" s="90" t="s">
        <v>216</v>
      </c>
      <c r="B1418" s="87">
        <v>45953</v>
      </c>
      <c r="C1418" t="s">
        <v>2275</v>
      </c>
      <c r="D1418" t="s">
        <v>2110</v>
      </c>
      <c r="E1418" t="s">
        <v>477</v>
      </c>
      <c r="F1418" t="s">
        <v>518</v>
      </c>
      <c r="G1418" t="s">
        <v>74</v>
      </c>
      <c r="H1418" t="s">
        <v>470</v>
      </c>
      <c r="I1418" t="s">
        <v>471</v>
      </c>
      <c r="J1418">
        <v>10</v>
      </c>
    </row>
    <row r="1419" spans="1:10">
      <c r="A1419" s="90" t="s">
        <v>216</v>
      </c>
      <c r="B1419" s="87">
        <v>45953</v>
      </c>
      <c r="C1419" t="s">
        <v>511</v>
      </c>
      <c r="D1419" t="s">
        <v>2110</v>
      </c>
      <c r="E1419" t="s">
        <v>512</v>
      </c>
      <c r="F1419" t="s">
        <v>518</v>
      </c>
      <c r="G1419" t="s">
        <v>474</v>
      </c>
      <c r="H1419" t="s">
        <v>470</v>
      </c>
      <c r="I1419" t="s">
        <v>475</v>
      </c>
      <c r="J1419">
        <v>14405.79</v>
      </c>
    </row>
    <row r="1420" spans="1:10">
      <c r="A1420" s="90" t="s">
        <v>216</v>
      </c>
      <c r="B1420" s="87">
        <v>45957</v>
      </c>
      <c r="C1420" t="s">
        <v>3204</v>
      </c>
      <c r="D1420" t="s">
        <v>2110</v>
      </c>
      <c r="E1420" t="s">
        <v>3202</v>
      </c>
      <c r="F1420" t="s">
        <v>983</v>
      </c>
      <c r="G1420" t="s">
        <v>2125</v>
      </c>
      <c r="H1420" t="s">
        <v>470</v>
      </c>
      <c r="I1420" t="s">
        <v>487</v>
      </c>
      <c r="J1420">
        <v>3498.48</v>
      </c>
    </row>
    <row r="1421" spans="1:10">
      <c r="A1421" s="90" t="s">
        <v>216</v>
      </c>
      <c r="B1421" s="87">
        <v>45957</v>
      </c>
      <c r="C1421" t="s">
        <v>3205</v>
      </c>
      <c r="D1421" t="s">
        <v>2110</v>
      </c>
      <c r="E1421" t="s">
        <v>3107</v>
      </c>
      <c r="F1421" t="s">
        <v>518</v>
      </c>
      <c r="G1421" t="s">
        <v>60</v>
      </c>
      <c r="H1421" t="s">
        <v>470</v>
      </c>
      <c r="I1421" t="s">
        <v>796</v>
      </c>
      <c r="J1421">
        <v>39.340000000000003</v>
      </c>
    </row>
    <row r="1422" spans="1:10">
      <c r="A1422" s="90" t="s">
        <v>216</v>
      </c>
      <c r="B1422" s="87">
        <v>45957</v>
      </c>
      <c r="C1422" t="s">
        <v>3206</v>
      </c>
      <c r="D1422" t="s">
        <v>2110</v>
      </c>
      <c r="E1422" t="s">
        <v>3143</v>
      </c>
      <c r="F1422" t="s">
        <v>990</v>
      </c>
      <c r="G1422" t="s">
        <v>2125</v>
      </c>
      <c r="H1422" t="s">
        <v>470</v>
      </c>
      <c r="I1422" t="s">
        <v>487</v>
      </c>
      <c r="J1422">
        <v>3711.6</v>
      </c>
    </row>
    <row r="1423" spans="1:10">
      <c r="A1423" s="90" t="s">
        <v>216</v>
      </c>
      <c r="B1423" s="87">
        <v>45957</v>
      </c>
      <c r="C1423" t="s">
        <v>3207</v>
      </c>
      <c r="D1423" t="s">
        <v>2110</v>
      </c>
      <c r="E1423" t="s">
        <v>3208</v>
      </c>
      <c r="F1423" t="s">
        <v>967</v>
      </c>
      <c r="G1423" t="s">
        <v>2125</v>
      </c>
      <c r="H1423" t="s">
        <v>470</v>
      </c>
      <c r="I1423" t="s">
        <v>487</v>
      </c>
      <c r="J1423">
        <v>8765</v>
      </c>
    </row>
    <row r="1424" spans="1:10">
      <c r="A1424" s="90" t="s">
        <v>216</v>
      </c>
      <c r="B1424" s="87">
        <v>45957</v>
      </c>
      <c r="C1424" t="s">
        <v>3209</v>
      </c>
      <c r="D1424" t="s">
        <v>2110</v>
      </c>
      <c r="E1424" t="s">
        <v>477</v>
      </c>
      <c r="F1424" t="s">
        <v>2325</v>
      </c>
      <c r="G1424" t="s">
        <v>515</v>
      </c>
      <c r="H1424" t="s">
        <v>3210</v>
      </c>
      <c r="I1424" t="s">
        <v>471</v>
      </c>
      <c r="J1424">
        <v>33666.57</v>
      </c>
    </row>
    <row r="1425" spans="1:10">
      <c r="A1425" s="90" t="s">
        <v>216</v>
      </c>
      <c r="B1425" s="87">
        <v>45957</v>
      </c>
      <c r="C1425" t="s">
        <v>3209</v>
      </c>
      <c r="D1425" t="s">
        <v>2110</v>
      </c>
      <c r="E1425" t="s">
        <v>477</v>
      </c>
      <c r="F1425" t="s">
        <v>2325</v>
      </c>
      <c r="G1425" t="s">
        <v>69</v>
      </c>
      <c r="H1425" t="s">
        <v>3210</v>
      </c>
      <c r="I1425" t="s">
        <v>471</v>
      </c>
      <c r="J1425">
        <v>4713.43</v>
      </c>
    </row>
    <row r="1426" spans="1:10">
      <c r="A1426" s="90" t="s">
        <v>216</v>
      </c>
      <c r="B1426" s="87">
        <v>45957</v>
      </c>
      <c r="C1426" t="s">
        <v>2275</v>
      </c>
      <c r="D1426" t="s">
        <v>2110</v>
      </c>
      <c r="E1426" t="s">
        <v>477</v>
      </c>
      <c r="F1426" t="s">
        <v>518</v>
      </c>
      <c r="G1426" t="s">
        <v>74</v>
      </c>
      <c r="H1426" t="s">
        <v>470</v>
      </c>
      <c r="I1426" t="s">
        <v>471</v>
      </c>
      <c r="J1426">
        <v>30</v>
      </c>
    </row>
    <row r="1427" spans="1:10">
      <c r="A1427" s="90" t="s">
        <v>216</v>
      </c>
      <c r="B1427" s="87">
        <v>45957</v>
      </c>
      <c r="C1427" t="s">
        <v>2275</v>
      </c>
      <c r="D1427" t="s">
        <v>2110</v>
      </c>
      <c r="E1427" t="s">
        <v>477</v>
      </c>
      <c r="F1427" t="s">
        <v>518</v>
      </c>
      <c r="G1427" t="s">
        <v>74</v>
      </c>
      <c r="H1427" t="s">
        <v>470</v>
      </c>
      <c r="I1427" t="s">
        <v>471</v>
      </c>
      <c r="J1427">
        <v>6.5</v>
      </c>
    </row>
    <row r="1428" spans="1:10">
      <c r="A1428" s="90" t="s">
        <v>216</v>
      </c>
      <c r="B1428" s="87">
        <v>45957</v>
      </c>
      <c r="C1428" t="s">
        <v>511</v>
      </c>
      <c r="D1428" t="s">
        <v>2110</v>
      </c>
      <c r="E1428" t="s">
        <v>512</v>
      </c>
      <c r="F1428" t="s">
        <v>518</v>
      </c>
      <c r="G1428" t="s">
        <v>474</v>
      </c>
      <c r="H1428" t="s">
        <v>470</v>
      </c>
      <c r="I1428" t="s">
        <v>475</v>
      </c>
      <c r="J1428">
        <v>54616.92</v>
      </c>
    </row>
    <row r="1429" spans="1:10">
      <c r="A1429" s="90" t="s">
        <v>216</v>
      </c>
      <c r="B1429" s="87">
        <v>45958</v>
      </c>
      <c r="C1429" t="s">
        <v>3211</v>
      </c>
      <c r="D1429" t="s">
        <v>2110</v>
      </c>
      <c r="E1429" t="s">
        <v>477</v>
      </c>
      <c r="F1429" t="s">
        <v>518</v>
      </c>
      <c r="G1429" t="s">
        <v>232</v>
      </c>
      <c r="H1429" t="s">
        <v>470</v>
      </c>
      <c r="I1429" t="s">
        <v>471</v>
      </c>
      <c r="J1429">
        <v>500</v>
      </c>
    </row>
    <row r="1430" spans="1:10">
      <c r="A1430" s="90" t="s">
        <v>216</v>
      </c>
      <c r="B1430" s="87">
        <v>45958</v>
      </c>
      <c r="C1430" t="s">
        <v>3211</v>
      </c>
      <c r="D1430" t="s">
        <v>2110</v>
      </c>
      <c r="E1430" t="s">
        <v>477</v>
      </c>
      <c r="F1430" t="s">
        <v>518</v>
      </c>
      <c r="G1430" t="s">
        <v>57</v>
      </c>
      <c r="H1430" t="s">
        <v>470</v>
      </c>
      <c r="I1430" t="s">
        <v>471</v>
      </c>
      <c r="J1430">
        <v>922</v>
      </c>
    </row>
    <row r="1431" spans="1:10">
      <c r="A1431" s="90" t="s">
        <v>216</v>
      </c>
      <c r="B1431" s="87">
        <v>45958</v>
      </c>
      <c r="C1431" t="s">
        <v>3211</v>
      </c>
      <c r="D1431" t="s">
        <v>2110</v>
      </c>
      <c r="E1431" t="s">
        <v>477</v>
      </c>
      <c r="F1431" t="s">
        <v>518</v>
      </c>
      <c r="G1431" t="s">
        <v>74</v>
      </c>
      <c r="H1431" t="s">
        <v>470</v>
      </c>
      <c r="I1431" t="s">
        <v>471</v>
      </c>
      <c r="J1431">
        <v>3</v>
      </c>
    </row>
    <row r="1432" spans="1:10">
      <c r="A1432" s="90" t="s">
        <v>216</v>
      </c>
      <c r="B1432" s="87">
        <v>45958</v>
      </c>
      <c r="C1432" t="s">
        <v>3212</v>
      </c>
      <c r="D1432" t="s">
        <v>2110</v>
      </c>
      <c r="E1432" t="s">
        <v>3147</v>
      </c>
      <c r="F1432" t="s">
        <v>988</v>
      </c>
      <c r="G1432" t="s">
        <v>2125</v>
      </c>
      <c r="H1432" t="s">
        <v>470</v>
      </c>
      <c r="I1432" t="s">
        <v>487</v>
      </c>
      <c r="J1432">
        <v>8861.16</v>
      </c>
    </row>
    <row r="1433" spans="1:10">
      <c r="A1433" s="90" t="s">
        <v>216</v>
      </c>
      <c r="B1433" s="87">
        <v>45958</v>
      </c>
      <c r="C1433" t="s">
        <v>3213</v>
      </c>
      <c r="D1433" t="s">
        <v>2110</v>
      </c>
      <c r="E1433" t="s">
        <v>477</v>
      </c>
      <c r="F1433" t="s">
        <v>279</v>
      </c>
      <c r="G1433" t="s">
        <v>74</v>
      </c>
      <c r="H1433" t="s">
        <v>470</v>
      </c>
      <c r="I1433" t="s">
        <v>471</v>
      </c>
      <c r="J1433">
        <v>250</v>
      </c>
    </row>
    <row r="1434" spans="1:10">
      <c r="A1434" s="90" t="s">
        <v>216</v>
      </c>
      <c r="B1434" s="87">
        <v>45958</v>
      </c>
      <c r="C1434" t="s">
        <v>3214</v>
      </c>
      <c r="D1434" t="s">
        <v>2110</v>
      </c>
      <c r="E1434" t="s">
        <v>477</v>
      </c>
      <c r="F1434" t="s">
        <v>279</v>
      </c>
      <c r="G1434" t="s">
        <v>74</v>
      </c>
      <c r="H1434" t="s">
        <v>470</v>
      </c>
      <c r="I1434" t="s">
        <v>471</v>
      </c>
      <c r="J1434">
        <v>250</v>
      </c>
    </row>
    <row r="1435" spans="1:10">
      <c r="A1435" s="90" t="s">
        <v>216</v>
      </c>
      <c r="B1435" s="87">
        <v>45958</v>
      </c>
      <c r="C1435" t="s">
        <v>2479</v>
      </c>
      <c r="D1435" t="s">
        <v>2110</v>
      </c>
      <c r="E1435" t="s">
        <v>477</v>
      </c>
      <c r="F1435" t="s">
        <v>518</v>
      </c>
      <c r="G1435" t="s">
        <v>74</v>
      </c>
      <c r="H1435" t="s">
        <v>470</v>
      </c>
      <c r="I1435" t="s">
        <v>471</v>
      </c>
      <c r="J1435">
        <v>10</v>
      </c>
    </row>
    <row r="1436" spans="1:10">
      <c r="A1436" s="90" t="s">
        <v>216</v>
      </c>
      <c r="B1436" s="87">
        <v>45958</v>
      </c>
      <c r="C1436" t="s">
        <v>511</v>
      </c>
      <c r="D1436" t="s">
        <v>2110</v>
      </c>
      <c r="E1436" t="s">
        <v>512</v>
      </c>
      <c r="F1436" t="s">
        <v>518</v>
      </c>
      <c r="G1436" t="s">
        <v>474</v>
      </c>
      <c r="H1436" t="s">
        <v>470</v>
      </c>
      <c r="I1436" t="s">
        <v>475</v>
      </c>
      <c r="J1436">
        <v>10796.16</v>
      </c>
    </row>
    <row r="1437" spans="1:10">
      <c r="A1437" s="90" t="s">
        <v>216</v>
      </c>
      <c r="B1437" s="87">
        <v>45959</v>
      </c>
      <c r="C1437" t="s">
        <v>3215</v>
      </c>
      <c r="D1437" t="s">
        <v>2110</v>
      </c>
      <c r="E1437" t="s">
        <v>1667</v>
      </c>
      <c r="F1437" t="s">
        <v>3216</v>
      </c>
      <c r="G1437" t="s">
        <v>2115</v>
      </c>
      <c r="H1437" t="s">
        <v>470</v>
      </c>
      <c r="I1437" t="s">
        <v>475</v>
      </c>
      <c r="J1437">
        <v>540</v>
      </c>
    </row>
    <row r="1438" spans="1:10">
      <c r="A1438" s="90" t="s">
        <v>216</v>
      </c>
      <c r="B1438" s="87">
        <v>45959</v>
      </c>
      <c r="C1438" t="s">
        <v>3215</v>
      </c>
      <c r="D1438" t="s">
        <v>2110</v>
      </c>
      <c r="E1438" t="s">
        <v>1667</v>
      </c>
      <c r="F1438" t="s">
        <v>3216</v>
      </c>
      <c r="G1438" t="s">
        <v>259</v>
      </c>
      <c r="H1438" t="s">
        <v>470</v>
      </c>
      <c r="I1438" t="s">
        <v>475</v>
      </c>
      <c r="J1438">
        <v>3214.9</v>
      </c>
    </row>
    <row r="1439" spans="1:10">
      <c r="A1439" s="90" t="s">
        <v>216</v>
      </c>
      <c r="B1439" s="87">
        <v>45959</v>
      </c>
      <c r="C1439" t="s">
        <v>3217</v>
      </c>
      <c r="D1439" t="s">
        <v>2110</v>
      </c>
      <c r="E1439" t="s">
        <v>477</v>
      </c>
      <c r="F1439" t="s">
        <v>283</v>
      </c>
      <c r="G1439" t="s">
        <v>74</v>
      </c>
      <c r="H1439" t="s">
        <v>470</v>
      </c>
      <c r="I1439" t="s">
        <v>471</v>
      </c>
      <c r="J1439">
        <v>250</v>
      </c>
    </row>
    <row r="1440" spans="1:10">
      <c r="A1440" s="90" t="s">
        <v>216</v>
      </c>
      <c r="B1440" s="87">
        <v>45959</v>
      </c>
      <c r="C1440" t="s">
        <v>2275</v>
      </c>
      <c r="D1440" t="s">
        <v>2110</v>
      </c>
      <c r="E1440" t="s">
        <v>477</v>
      </c>
      <c r="F1440" t="s">
        <v>518</v>
      </c>
      <c r="G1440" t="s">
        <v>74</v>
      </c>
      <c r="H1440" t="s">
        <v>470</v>
      </c>
      <c r="I1440" t="s">
        <v>471</v>
      </c>
      <c r="J1440">
        <v>3.28</v>
      </c>
    </row>
    <row r="1441" spans="1:10">
      <c r="A1441" s="90" t="s">
        <v>216</v>
      </c>
      <c r="B1441" s="87">
        <v>45959</v>
      </c>
      <c r="C1441" t="s">
        <v>2479</v>
      </c>
      <c r="D1441" t="s">
        <v>2110</v>
      </c>
      <c r="E1441" t="s">
        <v>477</v>
      </c>
      <c r="F1441" t="s">
        <v>518</v>
      </c>
      <c r="G1441" t="s">
        <v>74</v>
      </c>
      <c r="H1441" t="s">
        <v>470</v>
      </c>
      <c r="I1441" t="s">
        <v>471</v>
      </c>
      <c r="J1441">
        <v>10</v>
      </c>
    </row>
    <row r="1442" spans="1:10">
      <c r="A1442" s="90" t="s">
        <v>216</v>
      </c>
      <c r="B1442" s="87">
        <v>45959</v>
      </c>
      <c r="C1442" t="s">
        <v>3218</v>
      </c>
      <c r="D1442" t="s">
        <v>2110</v>
      </c>
      <c r="E1442" t="s">
        <v>3219</v>
      </c>
      <c r="F1442" t="s">
        <v>3220</v>
      </c>
      <c r="G1442" t="s">
        <v>285</v>
      </c>
      <c r="H1442" t="s">
        <v>470</v>
      </c>
      <c r="I1442" t="s">
        <v>487</v>
      </c>
      <c r="J1442">
        <v>2000</v>
      </c>
    </row>
    <row r="1443" spans="1:10">
      <c r="A1443" s="90" t="s">
        <v>216</v>
      </c>
      <c r="B1443" s="87">
        <v>45959</v>
      </c>
      <c r="C1443" t="s">
        <v>962</v>
      </c>
      <c r="D1443" t="s">
        <v>2110</v>
      </c>
      <c r="E1443" t="s">
        <v>512</v>
      </c>
      <c r="F1443" t="s">
        <v>963</v>
      </c>
      <c r="G1443" t="s">
        <v>474</v>
      </c>
      <c r="H1443" t="s">
        <v>470</v>
      </c>
      <c r="I1443" t="s">
        <v>475</v>
      </c>
      <c r="J1443">
        <v>55263.199999999997</v>
      </c>
    </row>
    <row r="1444" spans="1:10">
      <c r="A1444" s="90" t="s">
        <v>216</v>
      </c>
      <c r="B1444" s="87">
        <v>45959</v>
      </c>
      <c r="C1444" t="s">
        <v>964</v>
      </c>
      <c r="D1444" t="s">
        <v>2110</v>
      </c>
      <c r="E1444" t="s">
        <v>512</v>
      </c>
      <c r="F1444" t="s">
        <v>965</v>
      </c>
      <c r="G1444" t="s">
        <v>474</v>
      </c>
      <c r="H1444" t="s">
        <v>470</v>
      </c>
      <c r="I1444" t="s">
        <v>475</v>
      </c>
      <c r="J1444">
        <v>54286.400000000001</v>
      </c>
    </row>
    <row r="1445" spans="1:10">
      <c r="A1445" s="90" t="s">
        <v>216</v>
      </c>
      <c r="B1445" s="87">
        <v>45959</v>
      </c>
      <c r="C1445" t="s">
        <v>961</v>
      </c>
      <c r="D1445" t="s">
        <v>2110</v>
      </c>
      <c r="E1445" t="s">
        <v>512</v>
      </c>
      <c r="F1445" t="s">
        <v>518</v>
      </c>
      <c r="G1445" t="s">
        <v>474</v>
      </c>
      <c r="H1445" t="s">
        <v>470</v>
      </c>
      <c r="I1445" t="s">
        <v>475</v>
      </c>
      <c r="J1445">
        <v>103531.42</v>
      </c>
    </row>
    <row r="1446" spans="1:10">
      <c r="A1446" s="90" t="s">
        <v>216</v>
      </c>
      <c r="B1446" s="87">
        <v>45960</v>
      </c>
      <c r="C1446" t="s">
        <v>3221</v>
      </c>
      <c r="D1446" t="s">
        <v>2110</v>
      </c>
      <c r="E1446" t="s">
        <v>477</v>
      </c>
      <c r="F1446" t="s">
        <v>518</v>
      </c>
      <c r="G1446" t="s">
        <v>333</v>
      </c>
      <c r="H1446" t="s">
        <v>470</v>
      </c>
      <c r="I1446" t="s">
        <v>471</v>
      </c>
      <c r="J1446">
        <v>563.1</v>
      </c>
    </row>
    <row r="1447" spans="1:10">
      <c r="A1447" s="90" t="s">
        <v>216</v>
      </c>
      <c r="B1447" s="87">
        <v>45960</v>
      </c>
      <c r="C1447" t="s">
        <v>517</v>
      </c>
      <c r="D1447" t="s">
        <v>2110</v>
      </c>
      <c r="E1447" t="s">
        <v>512</v>
      </c>
      <c r="F1447" t="s">
        <v>518</v>
      </c>
      <c r="G1447" t="s">
        <v>474</v>
      </c>
      <c r="H1447" t="s">
        <v>470</v>
      </c>
      <c r="I1447" t="s">
        <v>475</v>
      </c>
      <c r="J1447">
        <v>46899.7</v>
      </c>
    </row>
    <row r="1448" spans="1:10">
      <c r="A1448" s="90" t="s">
        <v>216</v>
      </c>
      <c r="B1448" s="87">
        <v>45961</v>
      </c>
      <c r="C1448" t="s">
        <v>3222</v>
      </c>
      <c r="D1448" t="s">
        <v>2110</v>
      </c>
      <c r="E1448" t="s">
        <v>2300</v>
      </c>
      <c r="F1448" t="s">
        <v>518</v>
      </c>
      <c r="G1448" t="s">
        <v>220</v>
      </c>
      <c r="H1448" t="s">
        <v>3223</v>
      </c>
      <c r="I1448" t="s">
        <v>796</v>
      </c>
      <c r="J1448">
        <v>3024.75</v>
      </c>
    </row>
    <row r="1449" spans="1:10">
      <c r="A1449" s="90" t="s">
        <v>216</v>
      </c>
      <c r="B1449" s="87">
        <v>45961</v>
      </c>
      <c r="C1449" t="s">
        <v>3224</v>
      </c>
      <c r="D1449" t="s">
        <v>2110</v>
      </c>
      <c r="E1449" t="s">
        <v>1756</v>
      </c>
      <c r="F1449" t="s">
        <v>802</v>
      </c>
      <c r="G1449" t="s">
        <v>67</v>
      </c>
      <c r="H1449" t="s">
        <v>470</v>
      </c>
      <c r="I1449" t="s">
        <v>796</v>
      </c>
      <c r="J1449">
        <v>111.33</v>
      </c>
    </row>
    <row r="1450" spans="1:10">
      <c r="A1450" s="90" t="s">
        <v>216</v>
      </c>
      <c r="B1450" s="87">
        <v>45961</v>
      </c>
      <c r="C1450" t="s">
        <v>3224</v>
      </c>
      <c r="D1450" t="s">
        <v>2110</v>
      </c>
      <c r="E1450" t="s">
        <v>1756</v>
      </c>
      <c r="F1450" t="s">
        <v>802</v>
      </c>
      <c r="G1450" t="s">
        <v>59</v>
      </c>
      <c r="H1450" t="s">
        <v>470</v>
      </c>
      <c r="I1450" t="s">
        <v>796</v>
      </c>
      <c r="J1450">
        <v>245.54</v>
      </c>
    </row>
    <row r="1451" spans="1:10">
      <c r="A1451" s="90" t="s">
        <v>216</v>
      </c>
      <c r="B1451" s="87">
        <v>45961</v>
      </c>
      <c r="C1451" t="s">
        <v>2336</v>
      </c>
      <c r="D1451" t="s">
        <v>2110</v>
      </c>
      <c r="E1451" t="s">
        <v>480</v>
      </c>
      <c r="F1451" t="s">
        <v>518</v>
      </c>
      <c r="G1451" t="s">
        <v>71</v>
      </c>
      <c r="H1451" t="s">
        <v>470</v>
      </c>
      <c r="I1451" t="s">
        <v>475</v>
      </c>
      <c r="J1451">
        <v>2314</v>
      </c>
    </row>
    <row r="1452" spans="1:10">
      <c r="A1452" s="90" t="s">
        <v>216</v>
      </c>
      <c r="B1452" s="87">
        <v>45961</v>
      </c>
      <c r="C1452" t="s">
        <v>3225</v>
      </c>
      <c r="D1452" t="s">
        <v>2110</v>
      </c>
      <c r="E1452" t="s">
        <v>1137</v>
      </c>
      <c r="F1452" t="s">
        <v>3226</v>
      </c>
      <c r="G1452" t="s">
        <v>61</v>
      </c>
      <c r="H1452" t="s">
        <v>3112</v>
      </c>
      <c r="I1452" t="s">
        <v>487</v>
      </c>
      <c r="J1452">
        <v>1518</v>
      </c>
    </row>
    <row r="1453" spans="1:10">
      <c r="A1453" s="90" t="s">
        <v>216</v>
      </c>
      <c r="B1453" s="87">
        <v>45961</v>
      </c>
      <c r="C1453" t="s">
        <v>3227</v>
      </c>
      <c r="D1453" t="s">
        <v>2110</v>
      </c>
      <c r="E1453" t="s">
        <v>3147</v>
      </c>
      <c r="F1453" t="s">
        <v>988</v>
      </c>
      <c r="G1453" t="s">
        <v>2125</v>
      </c>
      <c r="H1453" t="s">
        <v>470</v>
      </c>
      <c r="I1453" t="s">
        <v>487</v>
      </c>
      <c r="J1453">
        <v>3707.64</v>
      </c>
    </row>
    <row r="1454" spans="1:10">
      <c r="A1454" s="90" t="s">
        <v>216</v>
      </c>
      <c r="B1454" s="87">
        <v>45961</v>
      </c>
      <c r="C1454" t="s">
        <v>2803</v>
      </c>
      <c r="D1454" t="s">
        <v>2110</v>
      </c>
      <c r="E1454" t="s">
        <v>480</v>
      </c>
      <c r="F1454" t="s">
        <v>518</v>
      </c>
      <c r="G1454" t="s">
        <v>180</v>
      </c>
      <c r="H1454" t="s">
        <v>470</v>
      </c>
      <c r="I1454" t="s">
        <v>475</v>
      </c>
      <c r="J1454">
        <v>3217.45</v>
      </c>
    </row>
    <row r="1455" spans="1:10">
      <c r="A1455" s="90" t="s">
        <v>216</v>
      </c>
      <c r="B1455" s="87">
        <v>45961</v>
      </c>
      <c r="C1455" t="s">
        <v>3228</v>
      </c>
      <c r="D1455" t="s">
        <v>2110</v>
      </c>
      <c r="E1455" t="s">
        <v>3229</v>
      </c>
      <c r="F1455" t="s">
        <v>374</v>
      </c>
      <c r="G1455" t="s">
        <v>2112</v>
      </c>
      <c r="H1455" t="s">
        <v>470</v>
      </c>
      <c r="I1455" t="s">
        <v>475</v>
      </c>
      <c r="J1455">
        <v>200000</v>
      </c>
    </row>
    <row r="1456" spans="1:10">
      <c r="A1456" s="90" t="s">
        <v>216</v>
      </c>
      <c r="B1456" s="87">
        <v>45961</v>
      </c>
      <c r="C1456" t="s">
        <v>3230</v>
      </c>
      <c r="D1456" t="s">
        <v>2110</v>
      </c>
      <c r="E1456" t="s">
        <v>3231</v>
      </c>
      <c r="F1456" t="s">
        <v>993</v>
      </c>
      <c r="G1456" t="s">
        <v>2125</v>
      </c>
      <c r="H1456" t="s">
        <v>470</v>
      </c>
      <c r="I1456" t="s">
        <v>487</v>
      </c>
      <c r="J1456">
        <v>9129.68</v>
      </c>
    </row>
    <row r="1457" spans="1:10">
      <c r="A1457" s="90" t="s">
        <v>216</v>
      </c>
      <c r="B1457" s="87">
        <v>45961</v>
      </c>
      <c r="C1457" t="s">
        <v>511</v>
      </c>
      <c r="D1457" t="s">
        <v>2110</v>
      </c>
      <c r="E1457" t="s">
        <v>512</v>
      </c>
      <c r="F1457" t="s">
        <v>518</v>
      </c>
      <c r="G1457" t="s">
        <v>474</v>
      </c>
      <c r="H1457" t="s">
        <v>470</v>
      </c>
      <c r="I1457" t="s">
        <v>475</v>
      </c>
      <c r="J1457">
        <v>112509.61</v>
      </c>
    </row>
    <row r="1458" spans="1:10">
      <c r="A1458" s="90" t="s">
        <v>216</v>
      </c>
      <c r="B1458" s="87">
        <v>45961</v>
      </c>
      <c r="C1458" t="s">
        <v>2275</v>
      </c>
      <c r="D1458" t="s">
        <v>2110</v>
      </c>
      <c r="E1458" t="s">
        <v>477</v>
      </c>
      <c r="F1458" t="s">
        <v>518</v>
      </c>
      <c r="G1458" t="s">
        <v>74</v>
      </c>
      <c r="H1458" t="s">
        <v>470</v>
      </c>
      <c r="I1458" t="s">
        <v>471</v>
      </c>
      <c r="J1458">
        <v>30</v>
      </c>
    </row>
    <row r="1459" spans="1:10">
      <c r="A1459" s="90" t="s">
        <v>216</v>
      </c>
      <c r="B1459" s="87">
        <v>45961</v>
      </c>
      <c r="C1459" t="s">
        <v>511</v>
      </c>
      <c r="D1459" t="s">
        <v>2110</v>
      </c>
      <c r="E1459" t="s">
        <v>512</v>
      </c>
      <c r="F1459" t="s">
        <v>518</v>
      </c>
      <c r="G1459" t="s">
        <v>474</v>
      </c>
      <c r="H1459" t="s">
        <v>470</v>
      </c>
      <c r="I1459" t="s">
        <v>475</v>
      </c>
      <c r="J1459">
        <v>223298.39</v>
      </c>
    </row>
    <row r="1460" spans="1:10">
      <c r="A1460" s="90" t="s">
        <v>216</v>
      </c>
      <c r="B1460" s="87">
        <v>45961</v>
      </c>
      <c r="C1460" t="s">
        <v>2348</v>
      </c>
      <c r="D1460" t="s">
        <v>2110</v>
      </c>
      <c r="E1460" t="s">
        <v>477</v>
      </c>
      <c r="F1460" t="s">
        <v>518</v>
      </c>
      <c r="G1460" t="s">
        <v>66</v>
      </c>
      <c r="H1460" t="s">
        <v>470</v>
      </c>
      <c r="I1460" t="s">
        <v>471</v>
      </c>
      <c r="J1460">
        <v>319.82</v>
      </c>
    </row>
    <row r="1461" spans="1:10">
      <c r="A1461" s="90" t="s">
        <v>216</v>
      </c>
      <c r="B1461" s="87">
        <v>45961</v>
      </c>
      <c r="C1461" t="s">
        <v>2347</v>
      </c>
      <c r="D1461" t="s">
        <v>2110</v>
      </c>
      <c r="E1461" t="s">
        <v>477</v>
      </c>
      <c r="F1461" t="s">
        <v>518</v>
      </c>
      <c r="G1461" t="s">
        <v>68</v>
      </c>
      <c r="H1461" t="s">
        <v>470</v>
      </c>
      <c r="I1461" t="s">
        <v>471</v>
      </c>
      <c r="J1461">
        <v>38.61</v>
      </c>
    </row>
    <row r="1462" spans="1:10">
      <c r="A1462" s="90" t="s">
        <v>216</v>
      </c>
      <c r="B1462" s="87">
        <v>45961</v>
      </c>
      <c r="C1462" t="s">
        <v>2347</v>
      </c>
      <c r="D1462" t="s">
        <v>2110</v>
      </c>
      <c r="E1462" t="s">
        <v>477</v>
      </c>
      <c r="F1462" t="s">
        <v>518</v>
      </c>
      <c r="G1462" t="s">
        <v>68</v>
      </c>
      <c r="H1462" t="s">
        <v>470</v>
      </c>
      <c r="I1462" t="s">
        <v>471</v>
      </c>
      <c r="J1462">
        <v>632.01</v>
      </c>
    </row>
    <row r="1463" spans="1:10">
      <c r="A1463" s="90" t="s">
        <v>216</v>
      </c>
      <c r="B1463" s="87">
        <v>45964</v>
      </c>
      <c r="C1463" t="s">
        <v>3232</v>
      </c>
      <c r="D1463" t="s">
        <v>2110</v>
      </c>
      <c r="E1463" t="s">
        <v>3233</v>
      </c>
      <c r="F1463" t="s">
        <v>1007</v>
      </c>
      <c r="G1463" t="s">
        <v>2125</v>
      </c>
      <c r="H1463" t="s">
        <v>470</v>
      </c>
      <c r="I1463" t="s">
        <v>487</v>
      </c>
      <c r="J1463">
        <v>7722.4</v>
      </c>
    </row>
    <row r="1464" spans="1:10">
      <c r="A1464" s="90" t="s">
        <v>216</v>
      </c>
      <c r="B1464" s="87">
        <v>45964</v>
      </c>
      <c r="C1464" t="s">
        <v>3234</v>
      </c>
      <c r="D1464" t="s">
        <v>2110</v>
      </c>
      <c r="E1464" t="s">
        <v>2262</v>
      </c>
      <c r="F1464" t="s">
        <v>3235</v>
      </c>
      <c r="G1464" t="s">
        <v>73</v>
      </c>
      <c r="H1464" t="s">
        <v>3236</v>
      </c>
      <c r="I1464" t="s">
        <v>796</v>
      </c>
      <c r="J1464">
        <v>633.01</v>
      </c>
    </row>
    <row r="1465" spans="1:10">
      <c r="A1465" s="90" t="s">
        <v>216</v>
      </c>
      <c r="B1465" s="87">
        <v>45964</v>
      </c>
      <c r="C1465" t="s">
        <v>2454</v>
      </c>
      <c r="D1465" t="s">
        <v>2110</v>
      </c>
      <c r="E1465" t="s">
        <v>480</v>
      </c>
      <c r="F1465" t="s">
        <v>968</v>
      </c>
      <c r="G1465" t="s">
        <v>71</v>
      </c>
      <c r="H1465" t="s">
        <v>470</v>
      </c>
      <c r="I1465" t="s">
        <v>475</v>
      </c>
      <c r="J1465">
        <v>10000</v>
      </c>
    </row>
    <row r="1466" spans="1:10">
      <c r="A1466" s="90" t="s">
        <v>216</v>
      </c>
      <c r="B1466" s="87">
        <v>45964</v>
      </c>
      <c r="C1466" t="s">
        <v>3237</v>
      </c>
      <c r="D1466" t="s">
        <v>2110</v>
      </c>
      <c r="E1466" t="s">
        <v>477</v>
      </c>
      <c r="F1466" t="s">
        <v>2273</v>
      </c>
      <c r="G1466" t="s">
        <v>2269</v>
      </c>
      <c r="H1466" t="s">
        <v>3238</v>
      </c>
      <c r="I1466" t="s">
        <v>471</v>
      </c>
      <c r="J1466">
        <v>10125</v>
      </c>
    </row>
    <row r="1467" spans="1:10">
      <c r="A1467" s="90" t="s">
        <v>216</v>
      </c>
      <c r="B1467" s="87">
        <v>45964</v>
      </c>
      <c r="C1467" t="s">
        <v>3237</v>
      </c>
      <c r="D1467" t="s">
        <v>2110</v>
      </c>
      <c r="E1467" t="s">
        <v>477</v>
      </c>
      <c r="F1467" t="s">
        <v>2273</v>
      </c>
      <c r="G1467" t="s">
        <v>2271</v>
      </c>
      <c r="H1467" t="s">
        <v>3238</v>
      </c>
      <c r="I1467" t="s">
        <v>471</v>
      </c>
      <c r="J1467">
        <v>360.78</v>
      </c>
    </row>
    <row r="1468" spans="1:10">
      <c r="A1468" s="90" t="s">
        <v>216</v>
      </c>
      <c r="B1468" s="87">
        <v>45964</v>
      </c>
      <c r="C1468" t="s">
        <v>2275</v>
      </c>
      <c r="D1468" t="s">
        <v>2110</v>
      </c>
      <c r="E1468" t="s">
        <v>477</v>
      </c>
      <c r="F1468" t="s">
        <v>968</v>
      </c>
      <c r="G1468" t="s">
        <v>74</v>
      </c>
      <c r="H1468" t="s">
        <v>470</v>
      </c>
      <c r="I1468" t="s">
        <v>471</v>
      </c>
      <c r="J1468">
        <v>10</v>
      </c>
    </row>
    <row r="1469" spans="1:10">
      <c r="A1469" s="90" t="s">
        <v>216</v>
      </c>
      <c r="B1469" s="87">
        <v>45964</v>
      </c>
      <c r="C1469" t="s">
        <v>2479</v>
      </c>
      <c r="D1469" t="s">
        <v>2110</v>
      </c>
      <c r="E1469" t="s">
        <v>477</v>
      </c>
      <c r="F1469" t="s">
        <v>968</v>
      </c>
      <c r="G1469" t="s">
        <v>74</v>
      </c>
      <c r="H1469" t="s">
        <v>470</v>
      </c>
      <c r="I1469" t="s">
        <v>471</v>
      </c>
      <c r="J1469">
        <v>15</v>
      </c>
    </row>
    <row r="1470" spans="1:10">
      <c r="A1470" s="90" t="s">
        <v>216</v>
      </c>
      <c r="B1470" s="87">
        <v>45964</v>
      </c>
      <c r="C1470" t="s">
        <v>511</v>
      </c>
      <c r="D1470" t="s">
        <v>2110</v>
      </c>
      <c r="E1470" t="s">
        <v>512</v>
      </c>
      <c r="F1470" t="s">
        <v>968</v>
      </c>
      <c r="G1470" t="s">
        <v>474</v>
      </c>
      <c r="H1470" t="s">
        <v>470</v>
      </c>
      <c r="I1470" t="s">
        <v>475</v>
      </c>
      <c r="J1470">
        <v>18380.41</v>
      </c>
    </row>
    <row r="1471" spans="1:10">
      <c r="A1471" s="90" t="s">
        <v>216</v>
      </c>
      <c r="B1471" s="87">
        <v>45965</v>
      </c>
      <c r="C1471" t="s">
        <v>3239</v>
      </c>
      <c r="D1471" t="s">
        <v>2110</v>
      </c>
      <c r="E1471" t="s">
        <v>3231</v>
      </c>
      <c r="F1471" t="s">
        <v>993</v>
      </c>
      <c r="G1471" t="s">
        <v>2125</v>
      </c>
      <c r="H1471" t="s">
        <v>470</v>
      </c>
      <c r="I1471" t="s">
        <v>487</v>
      </c>
      <c r="J1471">
        <v>3822.72</v>
      </c>
    </row>
    <row r="1472" spans="1:10">
      <c r="A1472" s="90" t="s">
        <v>216</v>
      </c>
      <c r="B1472" s="87">
        <v>45965</v>
      </c>
      <c r="C1472" t="s">
        <v>3240</v>
      </c>
      <c r="D1472" t="s">
        <v>2110</v>
      </c>
      <c r="E1472" t="s">
        <v>3136</v>
      </c>
      <c r="F1472" t="s">
        <v>349</v>
      </c>
      <c r="G1472" t="s">
        <v>2494</v>
      </c>
      <c r="H1472" t="s">
        <v>470</v>
      </c>
      <c r="I1472" t="s">
        <v>796</v>
      </c>
      <c r="J1472">
        <v>1460.94</v>
      </c>
    </row>
    <row r="1473" spans="1:10">
      <c r="A1473" s="90" t="s">
        <v>216</v>
      </c>
      <c r="B1473" s="87">
        <v>45965</v>
      </c>
      <c r="C1473" t="s">
        <v>3241</v>
      </c>
      <c r="D1473" t="s">
        <v>2110</v>
      </c>
      <c r="E1473" t="s">
        <v>3136</v>
      </c>
      <c r="F1473" t="s">
        <v>349</v>
      </c>
      <c r="G1473" t="s">
        <v>2494</v>
      </c>
      <c r="H1473" t="s">
        <v>470</v>
      </c>
      <c r="I1473" t="s">
        <v>796</v>
      </c>
      <c r="J1473">
        <v>973.96</v>
      </c>
    </row>
    <row r="1474" spans="1:10">
      <c r="A1474" s="90" t="s">
        <v>216</v>
      </c>
      <c r="B1474" s="87">
        <v>45965</v>
      </c>
      <c r="C1474" t="s">
        <v>3242</v>
      </c>
      <c r="D1474" t="s">
        <v>2110</v>
      </c>
      <c r="E1474" t="s">
        <v>3243</v>
      </c>
      <c r="F1474" t="s">
        <v>2248</v>
      </c>
      <c r="G1474" t="s">
        <v>57</v>
      </c>
      <c r="H1474" t="s">
        <v>470</v>
      </c>
      <c r="I1474" t="s">
        <v>475</v>
      </c>
      <c r="J1474">
        <v>1680</v>
      </c>
    </row>
    <row r="1475" spans="1:10">
      <c r="A1475" s="90" t="s">
        <v>216</v>
      </c>
      <c r="B1475" s="87">
        <v>45965</v>
      </c>
      <c r="C1475" t="s">
        <v>2479</v>
      </c>
      <c r="D1475" t="s">
        <v>2110</v>
      </c>
      <c r="E1475" t="s">
        <v>477</v>
      </c>
      <c r="F1475" t="s">
        <v>968</v>
      </c>
      <c r="G1475" t="s">
        <v>74</v>
      </c>
      <c r="H1475" t="s">
        <v>470</v>
      </c>
      <c r="I1475" t="s">
        <v>471</v>
      </c>
      <c r="J1475">
        <v>10</v>
      </c>
    </row>
    <row r="1476" spans="1:10">
      <c r="A1476" s="90" t="s">
        <v>216</v>
      </c>
      <c r="B1476" s="87">
        <v>45965</v>
      </c>
      <c r="C1476" t="s">
        <v>511</v>
      </c>
      <c r="D1476" t="s">
        <v>2110</v>
      </c>
      <c r="E1476" t="s">
        <v>512</v>
      </c>
      <c r="F1476" t="s">
        <v>968</v>
      </c>
      <c r="G1476" t="s">
        <v>474</v>
      </c>
      <c r="H1476" t="s">
        <v>470</v>
      </c>
      <c r="I1476" t="s">
        <v>475</v>
      </c>
      <c r="J1476">
        <v>7947.62</v>
      </c>
    </row>
    <row r="1477" spans="1:10">
      <c r="A1477" s="90" t="s">
        <v>216</v>
      </c>
      <c r="B1477" s="87">
        <v>45966</v>
      </c>
      <c r="C1477" t="s">
        <v>3244</v>
      </c>
      <c r="D1477" t="s">
        <v>2110</v>
      </c>
      <c r="E1477" t="s">
        <v>970</v>
      </c>
      <c r="F1477" t="s">
        <v>981</v>
      </c>
      <c r="G1477" t="s">
        <v>2112</v>
      </c>
      <c r="H1477" t="s">
        <v>470</v>
      </c>
      <c r="I1477" t="s">
        <v>475</v>
      </c>
      <c r="J1477">
        <v>3748</v>
      </c>
    </row>
    <row r="1478" spans="1:10">
      <c r="A1478" s="90" t="s">
        <v>216</v>
      </c>
      <c r="B1478" s="87">
        <v>45966</v>
      </c>
      <c r="C1478" t="s">
        <v>3245</v>
      </c>
      <c r="D1478" t="s">
        <v>2110</v>
      </c>
      <c r="E1478" t="s">
        <v>3026</v>
      </c>
      <c r="F1478" t="s">
        <v>828</v>
      </c>
      <c r="G1478" t="s">
        <v>2125</v>
      </c>
      <c r="H1478" t="s">
        <v>470</v>
      </c>
      <c r="I1478" t="s">
        <v>487</v>
      </c>
      <c r="J1478">
        <v>5711.25</v>
      </c>
    </row>
    <row r="1479" spans="1:10">
      <c r="A1479" s="90" t="s">
        <v>216</v>
      </c>
      <c r="B1479" s="87">
        <v>45966</v>
      </c>
      <c r="C1479" t="s">
        <v>2876</v>
      </c>
      <c r="D1479" t="s">
        <v>2110</v>
      </c>
      <c r="E1479" t="s">
        <v>1756</v>
      </c>
      <c r="F1479" t="s">
        <v>518</v>
      </c>
      <c r="G1479" t="s">
        <v>67</v>
      </c>
      <c r="H1479" t="s">
        <v>470</v>
      </c>
      <c r="I1479" t="s">
        <v>796</v>
      </c>
      <c r="J1479">
        <v>567.78</v>
      </c>
    </row>
    <row r="1480" spans="1:10">
      <c r="A1480" s="90" t="s">
        <v>216</v>
      </c>
      <c r="B1480" s="87">
        <v>45966</v>
      </c>
      <c r="C1480" t="s">
        <v>972</v>
      </c>
      <c r="D1480" t="s">
        <v>2110</v>
      </c>
      <c r="E1480" t="s">
        <v>493</v>
      </c>
      <c r="F1480" t="s">
        <v>973</v>
      </c>
      <c r="G1480" t="s">
        <v>192</v>
      </c>
      <c r="H1480" t="s">
        <v>470</v>
      </c>
      <c r="I1480" t="s">
        <v>482</v>
      </c>
      <c r="J1480">
        <v>7846.74</v>
      </c>
    </row>
    <row r="1481" spans="1:10">
      <c r="A1481" s="90" t="s">
        <v>216</v>
      </c>
      <c r="B1481" s="87">
        <v>45966</v>
      </c>
      <c r="C1481" t="s">
        <v>974</v>
      </c>
      <c r="D1481" t="s">
        <v>2110</v>
      </c>
      <c r="E1481" t="s">
        <v>493</v>
      </c>
      <c r="F1481" t="s">
        <v>975</v>
      </c>
      <c r="G1481" t="s">
        <v>192</v>
      </c>
      <c r="H1481" t="s">
        <v>470</v>
      </c>
      <c r="I1481" t="s">
        <v>482</v>
      </c>
      <c r="J1481">
        <v>14373.27</v>
      </c>
    </row>
    <row r="1482" spans="1:10">
      <c r="A1482" s="90" t="s">
        <v>216</v>
      </c>
      <c r="B1482" s="87">
        <v>45966</v>
      </c>
      <c r="C1482" t="s">
        <v>976</v>
      </c>
      <c r="D1482" t="s">
        <v>2110</v>
      </c>
      <c r="E1482" t="s">
        <v>977</v>
      </c>
      <c r="F1482" t="s">
        <v>281</v>
      </c>
      <c r="G1482" t="s">
        <v>192</v>
      </c>
      <c r="H1482" t="s">
        <v>470</v>
      </c>
      <c r="I1482" t="s">
        <v>482</v>
      </c>
      <c r="J1482">
        <v>20623.330000000002</v>
      </c>
    </row>
    <row r="1483" spans="1:10">
      <c r="A1483" s="90" t="s">
        <v>216</v>
      </c>
      <c r="B1483" s="87">
        <v>45966</v>
      </c>
      <c r="C1483" t="s">
        <v>978</v>
      </c>
      <c r="D1483" t="s">
        <v>2110</v>
      </c>
      <c r="E1483" t="s">
        <v>977</v>
      </c>
      <c r="F1483" t="s">
        <v>304</v>
      </c>
      <c r="G1483" t="s">
        <v>192</v>
      </c>
      <c r="H1483" t="s">
        <v>470</v>
      </c>
      <c r="I1483" t="s">
        <v>482</v>
      </c>
      <c r="J1483">
        <v>6456.72</v>
      </c>
    </row>
    <row r="1484" spans="1:10">
      <c r="A1484" s="90" t="s">
        <v>216</v>
      </c>
      <c r="B1484" s="87">
        <v>45966</v>
      </c>
      <c r="C1484" t="s">
        <v>979</v>
      </c>
      <c r="D1484" t="s">
        <v>2110</v>
      </c>
      <c r="E1484" t="s">
        <v>977</v>
      </c>
      <c r="F1484" t="s">
        <v>310</v>
      </c>
      <c r="G1484" t="s">
        <v>192</v>
      </c>
      <c r="H1484" t="s">
        <v>470</v>
      </c>
      <c r="I1484" t="s">
        <v>482</v>
      </c>
      <c r="J1484">
        <v>4678.4399999999996</v>
      </c>
    </row>
    <row r="1485" spans="1:10">
      <c r="A1485" s="90" t="s">
        <v>216</v>
      </c>
      <c r="B1485" s="87">
        <v>45966</v>
      </c>
      <c r="C1485" t="s">
        <v>3246</v>
      </c>
      <c r="D1485" t="s">
        <v>2110</v>
      </c>
      <c r="E1485" t="s">
        <v>1667</v>
      </c>
      <c r="F1485" t="s">
        <v>3247</v>
      </c>
      <c r="G1485" t="s">
        <v>2115</v>
      </c>
      <c r="H1485" t="s">
        <v>470</v>
      </c>
      <c r="I1485" t="s">
        <v>475</v>
      </c>
      <c r="J1485">
        <v>383.6</v>
      </c>
    </row>
    <row r="1486" spans="1:10">
      <c r="A1486" s="90" t="s">
        <v>216</v>
      </c>
      <c r="B1486" s="87">
        <v>45966</v>
      </c>
      <c r="C1486" t="s">
        <v>3246</v>
      </c>
      <c r="D1486" t="s">
        <v>2110</v>
      </c>
      <c r="E1486" t="s">
        <v>1667</v>
      </c>
      <c r="F1486" t="s">
        <v>3247</v>
      </c>
      <c r="G1486" t="s">
        <v>259</v>
      </c>
      <c r="H1486" t="s">
        <v>470</v>
      </c>
      <c r="I1486" t="s">
        <v>475</v>
      </c>
      <c r="J1486">
        <v>2463.1999999999998</v>
      </c>
    </row>
    <row r="1487" spans="1:10">
      <c r="A1487" s="90" t="s">
        <v>216</v>
      </c>
      <c r="B1487" s="87">
        <v>45966</v>
      </c>
      <c r="C1487" t="s">
        <v>3244</v>
      </c>
      <c r="D1487" t="s">
        <v>2110</v>
      </c>
      <c r="E1487" t="s">
        <v>970</v>
      </c>
      <c r="F1487" t="s">
        <v>981</v>
      </c>
      <c r="G1487" t="s">
        <v>2112</v>
      </c>
      <c r="H1487" t="s">
        <v>470</v>
      </c>
      <c r="I1487" t="s">
        <v>475</v>
      </c>
      <c r="J1487">
        <v>57980.23</v>
      </c>
    </row>
    <row r="1488" spans="1:10">
      <c r="A1488" s="90" t="s">
        <v>216</v>
      </c>
      <c r="B1488" s="87">
        <v>45966</v>
      </c>
      <c r="C1488" t="s">
        <v>3248</v>
      </c>
      <c r="D1488" t="s">
        <v>2110</v>
      </c>
      <c r="E1488" t="s">
        <v>2277</v>
      </c>
      <c r="F1488" t="s">
        <v>3249</v>
      </c>
      <c r="G1488" t="s">
        <v>65</v>
      </c>
      <c r="H1488" t="s">
        <v>3112</v>
      </c>
      <c r="I1488" t="s">
        <v>796</v>
      </c>
      <c r="J1488">
        <v>183</v>
      </c>
    </row>
    <row r="1489" spans="1:10">
      <c r="A1489" s="90" t="s">
        <v>216</v>
      </c>
      <c r="B1489" s="87">
        <v>45966</v>
      </c>
      <c r="C1489" t="s">
        <v>2275</v>
      </c>
      <c r="D1489" t="s">
        <v>2110</v>
      </c>
      <c r="E1489" t="s">
        <v>477</v>
      </c>
      <c r="F1489" t="s">
        <v>968</v>
      </c>
      <c r="G1489" t="s">
        <v>74</v>
      </c>
      <c r="H1489" t="s">
        <v>470</v>
      </c>
      <c r="I1489" t="s">
        <v>471</v>
      </c>
      <c r="J1489">
        <v>5</v>
      </c>
    </row>
    <row r="1490" spans="1:10">
      <c r="A1490" s="90" t="s">
        <v>216</v>
      </c>
      <c r="B1490" s="87">
        <v>45966</v>
      </c>
      <c r="C1490" t="s">
        <v>2275</v>
      </c>
      <c r="D1490" t="s">
        <v>2110</v>
      </c>
      <c r="E1490" t="s">
        <v>477</v>
      </c>
      <c r="F1490" t="s">
        <v>968</v>
      </c>
      <c r="G1490" t="s">
        <v>74</v>
      </c>
      <c r="H1490" t="s">
        <v>470</v>
      </c>
      <c r="I1490" t="s">
        <v>471</v>
      </c>
      <c r="J1490">
        <v>10</v>
      </c>
    </row>
    <row r="1491" spans="1:10">
      <c r="A1491" s="90" t="s">
        <v>216</v>
      </c>
      <c r="B1491" s="87">
        <v>45966</v>
      </c>
      <c r="C1491" t="s">
        <v>511</v>
      </c>
      <c r="D1491" t="s">
        <v>2110</v>
      </c>
      <c r="E1491" t="s">
        <v>512</v>
      </c>
      <c r="F1491" t="s">
        <v>968</v>
      </c>
      <c r="G1491" t="s">
        <v>474</v>
      </c>
      <c r="H1491" t="s">
        <v>470</v>
      </c>
      <c r="I1491" t="s">
        <v>475</v>
      </c>
      <c r="J1491">
        <v>9323.83</v>
      </c>
    </row>
    <row r="1492" spans="1:10">
      <c r="A1492" s="90" t="s">
        <v>216</v>
      </c>
      <c r="B1492" s="87">
        <v>45967</v>
      </c>
      <c r="C1492" t="s">
        <v>3250</v>
      </c>
      <c r="D1492" t="s">
        <v>2110</v>
      </c>
      <c r="E1492" t="s">
        <v>3251</v>
      </c>
      <c r="F1492" t="s">
        <v>1023</v>
      </c>
      <c r="G1492" t="s">
        <v>2125</v>
      </c>
      <c r="H1492" t="s">
        <v>470</v>
      </c>
      <c r="I1492" t="s">
        <v>475</v>
      </c>
      <c r="J1492">
        <v>6981.52</v>
      </c>
    </row>
    <row r="1493" spans="1:10">
      <c r="A1493" s="90" t="s">
        <v>216</v>
      </c>
      <c r="B1493" s="87">
        <v>45967</v>
      </c>
      <c r="C1493" t="s">
        <v>517</v>
      </c>
      <c r="D1493" t="s">
        <v>2110</v>
      </c>
      <c r="E1493" t="s">
        <v>512</v>
      </c>
      <c r="F1493" t="s">
        <v>968</v>
      </c>
      <c r="G1493" t="s">
        <v>474</v>
      </c>
      <c r="H1493" t="s">
        <v>470</v>
      </c>
      <c r="I1493" t="s">
        <v>475</v>
      </c>
      <c r="J1493">
        <v>44229.08</v>
      </c>
    </row>
    <row r="1494" spans="1:10">
      <c r="A1494" s="90" t="s">
        <v>216</v>
      </c>
      <c r="B1494" s="87">
        <v>45967</v>
      </c>
      <c r="C1494" t="s">
        <v>2275</v>
      </c>
      <c r="D1494" t="s">
        <v>2110</v>
      </c>
      <c r="E1494" t="s">
        <v>2393</v>
      </c>
      <c r="F1494" t="s">
        <v>968</v>
      </c>
      <c r="G1494" t="s">
        <v>74</v>
      </c>
      <c r="H1494" t="s">
        <v>470</v>
      </c>
      <c r="I1494" t="s">
        <v>471</v>
      </c>
      <c r="J1494">
        <v>40</v>
      </c>
    </row>
    <row r="1495" spans="1:10">
      <c r="A1495" s="90" t="s">
        <v>216</v>
      </c>
      <c r="B1495" s="87">
        <v>45968</v>
      </c>
      <c r="C1495" t="s">
        <v>517</v>
      </c>
      <c r="D1495" t="s">
        <v>2110</v>
      </c>
      <c r="E1495" t="s">
        <v>512</v>
      </c>
      <c r="F1495" t="s">
        <v>968</v>
      </c>
      <c r="G1495" t="s">
        <v>474</v>
      </c>
      <c r="H1495" t="s">
        <v>470</v>
      </c>
      <c r="I1495" t="s">
        <v>475</v>
      </c>
      <c r="J1495">
        <v>65072</v>
      </c>
    </row>
    <row r="1496" spans="1:10">
      <c r="A1496" s="90" t="s">
        <v>216</v>
      </c>
      <c r="B1496" s="87">
        <v>45971</v>
      </c>
      <c r="C1496" t="s">
        <v>3252</v>
      </c>
      <c r="D1496" t="s">
        <v>2110</v>
      </c>
      <c r="E1496" t="s">
        <v>1445</v>
      </c>
      <c r="F1496" t="s">
        <v>986</v>
      </c>
      <c r="G1496" t="s">
        <v>2213</v>
      </c>
      <c r="H1496" t="s">
        <v>470</v>
      </c>
      <c r="I1496" t="s">
        <v>487</v>
      </c>
      <c r="J1496">
        <v>464.8</v>
      </c>
    </row>
    <row r="1497" spans="1:10">
      <c r="A1497" s="90" t="s">
        <v>216</v>
      </c>
      <c r="B1497" s="87">
        <v>45971</v>
      </c>
      <c r="C1497" t="s">
        <v>3253</v>
      </c>
      <c r="D1497" t="s">
        <v>2110</v>
      </c>
      <c r="E1497" t="s">
        <v>3251</v>
      </c>
      <c r="F1497" t="s">
        <v>1023</v>
      </c>
      <c r="G1497" t="s">
        <v>2125</v>
      </c>
      <c r="H1497" t="s">
        <v>470</v>
      </c>
      <c r="I1497" t="s">
        <v>475</v>
      </c>
      <c r="J1497">
        <v>2902.08</v>
      </c>
    </row>
    <row r="1498" spans="1:10">
      <c r="A1498" s="90" t="s">
        <v>216</v>
      </c>
      <c r="B1498" s="87">
        <v>45971</v>
      </c>
      <c r="C1498" t="s">
        <v>2454</v>
      </c>
      <c r="D1498" t="s">
        <v>2110</v>
      </c>
      <c r="E1498" t="s">
        <v>480</v>
      </c>
      <c r="F1498" t="s">
        <v>968</v>
      </c>
      <c r="G1498" t="s">
        <v>71</v>
      </c>
      <c r="H1498" t="s">
        <v>470</v>
      </c>
      <c r="I1498" t="s">
        <v>475</v>
      </c>
      <c r="J1498">
        <v>15000</v>
      </c>
    </row>
    <row r="1499" spans="1:10">
      <c r="A1499" s="90" t="s">
        <v>216</v>
      </c>
      <c r="B1499" s="87">
        <v>45971</v>
      </c>
      <c r="C1499" t="s">
        <v>3254</v>
      </c>
      <c r="D1499" t="s">
        <v>2110</v>
      </c>
      <c r="E1499" t="s">
        <v>812</v>
      </c>
      <c r="F1499" t="s">
        <v>281</v>
      </c>
      <c r="G1499" t="s">
        <v>182</v>
      </c>
      <c r="H1499" t="s">
        <v>470</v>
      </c>
      <c r="I1499" t="s">
        <v>796</v>
      </c>
      <c r="J1499">
        <v>11399.77</v>
      </c>
    </row>
    <row r="1500" spans="1:10">
      <c r="A1500" s="90" t="s">
        <v>216</v>
      </c>
      <c r="B1500" s="87">
        <v>45971</v>
      </c>
      <c r="C1500" t="s">
        <v>3255</v>
      </c>
      <c r="D1500" t="s">
        <v>2110</v>
      </c>
      <c r="E1500" t="s">
        <v>2702</v>
      </c>
      <c r="F1500" t="s">
        <v>3256</v>
      </c>
      <c r="G1500" t="s">
        <v>63</v>
      </c>
      <c r="H1500" t="s">
        <v>470</v>
      </c>
      <c r="I1500" t="s">
        <v>796</v>
      </c>
      <c r="J1500">
        <v>896.95</v>
      </c>
    </row>
    <row r="1501" spans="1:10">
      <c r="A1501" s="90" t="s">
        <v>216</v>
      </c>
      <c r="B1501" s="87">
        <v>45971</v>
      </c>
      <c r="C1501" t="s">
        <v>2454</v>
      </c>
      <c r="D1501" t="s">
        <v>2110</v>
      </c>
      <c r="E1501" t="s">
        <v>480</v>
      </c>
      <c r="F1501" t="s">
        <v>968</v>
      </c>
      <c r="G1501" t="s">
        <v>71</v>
      </c>
      <c r="H1501" t="s">
        <v>470</v>
      </c>
      <c r="I1501" t="s">
        <v>475</v>
      </c>
      <c r="J1501">
        <v>1000</v>
      </c>
    </row>
    <row r="1502" spans="1:10">
      <c r="A1502" s="90" t="s">
        <v>216</v>
      </c>
      <c r="B1502" s="87">
        <v>45971</v>
      </c>
      <c r="C1502" t="s">
        <v>2454</v>
      </c>
      <c r="D1502" t="s">
        <v>2110</v>
      </c>
      <c r="E1502" t="s">
        <v>480</v>
      </c>
      <c r="F1502" t="s">
        <v>968</v>
      </c>
      <c r="G1502" t="s">
        <v>71</v>
      </c>
      <c r="H1502" t="s">
        <v>470</v>
      </c>
      <c r="I1502" t="s">
        <v>475</v>
      </c>
      <c r="J1502">
        <v>14000</v>
      </c>
    </row>
    <row r="1503" spans="1:10">
      <c r="A1503" s="90" t="s">
        <v>216</v>
      </c>
      <c r="B1503" s="87">
        <v>45971</v>
      </c>
      <c r="C1503" t="s">
        <v>3257</v>
      </c>
      <c r="D1503" t="s">
        <v>2110</v>
      </c>
      <c r="E1503" t="s">
        <v>2316</v>
      </c>
      <c r="F1503" t="s">
        <v>518</v>
      </c>
      <c r="G1503" t="s">
        <v>217</v>
      </c>
      <c r="H1503" t="s">
        <v>3112</v>
      </c>
      <c r="I1503" t="s">
        <v>796</v>
      </c>
      <c r="J1503">
        <v>201.54</v>
      </c>
    </row>
    <row r="1504" spans="1:10">
      <c r="A1504" s="90" t="s">
        <v>216</v>
      </c>
      <c r="B1504" s="87">
        <v>45971</v>
      </c>
      <c r="C1504" t="s">
        <v>3016</v>
      </c>
      <c r="D1504" t="s">
        <v>2110</v>
      </c>
      <c r="E1504" t="s">
        <v>2900</v>
      </c>
      <c r="F1504" t="s">
        <v>968</v>
      </c>
      <c r="G1504" t="s">
        <v>302</v>
      </c>
      <c r="H1504" t="s">
        <v>3258</v>
      </c>
      <c r="I1504" t="s">
        <v>796</v>
      </c>
      <c r="J1504">
        <v>2500</v>
      </c>
    </row>
    <row r="1505" spans="1:10">
      <c r="A1505" s="90" t="s">
        <v>216</v>
      </c>
      <c r="B1505" s="87">
        <v>45971</v>
      </c>
      <c r="C1505" t="s">
        <v>3259</v>
      </c>
      <c r="D1505" t="s">
        <v>2110</v>
      </c>
      <c r="E1505" t="s">
        <v>1137</v>
      </c>
      <c r="F1505" t="s">
        <v>3260</v>
      </c>
      <c r="G1505" t="s">
        <v>61</v>
      </c>
      <c r="H1505" t="s">
        <v>470</v>
      </c>
      <c r="I1505" t="s">
        <v>487</v>
      </c>
      <c r="J1505">
        <v>40000</v>
      </c>
    </row>
    <row r="1506" spans="1:10">
      <c r="A1506" s="90" t="s">
        <v>216</v>
      </c>
      <c r="B1506" s="87">
        <v>45971</v>
      </c>
      <c r="C1506" t="s">
        <v>2895</v>
      </c>
      <c r="D1506" t="s">
        <v>2110</v>
      </c>
      <c r="E1506" t="s">
        <v>477</v>
      </c>
      <c r="F1506" t="s">
        <v>514</v>
      </c>
      <c r="G1506" t="s">
        <v>537</v>
      </c>
      <c r="H1506" t="s">
        <v>3261</v>
      </c>
      <c r="I1506" t="s">
        <v>471</v>
      </c>
      <c r="J1506">
        <v>43571.43</v>
      </c>
    </row>
    <row r="1507" spans="1:10">
      <c r="A1507" s="90" t="s">
        <v>216</v>
      </c>
      <c r="B1507" s="87">
        <v>45971</v>
      </c>
      <c r="C1507" t="s">
        <v>2895</v>
      </c>
      <c r="D1507" t="s">
        <v>2110</v>
      </c>
      <c r="E1507" t="s">
        <v>477</v>
      </c>
      <c r="F1507" t="s">
        <v>514</v>
      </c>
      <c r="G1507" t="s">
        <v>69</v>
      </c>
      <c r="H1507" t="s">
        <v>3261</v>
      </c>
      <c r="I1507" t="s">
        <v>471</v>
      </c>
      <c r="J1507">
        <v>33713.83</v>
      </c>
    </row>
    <row r="1508" spans="1:10">
      <c r="A1508" s="90" t="s">
        <v>216</v>
      </c>
      <c r="B1508" s="87">
        <v>45971</v>
      </c>
      <c r="C1508" t="s">
        <v>2275</v>
      </c>
      <c r="D1508" t="s">
        <v>2110</v>
      </c>
      <c r="E1508" t="s">
        <v>477</v>
      </c>
      <c r="F1508" t="s">
        <v>968</v>
      </c>
      <c r="G1508" t="s">
        <v>74</v>
      </c>
      <c r="H1508" t="s">
        <v>470</v>
      </c>
      <c r="I1508" t="s">
        <v>471</v>
      </c>
      <c r="J1508">
        <v>95</v>
      </c>
    </row>
    <row r="1509" spans="1:10">
      <c r="A1509" s="90" t="s">
        <v>216</v>
      </c>
      <c r="B1509" s="87">
        <v>45971</v>
      </c>
      <c r="C1509" t="s">
        <v>2275</v>
      </c>
      <c r="D1509" t="s">
        <v>2110</v>
      </c>
      <c r="E1509" t="s">
        <v>477</v>
      </c>
      <c r="F1509" t="s">
        <v>968</v>
      </c>
      <c r="G1509" t="s">
        <v>74</v>
      </c>
      <c r="H1509" t="s">
        <v>470</v>
      </c>
      <c r="I1509" t="s">
        <v>471</v>
      </c>
      <c r="J1509">
        <v>24.6</v>
      </c>
    </row>
    <row r="1510" spans="1:10">
      <c r="A1510" s="90" t="s">
        <v>216</v>
      </c>
      <c r="B1510" s="87">
        <v>45971</v>
      </c>
      <c r="C1510" t="s">
        <v>2295</v>
      </c>
      <c r="D1510" t="s">
        <v>2110</v>
      </c>
      <c r="E1510" t="s">
        <v>477</v>
      </c>
      <c r="F1510" t="s">
        <v>968</v>
      </c>
      <c r="G1510" t="s">
        <v>2295</v>
      </c>
      <c r="H1510" t="s">
        <v>470</v>
      </c>
      <c r="I1510" t="s">
        <v>471</v>
      </c>
      <c r="J1510">
        <v>2579.94</v>
      </c>
    </row>
    <row r="1511" spans="1:10">
      <c r="A1511" s="90" t="s">
        <v>216</v>
      </c>
      <c r="B1511" s="87">
        <v>45971</v>
      </c>
      <c r="C1511" t="s">
        <v>511</v>
      </c>
      <c r="D1511" t="s">
        <v>2110</v>
      </c>
      <c r="E1511" t="s">
        <v>512</v>
      </c>
      <c r="F1511" t="s">
        <v>968</v>
      </c>
      <c r="G1511" t="s">
        <v>474</v>
      </c>
      <c r="H1511" t="s">
        <v>470</v>
      </c>
      <c r="I1511" t="s">
        <v>475</v>
      </c>
      <c r="J1511">
        <v>227198.37</v>
      </c>
    </row>
    <row r="1512" spans="1:10">
      <c r="A1512" s="90" t="s">
        <v>216</v>
      </c>
      <c r="B1512" s="87">
        <v>45972</v>
      </c>
      <c r="C1512" t="s">
        <v>3262</v>
      </c>
      <c r="D1512" t="s">
        <v>2110</v>
      </c>
      <c r="E1512" t="s">
        <v>1667</v>
      </c>
      <c r="F1512" t="s">
        <v>3263</v>
      </c>
      <c r="G1512" t="s">
        <v>2115</v>
      </c>
      <c r="H1512" t="s">
        <v>470</v>
      </c>
      <c r="I1512" t="s">
        <v>475</v>
      </c>
      <c r="J1512">
        <v>375.1</v>
      </c>
    </row>
    <row r="1513" spans="1:10">
      <c r="A1513" s="90" t="s">
        <v>216</v>
      </c>
      <c r="B1513" s="87">
        <v>45972</v>
      </c>
      <c r="C1513" t="s">
        <v>3262</v>
      </c>
      <c r="D1513" t="s">
        <v>2110</v>
      </c>
      <c r="E1513" t="s">
        <v>1667</v>
      </c>
      <c r="F1513" t="s">
        <v>3263</v>
      </c>
      <c r="G1513" t="s">
        <v>259</v>
      </c>
      <c r="H1513" t="s">
        <v>470</v>
      </c>
      <c r="I1513" t="s">
        <v>475</v>
      </c>
      <c r="J1513">
        <v>2016</v>
      </c>
    </row>
    <row r="1514" spans="1:10">
      <c r="A1514" s="90" t="s">
        <v>216</v>
      </c>
      <c r="B1514" s="87">
        <v>45972</v>
      </c>
      <c r="C1514" t="s">
        <v>3262</v>
      </c>
      <c r="D1514" t="s">
        <v>2110</v>
      </c>
      <c r="E1514" t="s">
        <v>1667</v>
      </c>
      <c r="F1514" t="s">
        <v>3263</v>
      </c>
      <c r="G1514" t="s">
        <v>71</v>
      </c>
      <c r="H1514" t="s">
        <v>470</v>
      </c>
      <c r="I1514" t="s">
        <v>475</v>
      </c>
      <c r="J1514">
        <v>1771.7</v>
      </c>
    </row>
    <row r="1515" spans="1:10">
      <c r="A1515" s="90" t="s">
        <v>216</v>
      </c>
      <c r="B1515" s="87">
        <v>45972</v>
      </c>
      <c r="C1515" t="s">
        <v>3264</v>
      </c>
      <c r="D1515" t="s">
        <v>2110</v>
      </c>
      <c r="E1515" t="s">
        <v>3141</v>
      </c>
      <c r="F1515" t="s">
        <v>996</v>
      </c>
      <c r="G1515" t="s">
        <v>2125</v>
      </c>
      <c r="H1515" t="s">
        <v>470</v>
      </c>
      <c r="I1515" t="s">
        <v>487</v>
      </c>
      <c r="J1515">
        <v>6380.5</v>
      </c>
    </row>
    <row r="1516" spans="1:10">
      <c r="A1516" s="90" t="s">
        <v>216</v>
      </c>
      <c r="B1516" s="87">
        <v>45972</v>
      </c>
      <c r="C1516" t="s">
        <v>511</v>
      </c>
      <c r="D1516" t="s">
        <v>2110</v>
      </c>
      <c r="E1516" t="s">
        <v>512</v>
      </c>
      <c r="F1516" t="s">
        <v>968</v>
      </c>
      <c r="G1516" t="s">
        <v>474</v>
      </c>
      <c r="H1516" t="s">
        <v>470</v>
      </c>
      <c r="I1516" t="s">
        <v>475</v>
      </c>
      <c r="J1516">
        <v>300000</v>
      </c>
    </row>
    <row r="1517" spans="1:10">
      <c r="A1517" s="90" t="s">
        <v>216</v>
      </c>
      <c r="B1517" s="87">
        <v>45972</v>
      </c>
      <c r="C1517" t="s">
        <v>2454</v>
      </c>
      <c r="D1517" t="s">
        <v>2110</v>
      </c>
      <c r="E1517" t="s">
        <v>480</v>
      </c>
      <c r="F1517" t="s">
        <v>968</v>
      </c>
      <c r="G1517" t="s">
        <v>568</v>
      </c>
      <c r="H1517" t="s">
        <v>470</v>
      </c>
      <c r="I1517" t="s">
        <v>475</v>
      </c>
      <c r="J1517">
        <v>400000</v>
      </c>
    </row>
    <row r="1518" spans="1:10">
      <c r="A1518" s="90" t="s">
        <v>216</v>
      </c>
      <c r="B1518" s="87">
        <v>45972</v>
      </c>
      <c r="C1518" t="s">
        <v>989</v>
      </c>
      <c r="D1518" t="s">
        <v>2110</v>
      </c>
      <c r="E1518" t="s">
        <v>512</v>
      </c>
      <c r="F1518" t="s">
        <v>991</v>
      </c>
      <c r="G1518" t="s">
        <v>474</v>
      </c>
      <c r="H1518" t="s">
        <v>470</v>
      </c>
      <c r="I1518" t="s">
        <v>475</v>
      </c>
      <c r="J1518">
        <v>52096</v>
      </c>
    </row>
    <row r="1519" spans="1:10">
      <c r="A1519" s="90" t="s">
        <v>216</v>
      </c>
      <c r="B1519" s="87">
        <v>45972</v>
      </c>
      <c r="C1519" t="s">
        <v>2275</v>
      </c>
      <c r="D1519" t="s">
        <v>2110</v>
      </c>
      <c r="E1519" t="s">
        <v>477</v>
      </c>
      <c r="F1519" t="s">
        <v>968</v>
      </c>
      <c r="G1519" t="s">
        <v>74</v>
      </c>
      <c r="H1519" t="s">
        <v>470</v>
      </c>
      <c r="I1519" t="s">
        <v>471</v>
      </c>
      <c r="J1519">
        <v>1.64</v>
      </c>
    </row>
    <row r="1520" spans="1:10">
      <c r="A1520" s="90" t="s">
        <v>216</v>
      </c>
      <c r="B1520" s="87">
        <v>45972</v>
      </c>
      <c r="C1520" t="s">
        <v>2479</v>
      </c>
      <c r="D1520" t="s">
        <v>2110</v>
      </c>
      <c r="E1520" t="s">
        <v>477</v>
      </c>
      <c r="F1520" t="s">
        <v>968</v>
      </c>
      <c r="G1520" t="s">
        <v>74</v>
      </c>
      <c r="H1520" t="s">
        <v>470</v>
      </c>
      <c r="I1520" t="s">
        <v>471</v>
      </c>
      <c r="J1520">
        <v>10</v>
      </c>
    </row>
    <row r="1521" spans="1:10">
      <c r="A1521" s="90" t="s">
        <v>216</v>
      </c>
      <c r="B1521" s="87">
        <v>45972</v>
      </c>
      <c r="C1521" t="s">
        <v>511</v>
      </c>
      <c r="D1521" t="s">
        <v>2110</v>
      </c>
      <c r="E1521" t="s">
        <v>512</v>
      </c>
      <c r="F1521" t="s">
        <v>968</v>
      </c>
      <c r="G1521" t="s">
        <v>474</v>
      </c>
      <c r="H1521" t="s">
        <v>470</v>
      </c>
      <c r="I1521" t="s">
        <v>475</v>
      </c>
      <c r="J1521">
        <v>58458.94</v>
      </c>
    </row>
    <row r="1522" spans="1:10">
      <c r="A1522" s="90" t="s">
        <v>216</v>
      </c>
      <c r="B1522" s="87">
        <v>45973</v>
      </c>
      <c r="C1522" t="s">
        <v>3265</v>
      </c>
      <c r="D1522" t="s">
        <v>2110</v>
      </c>
      <c r="E1522" t="s">
        <v>3233</v>
      </c>
      <c r="F1522" t="s">
        <v>1007</v>
      </c>
      <c r="G1522" t="s">
        <v>2125</v>
      </c>
      <c r="H1522" t="s">
        <v>470</v>
      </c>
      <c r="I1522" t="s">
        <v>487</v>
      </c>
      <c r="J1522">
        <v>3219.6</v>
      </c>
    </row>
    <row r="1523" spans="1:10">
      <c r="A1523" s="90" t="s">
        <v>216</v>
      </c>
      <c r="B1523" s="87">
        <v>45973</v>
      </c>
      <c r="C1523" t="s">
        <v>3266</v>
      </c>
      <c r="D1523" t="s">
        <v>2110</v>
      </c>
      <c r="E1523" t="s">
        <v>3267</v>
      </c>
      <c r="F1523" t="s">
        <v>3268</v>
      </c>
      <c r="G1523" t="s">
        <v>251</v>
      </c>
      <c r="H1523" t="s">
        <v>470</v>
      </c>
      <c r="I1523" t="s">
        <v>796</v>
      </c>
      <c r="J1523">
        <v>24.5</v>
      </c>
    </row>
    <row r="1524" spans="1:10">
      <c r="A1524" s="90" t="s">
        <v>216</v>
      </c>
      <c r="B1524" s="87">
        <v>45973</v>
      </c>
      <c r="C1524" t="s">
        <v>3269</v>
      </c>
      <c r="D1524" t="s">
        <v>2110</v>
      </c>
      <c r="E1524" t="s">
        <v>2401</v>
      </c>
      <c r="F1524" t="s">
        <v>324</v>
      </c>
      <c r="G1524" t="s">
        <v>2112</v>
      </c>
      <c r="H1524" t="s">
        <v>470</v>
      </c>
      <c r="I1524" t="s">
        <v>487</v>
      </c>
      <c r="J1524">
        <v>87824</v>
      </c>
    </row>
    <row r="1525" spans="1:10">
      <c r="A1525" s="90" t="s">
        <v>216</v>
      </c>
      <c r="B1525" s="87">
        <v>45973</v>
      </c>
      <c r="C1525" t="s">
        <v>511</v>
      </c>
      <c r="D1525" t="s">
        <v>2110</v>
      </c>
      <c r="E1525" t="s">
        <v>512</v>
      </c>
      <c r="F1525" t="s">
        <v>968</v>
      </c>
      <c r="G1525" t="s">
        <v>474</v>
      </c>
      <c r="H1525" t="s">
        <v>470</v>
      </c>
      <c r="I1525" t="s">
        <v>475</v>
      </c>
      <c r="J1525">
        <v>88000</v>
      </c>
    </row>
    <row r="1526" spans="1:10">
      <c r="A1526" s="90" t="s">
        <v>216</v>
      </c>
      <c r="B1526" s="87">
        <v>45973</v>
      </c>
      <c r="C1526" t="s">
        <v>2275</v>
      </c>
      <c r="D1526" t="s">
        <v>2110</v>
      </c>
      <c r="E1526" t="s">
        <v>477</v>
      </c>
      <c r="F1526" t="s">
        <v>968</v>
      </c>
      <c r="G1526" t="s">
        <v>74</v>
      </c>
      <c r="H1526" t="s">
        <v>470</v>
      </c>
      <c r="I1526" t="s">
        <v>471</v>
      </c>
      <c r="J1526">
        <v>20</v>
      </c>
    </row>
    <row r="1527" spans="1:10">
      <c r="A1527" s="90" t="s">
        <v>216</v>
      </c>
      <c r="B1527" s="87">
        <v>45973</v>
      </c>
      <c r="C1527" t="s">
        <v>511</v>
      </c>
      <c r="D1527" t="s">
        <v>2110</v>
      </c>
      <c r="E1527" t="s">
        <v>512</v>
      </c>
      <c r="F1527" t="s">
        <v>968</v>
      </c>
      <c r="G1527" t="s">
        <v>474</v>
      </c>
      <c r="H1527" t="s">
        <v>470</v>
      </c>
      <c r="I1527" t="s">
        <v>475</v>
      </c>
      <c r="J1527">
        <v>3088.1</v>
      </c>
    </row>
    <row r="1528" spans="1:10">
      <c r="A1528" s="90" t="s">
        <v>216</v>
      </c>
      <c r="B1528" s="87">
        <v>45974</v>
      </c>
      <c r="C1528" t="s">
        <v>3270</v>
      </c>
      <c r="D1528" t="s">
        <v>2110</v>
      </c>
      <c r="E1528" t="s">
        <v>1667</v>
      </c>
      <c r="F1528" t="s">
        <v>968</v>
      </c>
      <c r="G1528" t="s">
        <v>285</v>
      </c>
      <c r="H1528" t="s">
        <v>470</v>
      </c>
      <c r="I1528" t="s">
        <v>475</v>
      </c>
      <c r="J1528">
        <v>1540</v>
      </c>
    </row>
    <row r="1529" spans="1:10">
      <c r="A1529" s="90" t="s">
        <v>216</v>
      </c>
      <c r="B1529" s="87">
        <v>45974</v>
      </c>
      <c r="C1529" t="s">
        <v>3270</v>
      </c>
      <c r="D1529" t="s">
        <v>2110</v>
      </c>
      <c r="E1529" t="s">
        <v>1667</v>
      </c>
      <c r="F1529" t="s">
        <v>968</v>
      </c>
      <c r="G1529" t="s">
        <v>71</v>
      </c>
      <c r="H1529" t="s">
        <v>470</v>
      </c>
      <c r="I1529" t="s">
        <v>475</v>
      </c>
      <c r="J1529">
        <v>168.79</v>
      </c>
    </row>
    <row r="1530" spans="1:10">
      <c r="A1530" s="90" t="s">
        <v>216</v>
      </c>
      <c r="B1530" s="87">
        <v>45974</v>
      </c>
      <c r="C1530" t="s">
        <v>511</v>
      </c>
      <c r="D1530" t="s">
        <v>2110</v>
      </c>
      <c r="E1530" t="s">
        <v>512</v>
      </c>
      <c r="F1530" t="s">
        <v>968</v>
      </c>
      <c r="G1530" t="s">
        <v>474</v>
      </c>
      <c r="H1530" t="s">
        <v>470</v>
      </c>
      <c r="I1530" t="s">
        <v>475</v>
      </c>
      <c r="J1530">
        <v>1708.79</v>
      </c>
    </row>
    <row r="1531" spans="1:10">
      <c r="A1531" s="90" t="s">
        <v>216</v>
      </c>
      <c r="B1531" s="87">
        <v>45975</v>
      </c>
      <c r="C1531" t="s">
        <v>3271</v>
      </c>
      <c r="D1531" t="s">
        <v>2110</v>
      </c>
      <c r="E1531" t="s">
        <v>2564</v>
      </c>
      <c r="F1531" t="s">
        <v>3272</v>
      </c>
      <c r="G1531" t="s">
        <v>2115</v>
      </c>
      <c r="H1531" t="s">
        <v>470</v>
      </c>
      <c r="I1531" t="s">
        <v>796</v>
      </c>
      <c r="J1531">
        <v>960</v>
      </c>
    </row>
    <row r="1532" spans="1:10">
      <c r="A1532" s="90" t="s">
        <v>216</v>
      </c>
      <c r="B1532" s="87">
        <v>45975</v>
      </c>
      <c r="C1532" t="s">
        <v>3271</v>
      </c>
      <c r="D1532" t="s">
        <v>2110</v>
      </c>
      <c r="E1532" t="s">
        <v>2564</v>
      </c>
      <c r="F1532" t="s">
        <v>3272</v>
      </c>
      <c r="G1532" t="s">
        <v>251</v>
      </c>
      <c r="H1532" t="s">
        <v>470</v>
      </c>
      <c r="I1532" t="s">
        <v>796</v>
      </c>
      <c r="J1532">
        <v>8.49</v>
      </c>
    </row>
    <row r="1533" spans="1:10">
      <c r="A1533" s="90" t="s">
        <v>216</v>
      </c>
      <c r="B1533" s="87">
        <v>45975</v>
      </c>
      <c r="C1533" t="s">
        <v>517</v>
      </c>
      <c r="D1533" t="s">
        <v>2110</v>
      </c>
      <c r="E1533" t="s">
        <v>512</v>
      </c>
      <c r="F1533" t="s">
        <v>968</v>
      </c>
      <c r="G1533" t="s">
        <v>474</v>
      </c>
      <c r="H1533" t="s">
        <v>470</v>
      </c>
      <c r="I1533" t="s">
        <v>475</v>
      </c>
      <c r="J1533">
        <v>50744.71</v>
      </c>
    </row>
    <row r="1534" spans="1:10">
      <c r="A1534" s="90" t="s">
        <v>216</v>
      </c>
      <c r="B1534" s="87">
        <v>45978</v>
      </c>
      <c r="C1534" t="s">
        <v>3273</v>
      </c>
      <c r="D1534" t="s">
        <v>2110</v>
      </c>
      <c r="E1534" t="s">
        <v>2366</v>
      </c>
      <c r="F1534" t="s">
        <v>968</v>
      </c>
      <c r="G1534" t="s">
        <v>219</v>
      </c>
      <c r="H1534" t="s">
        <v>470</v>
      </c>
      <c r="I1534" t="s">
        <v>796</v>
      </c>
      <c r="J1534">
        <v>25.88</v>
      </c>
    </row>
    <row r="1535" spans="1:10">
      <c r="A1535" s="90" t="s">
        <v>216</v>
      </c>
      <c r="B1535" s="87">
        <v>45978</v>
      </c>
      <c r="C1535" t="s">
        <v>3274</v>
      </c>
      <c r="D1535" t="s">
        <v>2110</v>
      </c>
      <c r="E1535" t="s">
        <v>3141</v>
      </c>
      <c r="F1535" t="s">
        <v>996</v>
      </c>
      <c r="G1535" t="s">
        <v>2125</v>
      </c>
      <c r="H1535" t="s">
        <v>470</v>
      </c>
      <c r="I1535" t="s">
        <v>487</v>
      </c>
      <c r="J1535">
        <v>2644.5</v>
      </c>
    </row>
    <row r="1536" spans="1:10">
      <c r="A1536" s="90" t="s">
        <v>216</v>
      </c>
      <c r="B1536" s="87">
        <v>45978</v>
      </c>
      <c r="C1536" t="s">
        <v>3275</v>
      </c>
      <c r="D1536" t="s">
        <v>2110</v>
      </c>
      <c r="E1536" t="s">
        <v>3069</v>
      </c>
      <c r="F1536" t="s">
        <v>998</v>
      </c>
      <c r="G1536" t="s">
        <v>2125</v>
      </c>
      <c r="H1536" t="s">
        <v>470</v>
      </c>
      <c r="I1536" t="s">
        <v>487</v>
      </c>
      <c r="J1536">
        <v>8871.6</v>
      </c>
    </row>
    <row r="1537" spans="1:10">
      <c r="A1537" s="90" t="s">
        <v>216</v>
      </c>
      <c r="B1537" s="87">
        <v>45978</v>
      </c>
      <c r="C1537" t="s">
        <v>3276</v>
      </c>
      <c r="D1537" t="s">
        <v>2110</v>
      </c>
      <c r="E1537" t="s">
        <v>477</v>
      </c>
      <c r="F1537" t="s">
        <v>281</v>
      </c>
      <c r="G1537" t="s">
        <v>74</v>
      </c>
      <c r="H1537" t="s">
        <v>470</v>
      </c>
      <c r="I1537" t="s">
        <v>471</v>
      </c>
      <c r="J1537">
        <v>250</v>
      </c>
    </row>
    <row r="1538" spans="1:10">
      <c r="A1538" s="90" t="s">
        <v>216</v>
      </c>
      <c r="B1538" s="87">
        <v>45978</v>
      </c>
      <c r="C1538" t="s">
        <v>3277</v>
      </c>
      <c r="D1538" t="s">
        <v>2110</v>
      </c>
      <c r="E1538" t="s">
        <v>477</v>
      </c>
      <c r="F1538" t="s">
        <v>968</v>
      </c>
      <c r="G1538" t="s">
        <v>333</v>
      </c>
      <c r="H1538" t="s">
        <v>470</v>
      </c>
      <c r="I1538" t="s">
        <v>471</v>
      </c>
      <c r="J1538">
        <v>563.1</v>
      </c>
    </row>
    <row r="1539" spans="1:10">
      <c r="A1539" s="90" t="s">
        <v>216</v>
      </c>
      <c r="B1539" s="87">
        <v>45978</v>
      </c>
      <c r="C1539" t="s">
        <v>2275</v>
      </c>
      <c r="D1539" t="s">
        <v>2110</v>
      </c>
      <c r="E1539" t="s">
        <v>477</v>
      </c>
      <c r="F1539" t="s">
        <v>968</v>
      </c>
      <c r="G1539" t="s">
        <v>74</v>
      </c>
      <c r="H1539" t="s">
        <v>470</v>
      </c>
      <c r="I1539" t="s">
        <v>471</v>
      </c>
      <c r="J1539">
        <v>20</v>
      </c>
    </row>
    <row r="1540" spans="1:10">
      <c r="A1540" s="90" t="s">
        <v>216</v>
      </c>
      <c r="B1540" s="87">
        <v>45979</v>
      </c>
      <c r="C1540" t="s">
        <v>3278</v>
      </c>
      <c r="D1540" t="s">
        <v>2110</v>
      </c>
      <c r="E1540" t="s">
        <v>1667</v>
      </c>
      <c r="F1540" t="s">
        <v>3279</v>
      </c>
      <c r="G1540" t="s">
        <v>2115</v>
      </c>
      <c r="H1540" t="s">
        <v>470</v>
      </c>
      <c r="I1540" t="s">
        <v>475</v>
      </c>
      <c r="J1540">
        <v>369</v>
      </c>
    </row>
    <row r="1541" spans="1:10">
      <c r="A1541" s="90" t="s">
        <v>216</v>
      </c>
      <c r="B1541" s="87">
        <v>45979</v>
      </c>
      <c r="C1541" t="s">
        <v>3278</v>
      </c>
      <c r="D1541" t="s">
        <v>2110</v>
      </c>
      <c r="E1541" t="s">
        <v>1667</v>
      </c>
      <c r="F1541" t="s">
        <v>3279</v>
      </c>
      <c r="G1541" t="s">
        <v>259</v>
      </c>
      <c r="H1541" t="s">
        <v>470</v>
      </c>
      <c r="I1541" t="s">
        <v>475</v>
      </c>
      <c r="J1541">
        <v>1735.35</v>
      </c>
    </row>
    <row r="1542" spans="1:10">
      <c r="A1542" s="90" t="s">
        <v>216</v>
      </c>
      <c r="B1542" s="87">
        <v>45979</v>
      </c>
      <c r="C1542" t="s">
        <v>3278</v>
      </c>
      <c r="D1542" t="s">
        <v>2110</v>
      </c>
      <c r="E1542" t="s">
        <v>1667</v>
      </c>
      <c r="F1542" t="s">
        <v>3279</v>
      </c>
      <c r="G1542" t="s">
        <v>71</v>
      </c>
      <c r="H1542" t="s">
        <v>470</v>
      </c>
      <c r="I1542" t="s">
        <v>475</v>
      </c>
      <c r="J1542">
        <v>202.05</v>
      </c>
    </row>
    <row r="1543" spans="1:10">
      <c r="A1543" s="90" t="s">
        <v>216</v>
      </c>
      <c r="B1543" s="87">
        <v>45979</v>
      </c>
      <c r="C1543" t="s">
        <v>3280</v>
      </c>
      <c r="D1543" t="s">
        <v>2110</v>
      </c>
      <c r="E1543" t="s">
        <v>2631</v>
      </c>
      <c r="F1543" t="s">
        <v>738</v>
      </c>
      <c r="G1543" t="s">
        <v>285</v>
      </c>
      <c r="H1543" t="s">
        <v>470</v>
      </c>
      <c r="I1543" t="s">
        <v>475</v>
      </c>
      <c r="J1543">
        <v>1840</v>
      </c>
    </row>
    <row r="1544" spans="1:10">
      <c r="A1544" s="90" t="s">
        <v>216</v>
      </c>
      <c r="B1544" s="87">
        <v>45979</v>
      </c>
      <c r="C1544" t="s">
        <v>3281</v>
      </c>
      <c r="D1544" t="s">
        <v>2110</v>
      </c>
      <c r="E1544" t="s">
        <v>477</v>
      </c>
      <c r="F1544" t="s">
        <v>270</v>
      </c>
      <c r="G1544" t="s">
        <v>224</v>
      </c>
      <c r="H1544" t="s">
        <v>470</v>
      </c>
      <c r="I1544" t="s">
        <v>471</v>
      </c>
      <c r="J1544">
        <v>550</v>
      </c>
    </row>
    <row r="1545" spans="1:10">
      <c r="A1545" s="90" t="s">
        <v>216</v>
      </c>
      <c r="B1545" s="87">
        <v>45979</v>
      </c>
      <c r="C1545" t="s">
        <v>511</v>
      </c>
      <c r="D1545" t="s">
        <v>2110</v>
      </c>
      <c r="E1545" t="s">
        <v>512</v>
      </c>
      <c r="F1545" t="s">
        <v>968</v>
      </c>
      <c r="G1545" t="s">
        <v>474</v>
      </c>
      <c r="H1545" t="s">
        <v>470</v>
      </c>
      <c r="I1545" t="s">
        <v>475</v>
      </c>
      <c r="J1545">
        <v>4696.3999999999996</v>
      </c>
    </row>
    <row r="1546" spans="1:10">
      <c r="A1546" s="90" t="s">
        <v>216</v>
      </c>
      <c r="B1546" s="87">
        <v>45980</v>
      </c>
      <c r="C1546" t="s">
        <v>3282</v>
      </c>
      <c r="D1546" t="s">
        <v>2110</v>
      </c>
      <c r="E1546" t="s">
        <v>3136</v>
      </c>
      <c r="F1546" t="s">
        <v>349</v>
      </c>
      <c r="G1546" t="s">
        <v>2381</v>
      </c>
      <c r="H1546" t="s">
        <v>470</v>
      </c>
      <c r="I1546" t="s">
        <v>796</v>
      </c>
      <c r="J1546">
        <v>633.30999999999995</v>
      </c>
    </row>
    <row r="1547" spans="1:10">
      <c r="A1547" s="90" t="s">
        <v>216</v>
      </c>
      <c r="B1547" s="87">
        <v>45980</v>
      </c>
      <c r="C1547" t="s">
        <v>3283</v>
      </c>
      <c r="D1547" t="s">
        <v>2110</v>
      </c>
      <c r="E1547" t="s">
        <v>2318</v>
      </c>
      <c r="F1547" t="s">
        <v>518</v>
      </c>
      <c r="G1547" t="s">
        <v>64</v>
      </c>
      <c r="H1547" t="s">
        <v>3112</v>
      </c>
      <c r="I1547" t="s">
        <v>796</v>
      </c>
      <c r="J1547">
        <v>806</v>
      </c>
    </row>
    <row r="1548" spans="1:10">
      <c r="A1548" s="90" t="s">
        <v>216</v>
      </c>
      <c r="B1548" s="87">
        <v>45980</v>
      </c>
      <c r="C1548" t="s">
        <v>3284</v>
      </c>
      <c r="D1548" t="s">
        <v>2110</v>
      </c>
      <c r="E1548" t="s">
        <v>2401</v>
      </c>
      <c r="F1548" t="s">
        <v>277</v>
      </c>
      <c r="G1548" t="s">
        <v>2381</v>
      </c>
      <c r="H1548" t="s">
        <v>470</v>
      </c>
      <c r="I1548" t="s">
        <v>796</v>
      </c>
      <c r="J1548">
        <v>462.06</v>
      </c>
    </row>
    <row r="1549" spans="1:10">
      <c r="A1549" s="90" t="s">
        <v>216</v>
      </c>
      <c r="B1549" s="87">
        <v>45980</v>
      </c>
      <c r="C1549" t="s">
        <v>3194</v>
      </c>
      <c r="D1549" t="s">
        <v>2110</v>
      </c>
      <c r="E1549" t="s">
        <v>1756</v>
      </c>
      <c r="F1549" t="s">
        <v>518</v>
      </c>
      <c r="G1549" t="s">
        <v>67</v>
      </c>
      <c r="H1549" t="s">
        <v>470</v>
      </c>
      <c r="I1549" t="s">
        <v>796</v>
      </c>
      <c r="J1549">
        <v>69.39</v>
      </c>
    </row>
    <row r="1550" spans="1:10">
      <c r="A1550" s="90" t="s">
        <v>216</v>
      </c>
      <c r="B1550" s="87">
        <v>45980</v>
      </c>
      <c r="C1550" t="s">
        <v>1257</v>
      </c>
      <c r="D1550" t="s">
        <v>2110</v>
      </c>
      <c r="E1550" t="s">
        <v>493</v>
      </c>
      <c r="F1550" t="s">
        <v>3285</v>
      </c>
      <c r="G1550" t="s">
        <v>486</v>
      </c>
      <c r="H1550" t="s">
        <v>470</v>
      </c>
      <c r="I1550" t="s">
        <v>487</v>
      </c>
      <c r="J1550">
        <v>40957.5</v>
      </c>
    </row>
    <row r="1551" spans="1:10">
      <c r="A1551" s="90" t="s">
        <v>216</v>
      </c>
      <c r="B1551" s="87">
        <v>45980</v>
      </c>
      <c r="C1551" t="s">
        <v>3286</v>
      </c>
      <c r="D1551" t="s">
        <v>2110</v>
      </c>
      <c r="E1551" t="s">
        <v>477</v>
      </c>
      <c r="F1551" t="s">
        <v>1000</v>
      </c>
      <c r="G1551" t="s">
        <v>66</v>
      </c>
      <c r="H1551" t="s">
        <v>470</v>
      </c>
      <c r="I1551" t="s">
        <v>471</v>
      </c>
      <c r="J1551">
        <v>31448</v>
      </c>
    </row>
    <row r="1552" spans="1:10">
      <c r="A1552" s="90" t="s">
        <v>216</v>
      </c>
      <c r="B1552" s="87">
        <v>45980</v>
      </c>
      <c r="C1552" t="s">
        <v>3287</v>
      </c>
      <c r="D1552" t="s">
        <v>2110</v>
      </c>
      <c r="E1552" t="s">
        <v>477</v>
      </c>
      <c r="F1552" t="s">
        <v>1000</v>
      </c>
      <c r="G1552" t="s">
        <v>74</v>
      </c>
      <c r="H1552" t="s">
        <v>470</v>
      </c>
      <c r="I1552" t="s">
        <v>471</v>
      </c>
      <c r="J1552">
        <v>18750</v>
      </c>
    </row>
    <row r="1553" spans="1:10">
      <c r="A1553" s="90" t="s">
        <v>216</v>
      </c>
      <c r="B1553" s="87">
        <v>45980</v>
      </c>
      <c r="C1553" t="s">
        <v>2275</v>
      </c>
      <c r="D1553" t="s">
        <v>2110</v>
      </c>
      <c r="E1553" t="s">
        <v>477</v>
      </c>
      <c r="F1553" t="s">
        <v>968</v>
      </c>
      <c r="G1553" t="s">
        <v>74</v>
      </c>
      <c r="H1553" t="s">
        <v>470</v>
      </c>
      <c r="I1553" t="s">
        <v>471</v>
      </c>
      <c r="J1553">
        <v>20</v>
      </c>
    </row>
    <row r="1554" spans="1:10">
      <c r="A1554" s="90" t="s">
        <v>216</v>
      </c>
      <c r="B1554" s="87">
        <v>45980</v>
      </c>
      <c r="C1554" t="s">
        <v>517</v>
      </c>
      <c r="D1554" t="s">
        <v>2110</v>
      </c>
      <c r="E1554" t="s">
        <v>512</v>
      </c>
      <c r="F1554" t="s">
        <v>968</v>
      </c>
      <c r="G1554" t="s">
        <v>474</v>
      </c>
      <c r="H1554" t="s">
        <v>470</v>
      </c>
      <c r="I1554" t="s">
        <v>475</v>
      </c>
      <c r="J1554">
        <v>1404376.06</v>
      </c>
    </row>
    <row r="1555" spans="1:10">
      <c r="A1555" s="90" t="s">
        <v>216</v>
      </c>
      <c r="B1555" s="87">
        <v>45982</v>
      </c>
      <c r="C1555" t="s">
        <v>3288</v>
      </c>
      <c r="D1555" t="s">
        <v>2110</v>
      </c>
      <c r="E1555" t="s">
        <v>535</v>
      </c>
      <c r="F1555" t="s">
        <v>990</v>
      </c>
      <c r="G1555" t="s">
        <v>2112</v>
      </c>
      <c r="H1555" t="s">
        <v>470</v>
      </c>
      <c r="I1555" t="s">
        <v>475</v>
      </c>
      <c r="J1555">
        <v>31040</v>
      </c>
    </row>
    <row r="1556" spans="1:10">
      <c r="A1556" s="90" t="s">
        <v>216</v>
      </c>
      <c r="B1556" s="87">
        <v>45982</v>
      </c>
      <c r="C1556" t="s">
        <v>3289</v>
      </c>
      <c r="D1556" t="s">
        <v>2110</v>
      </c>
      <c r="E1556" t="s">
        <v>535</v>
      </c>
      <c r="F1556" t="s">
        <v>967</v>
      </c>
      <c r="G1556" t="s">
        <v>2112</v>
      </c>
      <c r="H1556" t="s">
        <v>470</v>
      </c>
      <c r="I1556" t="s">
        <v>475</v>
      </c>
      <c r="J1556">
        <v>35420</v>
      </c>
    </row>
    <row r="1557" spans="1:10">
      <c r="A1557" s="90" t="s">
        <v>216</v>
      </c>
      <c r="B1557" s="87">
        <v>45982</v>
      </c>
      <c r="C1557" t="s">
        <v>3290</v>
      </c>
      <c r="D1557" t="s">
        <v>2110</v>
      </c>
      <c r="E1557" t="s">
        <v>535</v>
      </c>
      <c r="F1557" t="s">
        <v>983</v>
      </c>
      <c r="G1557" t="s">
        <v>2112</v>
      </c>
      <c r="H1557" t="s">
        <v>470</v>
      </c>
      <c r="I1557" t="s">
        <v>475</v>
      </c>
      <c r="J1557">
        <v>37380</v>
      </c>
    </row>
    <row r="1558" spans="1:10">
      <c r="A1558" s="90" t="s">
        <v>216</v>
      </c>
      <c r="B1558" s="87">
        <v>45982</v>
      </c>
      <c r="C1558" t="s">
        <v>3291</v>
      </c>
      <c r="D1558" t="s">
        <v>2110</v>
      </c>
      <c r="E1558" t="s">
        <v>535</v>
      </c>
      <c r="F1558" t="s">
        <v>988</v>
      </c>
      <c r="G1558" t="s">
        <v>2112</v>
      </c>
      <c r="H1558" t="s">
        <v>470</v>
      </c>
      <c r="I1558" t="s">
        <v>475</v>
      </c>
      <c r="J1558">
        <v>38360</v>
      </c>
    </row>
    <row r="1559" spans="1:10">
      <c r="A1559" s="90" t="s">
        <v>216</v>
      </c>
      <c r="B1559" s="87">
        <v>45982</v>
      </c>
      <c r="C1559" t="s">
        <v>3292</v>
      </c>
      <c r="D1559" t="s">
        <v>2110</v>
      </c>
      <c r="E1559" t="s">
        <v>535</v>
      </c>
      <c r="F1559" t="s">
        <v>993</v>
      </c>
      <c r="G1559" t="s">
        <v>2112</v>
      </c>
      <c r="H1559" t="s">
        <v>470</v>
      </c>
      <c r="I1559" t="s">
        <v>475</v>
      </c>
      <c r="J1559">
        <v>38360</v>
      </c>
    </row>
    <row r="1560" spans="1:10">
      <c r="A1560" s="90" t="s">
        <v>216</v>
      </c>
      <c r="B1560" s="87">
        <v>45982</v>
      </c>
      <c r="C1560" t="s">
        <v>3293</v>
      </c>
      <c r="D1560" t="s">
        <v>2110</v>
      </c>
      <c r="E1560" t="s">
        <v>2338</v>
      </c>
      <c r="F1560" t="s">
        <v>518</v>
      </c>
      <c r="G1560" t="s">
        <v>269</v>
      </c>
      <c r="H1560" t="s">
        <v>470</v>
      </c>
      <c r="I1560" t="s">
        <v>796</v>
      </c>
      <c r="J1560">
        <v>374.31</v>
      </c>
    </row>
    <row r="1561" spans="1:10">
      <c r="A1561" s="90" t="s">
        <v>216</v>
      </c>
      <c r="B1561" s="87">
        <v>45982</v>
      </c>
      <c r="C1561" t="s">
        <v>3294</v>
      </c>
      <c r="D1561" t="s">
        <v>2110</v>
      </c>
      <c r="E1561" t="s">
        <v>812</v>
      </c>
      <c r="F1561" t="s">
        <v>304</v>
      </c>
      <c r="G1561" t="s">
        <v>219</v>
      </c>
      <c r="H1561" t="s">
        <v>470</v>
      </c>
      <c r="I1561" t="s">
        <v>796</v>
      </c>
      <c r="J1561">
        <v>7588.66</v>
      </c>
    </row>
    <row r="1562" spans="1:10">
      <c r="A1562" s="90" t="s">
        <v>216</v>
      </c>
      <c r="B1562" s="87">
        <v>45982</v>
      </c>
      <c r="C1562" t="s">
        <v>3295</v>
      </c>
      <c r="D1562" t="s">
        <v>2110</v>
      </c>
      <c r="E1562" t="s">
        <v>2316</v>
      </c>
      <c r="F1562" t="s">
        <v>968</v>
      </c>
      <c r="G1562" t="s">
        <v>217</v>
      </c>
      <c r="H1562" t="s">
        <v>3236</v>
      </c>
      <c r="I1562" t="s">
        <v>796</v>
      </c>
      <c r="J1562">
        <v>194.13</v>
      </c>
    </row>
    <row r="1563" spans="1:10">
      <c r="A1563" s="90" t="s">
        <v>216</v>
      </c>
      <c r="B1563" s="87">
        <v>45982</v>
      </c>
      <c r="C1563" t="s">
        <v>3296</v>
      </c>
      <c r="D1563" t="s">
        <v>2110</v>
      </c>
      <c r="E1563" t="s">
        <v>3297</v>
      </c>
      <c r="F1563" t="s">
        <v>3298</v>
      </c>
      <c r="G1563" t="s">
        <v>191</v>
      </c>
      <c r="H1563" t="s">
        <v>470</v>
      </c>
      <c r="I1563" t="s">
        <v>487</v>
      </c>
      <c r="J1563">
        <v>1472</v>
      </c>
    </row>
    <row r="1564" spans="1:10">
      <c r="A1564" s="90" t="s">
        <v>216</v>
      </c>
      <c r="B1564" s="87">
        <v>45982</v>
      </c>
      <c r="C1564" t="s">
        <v>3299</v>
      </c>
      <c r="D1564" t="s">
        <v>2110</v>
      </c>
      <c r="E1564" t="s">
        <v>477</v>
      </c>
      <c r="F1564" t="s">
        <v>283</v>
      </c>
      <c r="G1564" t="s">
        <v>224</v>
      </c>
      <c r="H1564" t="s">
        <v>470</v>
      </c>
      <c r="I1564" t="s">
        <v>471</v>
      </c>
      <c r="J1564">
        <v>550</v>
      </c>
    </row>
    <row r="1565" spans="1:10">
      <c r="A1565" s="90" t="s">
        <v>216</v>
      </c>
      <c r="B1565" s="87">
        <v>45982</v>
      </c>
      <c r="C1565" t="s">
        <v>997</v>
      </c>
      <c r="D1565" t="s">
        <v>2110</v>
      </c>
      <c r="E1565" t="s">
        <v>512</v>
      </c>
      <c r="F1565" t="s">
        <v>998</v>
      </c>
      <c r="G1565" t="s">
        <v>474</v>
      </c>
      <c r="H1565" t="s">
        <v>470</v>
      </c>
      <c r="I1565" t="s">
        <v>475</v>
      </c>
      <c r="J1565">
        <v>48542</v>
      </c>
    </row>
    <row r="1566" spans="1:10">
      <c r="A1566" s="90" t="s">
        <v>216</v>
      </c>
      <c r="B1566" s="87">
        <v>45982</v>
      </c>
      <c r="C1566" t="s">
        <v>3300</v>
      </c>
      <c r="D1566" t="s">
        <v>2110</v>
      </c>
      <c r="E1566" t="s">
        <v>484</v>
      </c>
      <c r="F1566" t="s">
        <v>3301</v>
      </c>
      <c r="G1566" t="s">
        <v>486</v>
      </c>
      <c r="H1566" t="s">
        <v>470</v>
      </c>
      <c r="I1566" t="s">
        <v>475</v>
      </c>
      <c r="J1566">
        <v>20000</v>
      </c>
    </row>
    <row r="1567" spans="1:10">
      <c r="A1567" s="90" t="s">
        <v>216</v>
      </c>
      <c r="B1567" s="87">
        <v>45982</v>
      </c>
      <c r="C1567" t="s">
        <v>3302</v>
      </c>
      <c r="D1567" t="s">
        <v>2110</v>
      </c>
      <c r="E1567" t="s">
        <v>1036</v>
      </c>
      <c r="F1567" t="s">
        <v>3303</v>
      </c>
      <c r="G1567" t="s">
        <v>486</v>
      </c>
      <c r="H1567" t="s">
        <v>470</v>
      </c>
      <c r="I1567" t="s">
        <v>487</v>
      </c>
      <c r="J1567">
        <v>2700</v>
      </c>
    </row>
    <row r="1568" spans="1:10">
      <c r="A1568" s="90" t="s">
        <v>216</v>
      </c>
      <c r="B1568" s="87">
        <v>45982</v>
      </c>
      <c r="C1568" t="s">
        <v>2275</v>
      </c>
      <c r="D1568" t="s">
        <v>2110</v>
      </c>
      <c r="E1568" t="s">
        <v>477</v>
      </c>
      <c r="F1568" t="s">
        <v>968</v>
      </c>
      <c r="G1568" t="s">
        <v>74</v>
      </c>
      <c r="H1568" t="s">
        <v>470</v>
      </c>
      <c r="I1568" t="s">
        <v>471</v>
      </c>
      <c r="J1568">
        <v>1.64</v>
      </c>
    </row>
    <row r="1569" spans="1:10">
      <c r="A1569" s="90" t="s">
        <v>216</v>
      </c>
      <c r="B1569" s="87">
        <v>45982</v>
      </c>
      <c r="C1569" t="s">
        <v>2275</v>
      </c>
      <c r="D1569" t="s">
        <v>2110</v>
      </c>
      <c r="E1569" t="s">
        <v>477</v>
      </c>
      <c r="F1569" t="s">
        <v>968</v>
      </c>
      <c r="G1569" t="s">
        <v>74</v>
      </c>
      <c r="H1569" t="s">
        <v>470</v>
      </c>
      <c r="I1569" t="s">
        <v>471</v>
      </c>
      <c r="J1569">
        <v>30</v>
      </c>
    </row>
    <row r="1570" spans="1:10">
      <c r="A1570" s="90" t="s">
        <v>216</v>
      </c>
      <c r="B1570" s="87">
        <v>45982</v>
      </c>
      <c r="C1570" t="s">
        <v>511</v>
      </c>
      <c r="D1570" t="s">
        <v>2110</v>
      </c>
      <c r="E1570" t="s">
        <v>512</v>
      </c>
      <c r="F1570" t="s">
        <v>968</v>
      </c>
      <c r="G1570" t="s">
        <v>474</v>
      </c>
      <c r="H1570" t="s">
        <v>470</v>
      </c>
      <c r="I1570" t="s">
        <v>475</v>
      </c>
      <c r="J1570">
        <v>145524.92000000001</v>
      </c>
    </row>
    <row r="1571" spans="1:10">
      <c r="A1571" s="90" t="s">
        <v>216</v>
      </c>
      <c r="B1571" s="87">
        <v>45982</v>
      </c>
      <c r="C1571" t="s">
        <v>517</v>
      </c>
      <c r="D1571" t="s">
        <v>2110</v>
      </c>
      <c r="E1571" t="s">
        <v>512</v>
      </c>
      <c r="F1571" t="s">
        <v>968</v>
      </c>
      <c r="G1571" t="s">
        <v>474</v>
      </c>
      <c r="H1571" t="s">
        <v>470</v>
      </c>
      <c r="I1571" t="s">
        <v>540</v>
      </c>
      <c r="J1571">
        <v>500000</v>
      </c>
    </row>
    <row r="1572" spans="1:10">
      <c r="A1572" s="90" t="s">
        <v>216</v>
      </c>
      <c r="B1572" s="87">
        <v>45982</v>
      </c>
      <c r="C1572" t="s">
        <v>3299</v>
      </c>
      <c r="D1572" t="s">
        <v>2110</v>
      </c>
      <c r="E1572" t="s">
        <v>477</v>
      </c>
      <c r="F1572" t="s">
        <v>283</v>
      </c>
      <c r="G1572" t="s">
        <v>224</v>
      </c>
      <c r="H1572" t="s">
        <v>470</v>
      </c>
      <c r="I1572" t="s">
        <v>471</v>
      </c>
      <c r="J1572">
        <v>100</v>
      </c>
    </row>
    <row r="1573" spans="1:10">
      <c r="A1573" s="90" t="s">
        <v>216</v>
      </c>
      <c r="B1573" s="87">
        <v>45985</v>
      </c>
      <c r="C1573" t="s">
        <v>3304</v>
      </c>
      <c r="D1573" t="s">
        <v>2110</v>
      </c>
      <c r="E1573" t="s">
        <v>2316</v>
      </c>
      <c r="F1573" t="s">
        <v>968</v>
      </c>
      <c r="G1573" t="s">
        <v>217</v>
      </c>
      <c r="H1573" t="s">
        <v>3236</v>
      </c>
      <c r="I1573" t="s">
        <v>796</v>
      </c>
      <c r="J1573">
        <v>102.75</v>
      </c>
    </row>
    <row r="1574" spans="1:10">
      <c r="A1574" s="90" t="s">
        <v>216</v>
      </c>
      <c r="B1574" s="87">
        <v>45985</v>
      </c>
      <c r="C1574" t="s">
        <v>3305</v>
      </c>
      <c r="D1574" t="s">
        <v>2110</v>
      </c>
      <c r="E1574" t="s">
        <v>1756</v>
      </c>
      <c r="F1574" t="s">
        <v>518</v>
      </c>
      <c r="G1574" t="s">
        <v>67</v>
      </c>
      <c r="H1574" t="s">
        <v>470</v>
      </c>
      <c r="I1574" t="s">
        <v>796</v>
      </c>
      <c r="J1574">
        <v>37.369999999999997</v>
      </c>
    </row>
    <row r="1575" spans="1:10">
      <c r="A1575" s="90" t="s">
        <v>216</v>
      </c>
      <c r="B1575" s="87">
        <v>45985</v>
      </c>
      <c r="C1575" t="s">
        <v>3306</v>
      </c>
      <c r="D1575" t="s">
        <v>2110</v>
      </c>
      <c r="E1575" t="s">
        <v>477</v>
      </c>
      <c r="F1575" t="s">
        <v>1000</v>
      </c>
      <c r="G1575" t="s">
        <v>334</v>
      </c>
      <c r="H1575" t="s">
        <v>470</v>
      </c>
      <c r="I1575" t="s">
        <v>471</v>
      </c>
      <c r="J1575">
        <v>2547.5500000000002</v>
      </c>
    </row>
    <row r="1576" spans="1:10">
      <c r="A1576" s="90" t="s">
        <v>216</v>
      </c>
      <c r="B1576" s="87">
        <v>45985</v>
      </c>
      <c r="C1576" t="s">
        <v>511</v>
      </c>
      <c r="D1576" t="s">
        <v>2110</v>
      </c>
      <c r="E1576" t="s">
        <v>512</v>
      </c>
      <c r="F1576" t="s">
        <v>968</v>
      </c>
      <c r="G1576" t="s">
        <v>474</v>
      </c>
      <c r="H1576" t="s">
        <v>470</v>
      </c>
      <c r="I1576" t="s">
        <v>475</v>
      </c>
      <c r="J1576">
        <v>2687.67</v>
      </c>
    </row>
    <row r="1577" spans="1:10">
      <c r="A1577" s="90" t="s">
        <v>216</v>
      </c>
      <c r="B1577" s="87">
        <v>45986</v>
      </c>
      <c r="C1577" t="s">
        <v>3307</v>
      </c>
      <c r="D1577" t="s">
        <v>2110</v>
      </c>
      <c r="E1577" t="s">
        <v>1002</v>
      </c>
      <c r="F1577" t="s">
        <v>802</v>
      </c>
      <c r="G1577" t="s">
        <v>2115</v>
      </c>
      <c r="H1577" t="s">
        <v>470</v>
      </c>
      <c r="I1577" t="s">
        <v>796</v>
      </c>
      <c r="J1577">
        <v>1080</v>
      </c>
    </row>
    <row r="1578" spans="1:10">
      <c r="A1578" s="90" t="s">
        <v>216</v>
      </c>
      <c r="B1578" s="87">
        <v>45986</v>
      </c>
      <c r="C1578" t="s">
        <v>3307</v>
      </c>
      <c r="D1578" t="s">
        <v>2110</v>
      </c>
      <c r="E1578" t="s">
        <v>1002</v>
      </c>
      <c r="F1578" t="s">
        <v>802</v>
      </c>
      <c r="G1578" t="s">
        <v>223</v>
      </c>
      <c r="H1578" t="s">
        <v>470</v>
      </c>
      <c r="I1578" t="s">
        <v>796</v>
      </c>
      <c r="J1578">
        <v>1067.5999999999999</v>
      </c>
    </row>
    <row r="1579" spans="1:10">
      <c r="A1579" s="90" t="s">
        <v>216</v>
      </c>
      <c r="B1579" s="87">
        <v>45986</v>
      </c>
      <c r="C1579" t="s">
        <v>3308</v>
      </c>
      <c r="D1579" t="s">
        <v>2110</v>
      </c>
      <c r="E1579" t="s">
        <v>1667</v>
      </c>
      <c r="F1579" t="s">
        <v>3309</v>
      </c>
      <c r="G1579" t="s">
        <v>71</v>
      </c>
      <c r="H1579" t="s">
        <v>470</v>
      </c>
      <c r="I1579" t="s">
        <v>475</v>
      </c>
      <c r="J1579">
        <v>190.3</v>
      </c>
    </row>
    <row r="1580" spans="1:10">
      <c r="A1580" s="90" t="s">
        <v>216</v>
      </c>
      <c r="B1580" s="87">
        <v>45986</v>
      </c>
      <c r="C1580" t="s">
        <v>3310</v>
      </c>
      <c r="D1580" t="s">
        <v>2110</v>
      </c>
      <c r="E1580" t="s">
        <v>477</v>
      </c>
      <c r="F1580" t="s">
        <v>304</v>
      </c>
      <c r="G1580" t="s">
        <v>74</v>
      </c>
      <c r="H1580" t="s">
        <v>470</v>
      </c>
      <c r="I1580" t="s">
        <v>471</v>
      </c>
      <c r="J1580">
        <v>250</v>
      </c>
    </row>
    <row r="1581" spans="1:10">
      <c r="A1581" s="90" t="s">
        <v>216</v>
      </c>
      <c r="B1581" s="87">
        <v>45986</v>
      </c>
      <c r="C1581" t="s">
        <v>2275</v>
      </c>
      <c r="D1581" t="s">
        <v>2110</v>
      </c>
      <c r="E1581" t="s">
        <v>477</v>
      </c>
      <c r="F1581" t="s">
        <v>968</v>
      </c>
      <c r="G1581" t="s">
        <v>74</v>
      </c>
      <c r="H1581" t="s">
        <v>470</v>
      </c>
      <c r="I1581" t="s">
        <v>471</v>
      </c>
      <c r="J1581">
        <v>6.5</v>
      </c>
    </row>
    <row r="1582" spans="1:10">
      <c r="A1582" s="90" t="s">
        <v>216</v>
      </c>
      <c r="B1582" s="87">
        <v>45986</v>
      </c>
      <c r="C1582" t="s">
        <v>2275</v>
      </c>
      <c r="D1582" t="s">
        <v>2110</v>
      </c>
      <c r="E1582" t="s">
        <v>477</v>
      </c>
      <c r="F1582" t="s">
        <v>968</v>
      </c>
      <c r="G1582" t="s">
        <v>74</v>
      </c>
      <c r="H1582" t="s">
        <v>470</v>
      </c>
      <c r="I1582" t="s">
        <v>471</v>
      </c>
      <c r="J1582">
        <v>10</v>
      </c>
    </row>
    <row r="1583" spans="1:10">
      <c r="A1583" s="90" t="s">
        <v>216</v>
      </c>
      <c r="B1583" s="87">
        <v>45986</v>
      </c>
      <c r="C1583" t="s">
        <v>511</v>
      </c>
      <c r="D1583" t="s">
        <v>2110</v>
      </c>
      <c r="E1583" t="s">
        <v>512</v>
      </c>
      <c r="F1583" t="s">
        <v>968</v>
      </c>
      <c r="G1583" t="s">
        <v>474</v>
      </c>
      <c r="H1583" t="s">
        <v>470</v>
      </c>
      <c r="I1583" t="s">
        <v>475</v>
      </c>
      <c r="J1583">
        <v>8844.4599999999991</v>
      </c>
    </row>
    <row r="1584" spans="1:10">
      <c r="A1584" s="90" t="s">
        <v>216</v>
      </c>
      <c r="B1584" s="87">
        <v>45987</v>
      </c>
      <c r="C1584" t="s">
        <v>3311</v>
      </c>
      <c r="D1584" t="s">
        <v>2110</v>
      </c>
      <c r="E1584" t="s">
        <v>480</v>
      </c>
      <c r="F1584" t="s">
        <v>3312</v>
      </c>
      <c r="G1584" t="s">
        <v>2115</v>
      </c>
      <c r="H1584" t="s">
        <v>470</v>
      </c>
      <c r="I1584" t="s">
        <v>475</v>
      </c>
      <c r="J1584">
        <v>1014.8</v>
      </c>
    </row>
    <row r="1585" spans="1:10">
      <c r="A1585" s="90" t="s">
        <v>216</v>
      </c>
      <c r="B1585" s="87">
        <v>45987</v>
      </c>
      <c r="C1585" t="s">
        <v>3313</v>
      </c>
      <c r="D1585" t="s">
        <v>2110</v>
      </c>
      <c r="E1585" t="s">
        <v>3314</v>
      </c>
      <c r="F1585" t="s">
        <v>1032</v>
      </c>
      <c r="G1585" t="s">
        <v>2125</v>
      </c>
      <c r="H1585" t="s">
        <v>470</v>
      </c>
      <c r="I1585" t="s">
        <v>487</v>
      </c>
      <c r="J1585">
        <v>6289.92</v>
      </c>
    </row>
    <row r="1586" spans="1:10">
      <c r="A1586" s="90" t="s">
        <v>216</v>
      </c>
      <c r="B1586" s="87">
        <v>45987</v>
      </c>
      <c r="C1586" t="s">
        <v>3315</v>
      </c>
      <c r="D1586" t="s">
        <v>2110</v>
      </c>
      <c r="E1586" t="s">
        <v>3316</v>
      </c>
      <c r="F1586" t="s">
        <v>1034</v>
      </c>
      <c r="G1586" t="s">
        <v>2125</v>
      </c>
      <c r="H1586" t="s">
        <v>470</v>
      </c>
      <c r="I1586" t="s">
        <v>487</v>
      </c>
      <c r="J1586">
        <v>6300</v>
      </c>
    </row>
    <row r="1587" spans="1:10">
      <c r="A1587" s="90" t="s">
        <v>216</v>
      </c>
      <c r="B1587" s="87">
        <v>45987</v>
      </c>
      <c r="C1587" t="s">
        <v>3317</v>
      </c>
      <c r="D1587" t="s">
        <v>2110</v>
      </c>
      <c r="E1587" t="s">
        <v>2628</v>
      </c>
      <c r="F1587" t="s">
        <v>3318</v>
      </c>
      <c r="G1587" t="s">
        <v>76</v>
      </c>
      <c r="H1587" t="s">
        <v>470</v>
      </c>
      <c r="I1587" t="s">
        <v>487</v>
      </c>
      <c r="J1587">
        <v>200</v>
      </c>
    </row>
    <row r="1588" spans="1:10">
      <c r="A1588" s="90" t="s">
        <v>216</v>
      </c>
      <c r="B1588" s="87">
        <v>45987</v>
      </c>
      <c r="C1588" t="s">
        <v>3319</v>
      </c>
      <c r="D1588" t="s">
        <v>2110</v>
      </c>
      <c r="E1588" t="s">
        <v>477</v>
      </c>
      <c r="F1588" t="s">
        <v>2325</v>
      </c>
      <c r="G1588" t="s">
        <v>515</v>
      </c>
      <c r="H1588" t="s">
        <v>3320</v>
      </c>
      <c r="I1588" t="s">
        <v>471</v>
      </c>
      <c r="J1588">
        <v>33666.57</v>
      </c>
    </row>
    <row r="1589" spans="1:10">
      <c r="A1589" s="90" t="s">
        <v>216</v>
      </c>
      <c r="B1589" s="87">
        <v>45987</v>
      </c>
      <c r="C1589" t="s">
        <v>3319</v>
      </c>
      <c r="D1589" t="s">
        <v>2110</v>
      </c>
      <c r="E1589" t="s">
        <v>477</v>
      </c>
      <c r="F1589" t="s">
        <v>2325</v>
      </c>
      <c r="G1589" t="s">
        <v>69</v>
      </c>
      <c r="H1589" t="s">
        <v>3320</v>
      </c>
      <c r="I1589" t="s">
        <v>471</v>
      </c>
      <c r="J1589">
        <v>4383.5</v>
      </c>
    </row>
    <row r="1590" spans="1:10">
      <c r="A1590" s="90" t="s">
        <v>216</v>
      </c>
      <c r="B1590" s="87">
        <v>45987</v>
      </c>
      <c r="C1590" t="s">
        <v>2275</v>
      </c>
      <c r="D1590" t="s">
        <v>2110</v>
      </c>
      <c r="E1590" t="s">
        <v>477</v>
      </c>
      <c r="F1590" t="s">
        <v>968</v>
      </c>
      <c r="G1590" t="s">
        <v>74</v>
      </c>
      <c r="H1590" t="s">
        <v>470</v>
      </c>
      <c r="I1590" t="s">
        <v>471</v>
      </c>
      <c r="J1590">
        <v>20</v>
      </c>
    </row>
    <row r="1591" spans="1:10">
      <c r="A1591" s="90" t="s">
        <v>216</v>
      </c>
      <c r="B1591" s="87">
        <v>45987</v>
      </c>
      <c r="C1591" t="s">
        <v>511</v>
      </c>
      <c r="D1591" t="s">
        <v>2110</v>
      </c>
      <c r="E1591" t="s">
        <v>512</v>
      </c>
      <c r="F1591" t="s">
        <v>968</v>
      </c>
      <c r="G1591" t="s">
        <v>474</v>
      </c>
      <c r="H1591" t="s">
        <v>470</v>
      </c>
      <c r="I1591" t="s">
        <v>475</v>
      </c>
      <c r="J1591">
        <v>51874.79</v>
      </c>
    </row>
    <row r="1592" spans="1:10">
      <c r="A1592" s="90" t="s">
        <v>216</v>
      </c>
      <c r="B1592" s="87">
        <v>45988</v>
      </c>
      <c r="C1592" t="s">
        <v>3321</v>
      </c>
      <c r="D1592" t="s">
        <v>2110</v>
      </c>
      <c r="E1592" t="s">
        <v>3322</v>
      </c>
      <c r="F1592" t="s">
        <v>1025</v>
      </c>
      <c r="G1592" t="s">
        <v>2125</v>
      </c>
      <c r="H1592" t="s">
        <v>470</v>
      </c>
      <c r="I1592" t="s">
        <v>487</v>
      </c>
      <c r="J1592">
        <v>8732.5</v>
      </c>
    </row>
    <row r="1593" spans="1:10">
      <c r="A1593" s="90" t="s">
        <v>216</v>
      </c>
      <c r="B1593" s="87">
        <v>45988</v>
      </c>
      <c r="C1593" t="s">
        <v>3323</v>
      </c>
      <c r="D1593" t="s">
        <v>2110</v>
      </c>
      <c r="E1593" t="s">
        <v>3324</v>
      </c>
      <c r="F1593" t="s">
        <v>1025</v>
      </c>
      <c r="G1593" t="s">
        <v>2112</v>
      </c>
      <c r="H1593" t="s">
        <v>470</v>
      </c>
      <c r="I1593" t="s">
        <v>487</v>
      </c>
      <c r="J1593">
        <v>36044.43</v>
      </c>
    </row>
    <row r="1594" spans="1:10">
      <c r="A1594" s="90" t="s">
        <v>216</v>
      </c>
      <c r="B1594" s="87">
        <v>45988</v>
      </c>
      <c r="C1594" t="s">
        <v>3325</v>
      </c>
      <c r="D1594" t="s">
        <v>2110</v>
      </c>
      <c r="E1594" t="s">
        <v>3326</v>
      </c>
      <c r="F1594" t="s">
        <v>1017</v>
      </c>
      <c r="G1594" t="s">
        <v>2125</v>
      </c>
      <c r="H1594" t="s">
        <v>470</v>
      </c>
      <c r="I1594" t="s">
        <v>487</v>
      </c>
      <c r="J1594">
        <v>8688.9599999999991</v>
      </c>
    </row>
    <row r="1595" spans="1:10">
      <c r="A1595" s="90" t="s">
        <v>216</v>
      </c>
      <c r="B1595" s="87">
        <v>45988</v>
      </c>
      <c r="C1595" t="s">
        <v>3327</v>
      </c>
      <c r="D1595" t="s">
        <v>2110</v>
      </c>
      <c r="E1595" t="s">
        <v>3324</v>
      </c>
      <c r="F1595" t="s">
        <v>1017</v>
      </c>
      <c r="G1595" t="s">
        <v>2112</v>
      </c>
      <c r="H1595" t="s">
        <v>470</v>
      </c>
      <c r="I1595" t="s">
        <v>487</v>
      </c>
      <c r="J1595">
        <v>37359.08</v>
      </c>
    </row>
    <row r="1596" spans="1:10">
      <c r="A1596" s="90" t="s">
        <v>216</v>
      </c>
      <c r="B1596" s="87">
        <v>45988</v>
      </c>
      <c r="C1596" t="s">
        <v>3328</v>
      </c>
      <c r="D1596" t="s">
        <v>2110</v>
      </c>
      <c r="E1596" t="s">
        <v>3329</v>
      </c>
      <c r="F1596" t="s">
        <v>1027</v>
      </c>
      <c r="G1596" t="s">
        <v>2125</v>
      </c>
      <c r="H1596" t="s">
        <v>470</v>
      </c>
      <c r="I1596" t="s">
        <v>487</v>
      </c>
      <c r="J1596">
        <v>8692.32</v>
      </c>
    </row>
    <row r="1597" spans="1:10">
      <c r="A1597" s="90" t="s">
        <v>216</v>
      </c>
      <c r="B1597" s="87">
        <v>45988</v>
      </c>
      <c r="C1597" t="s">
        <v>3330</v>
      </c>
      <c r="D1597" t="s">
        <v>2110</v>
      </c>
      <c r="E1597" t="s">
        <v>3324</v>
      </c>
      <c r="F1597" t="s">
        <v>1027</v>
      </c>
      <c r="G1597" t="s">
        <v>2112</v>
      </c>
      <c r="H1597" t="s">
        <v>470</v>
      </c>
      <c r="I1597" t="s">
        <v>487</v>
      </c>
      <c r="J1597">
        <v>37373.519999999997</v>
      </c>
    </row>
    <row r="1598" spans="1:10">
      <c r="A1598" s="90" t="s">
        <v>216</v>
      </c>
      <c r="B1598" s="87">
        <v>45988</v>
      </c>
      <c r="C1598" t="s">
        <v>2275</v>
      </c>
      <c r="D1598" t="s">
        <v>2110</v>
      </c>
      <c r="E1598" t="s">
        <v>477</v>
      </c>
      <c r="F1598" t="s">
        <v>968</v>
      </c>
      <c r="G1598" t="s">
        <v>74</v>
      </c>
      <c r="H1598" t="s">
        <v>470</v>
      </c>
      <c r="I1598" t="s">
        <v>471</v>
      </c>
      <c r="J1598">
        <v>40</v>
      </c>
    </row>
    <row r="1599" spans="1:10">
      <c r="A1599" s="90" t="s">
        <v>216</v>
      </c>
      <c r="B1599" s="87">
        <v>45988</v>
      </c>
      <c r="C1599" t="s">
        <v>511</v>
      </c>
      <c r="D1599" t="s">
        <v>2110</v>
      </c>
      <c r="E1599" t="s">
        <v>512</v>
      </c>
      <c r="F1599" t="s">
        <v>968</v>
      </c>
      <c r="G1599" t="s">
        <v>474</v>
      </c>
      <c r="H1599" t="s">
        <v>470</v>
      </c>
      <c r="I1599" t="s">
        <v>475</v>
      </c>
      <c r="J1599">
        <v>136930.81</v>
      </c>
    </row>
    <row r="1600" spans="1:10">
      <c r="A1600" s="90" t="s">
        <v>216</v>
      </c>
      <c r="B1600" s="87">
        <v>45989</v>
      </c>
      <c r="C1600" t="s">
        <v>2336</v>
      </c>
      <c r="D1600" t="s">
        <v>2110</v>
      </c>
      <c r="E1600" t="s">
        <v>480</v>
      </c>
      <c r="F1600" t="s">
        <v>968</v>
      </c>
      <c r="G1600" t="s">
        <v>71</v>
      </c>
      <c r="H1600" t="s">
        <v>3236</v>
      </c>
      <c r="I1600" t="s">
        <v>475</v>
      </c>
      <c r="J1600">
        <v>2314</v>
      </c>
    </row>
    <row r="1601" spans="1:10">
      <c r="A1601" s="90" t="s">
        <v>216</v>
      </c>
      <c r="B1601" s="87">
        <v>45989</v>
      </c>
      <c r="C1601" t="s">
        <v>3331</v>
      </c>
      <c r="D1601" t="s">
        <v>2110</v>
      </c>
      <c r="E1601" t="s">
        <v>1137</v>
      </c>
      <c r="F1601" t="s">
        <v>3332</v>
      </c>
      <c r="G1601" t="s">
        <v>61</v>
      </c>
      <c r="H1601" t="s">
        <v>3236</v>
      </c>
      <c r="I1601" t="s">
        <v>487</v>
      </c>
      <c r="J1601">
        <v>1518</v>
      </c>
    </row>
    <row r="1602" spans="1:10">
      <c r="A1602" s="90" t="s">
        <v>216</v>
      </c>
      <c r="B1602" s="87">
        <v>45989</v>
      </c>
      <c r="C1602" t="s">
        <v>3333</v>
      </c>
      <c r="D1602" t="s">
        <v>2110</v>
      </c>
      <c r="E1602" t="s">
        <v>2300</v>
      </c>
      <c r="F1602" t="s">
        <v>968</v>
      </c>
      <c r="G1602" t="s">
        <v>220</v>
      </c>
      <c r="H1602" t="s">
        <v>3334</v>
      </c>
      <c r="I1602" t="s">
        <v>796</v>
      </c>
      <c r="J1602">
        <v>3044.7</v>
      </c>
    </row>
    <row r="1603" spans="1:10">
      <c r="A1603" s="90" t="s">
        <v>216</v>
      </c>
      <c r="B1603" s="87">
        <v>45989</v>
      </c>
      <c r="C1603" t="s">
        <v>3335</v>
      </c>
      <c r="D1603" t="s">
        <v>2110</v>
      </c>
      <c r="E1603" t="s">
        <v>480</v>
      </c>
      <c r="F1603" t="s">
        <v>968</v>
      </c>
      <c r="G1603" t="s">
        <v>72</v>
      </c>
      <c r="H1603" t="s">
        <v>470</v>
      </c>
      <c r="I1603" t="s">
        <v>475</v>
      </c>
      <c r="J1603">
        <v>76</v>
      </c>
    </row>
    <row r="1604" spans="1:10">
      <c r="A1604" s="90" t="s">
        <v>216</v>
      </c>
      <c r="B1604" s="87">
        <v>45989</v>
      </c>
      <c r="C1604" t="s">
        <v>3335</v>
      </c>
      <c r="D1604" t="s">
        <v>2110</v>
      </c>
      <c r="E1604" t="s">
        <v>480</v>
      </c>
      <c r="F1604" t="s">
        <v>968</v>
      </c>
      <c r="G1604" t="s">
        <v>58</v>
      </c>
      <c r="H1604" t="s">
        <v>470</v>
      </c>
      <c r="I1604" t="s">
        <v>475</v>
      </c>
      <c r="J1604">
        <v>2411.27</v>
      </c>
    </row>
    <row r="1605" spans="1:10">
      <c r="A1605" s="90" t="s">
        <v>216</v>
      </c>
      <c r="B1605" s="87">
        <v>45989</v>
      </c>
      <c r="C1605" t="s">
        <v>3335</v>
      </c>
      <c r="D1605" t="s">
        <v>2110</v>
      </c>
      <c r="E1605" t="s">
        <v>480</v>
      </c>
      <c r="F1605" t="s">
        <v>968</v>
      </c>
      <c r="G1605" t="s">
        <v>75</v>
      </c>
      <c r="H1605" t="s">
        <v>470</v>
      </c>
      <c r="I1605" t="s">
        <v>475</v>
      </c>
      <c r="J1605">
        <v>190</v>
      </c>
    </row>
    <row r="1606" spans="1:10">
      <c r="A1606" s="90" t="s">
        <v>216</v>
      </c>
      <c r="B1606" s="87">
        <v>45989</v>
      </c>
      <c r="C1606" t="s">
        <v>3335</v>
      </c>
      <c r="D1606" t="s">
        <v>2110</v>
      </c>
      <c r="E1606" t="s">
        <v>480</v>
      </c>
      <c r="F1606" t="s">
        <v>968</v>
      </c>
      <c r="G1606" t="s">
        <v>198</v>
      </c>
      <c r="H1606" t="s">
        <v>470</v>
      </c>
      <c r="I1606" t="s">
        <v>475</v>
      </c>
      <c r="J1606">
        <v>541.28</v>
      </c>
    </row>
    <row r="1607" spans="1:10">
      <c r="A1607" s="90" t="s">
        <v>216</v>
      </c>
      <c r="B1607" s="87">
        <v>45989</v>
      </c>
      <c r="C1607" t="s">
        <v>3335</v>
      </c>
      <c r="D1607" t="s">
        <v>2110</v>
      </c>
      <c r="E1607" t="s">
        <v>480</v>
      </c>
      <c r="F1607" t="s">
        <v>968</v>
      </c>
      <c r="G1607" t="s">
        <v>198</v>
      </c>
      <c r="H1607" t="s">
        <v>470</v>
      </c>
      <c r="I1607" t="s">
        <v>475</v>
      </c>
      <c r="J1607">
        <v>541.28</v>
      </c>
    </row>
    <row r="1608" spans="1:10">
      <c r="A1608" s="90" t="s">
        <v>216</v>
      </c>
      <c r="B1608" s="87">
        <v>45989</v>
      </c>
      <c r="C1608" t="s">
        <v>3335</v>
      </c>
      <c r="D1608" t="s">
        <v>2110</v>
      </c>
      <c r="E1608" t="s">
        <v>480</v>
      </c>
      <c r="F1608" t="s">
        <v>968</v>
      </c>
      <c r="G1608" t="s">
        <v>198</v>
      </c>
      <c r="H1608" t="s">
        <v>470</v>
      </c>
      <c r="I1608" t="s">
        <v>475</v>
      </c>
      <c r="J1608">
        <v>533.66999999999996</v>
      </c>
    </row>
    <row r="1609" spans="1:10">
      <c r="A1609" s="90" t="s">
        <v>216</v>
      </c>
      <c r="B1609" s="87">
        <v>45989</v>
      </c>
      <c r="C1609" t="s">
        <v>3335</v>
      </c>
      <c r="D1609" t="s">
        <v>2110</v>
      </c>
      <c r="E1609" t="s">
        <v>480</v>
      </c>
      <c r="F1609" t="s">
        <v>968</v>
      </c>
      <c r="G1609" t="s">
        <v>198</v>
      </c>
      <c r="H1609" t="s">
        <v>470</v>
      </c>
      <c r="I1609" t="s">
        <v>475</v>
      </c>
      <c r="J1609">
        <v>119.2</v>
      </c>
    </row>
    <row r="1610" spans="1:10">
      <c r="A1610" s="90" t="s">
        <v>216</v>
      </c>
      <c r="B1610" s="87">
        <v>45989</v>
      </c>
      <c r="C1610" t="s">
        <v>2803</v>
      </c>
      <c r="D1610" t="s">
        <v>2110</v>
      </c>
      <c r="E1610" t="s">
        <v>480</v>
      </c>
      <c r="F1610" t="s">
        <v>968</v>
      </c>
      <c r="G1610" t="s">
        <v>180</v>
      </c>
      <c r="H1610" t="s">
        <v>470</v>
      </c>
      <c r="I1610" t="s">
        <v>475</v>
      </c>
      <c r="J1610">
        <v>2918.25</v>
      </c>
    </row>
    <row r="1611" spans="1:10">
      <c r="A1611" s="90" t="s">
        <v>216</v>
      </c>
      <c r="B1611" s="87">
        <v>45989</v>
      </c>
      <c r="C1611" t="s">
        <v>3336</v>
      </c>
      <c r="D1611" t="s">
        <v>2110</v>
      </c>
      <c r="E1611" t="s">
        <v>3337</v>
      </c>
      <c r="F1611" t="s">
        <v>1019</v>
      </c>
      <c r="G1611" t="s">
        <v>2125</v>
      </c>
      <c r="H1611" t="s">
        <v>470</v>
      </c>
      <c r="I1611" t="s">
        <v>487</v>
      </c>
      <c r="J1611">
        <v>10059</v>
      </c>
    </row>
    <row r="1612" spans="1:10">
      <c r="A1612" s="90" t="s">
        <v>216</v>
      </c>
      <c r="B1612" s="87">
        <v>45989</v>
      </c>
      <c r="C1612" t="s">
        <v>3338</v>
      </c>
      <c r="D1612" t="s">
        <v>2110</v>
      </c>
      <c r="E1612" t="s">
        <v>3339</v>
      </c>
      <c r="F1612" t="s">
        <v>1019</v>
      </c>
      <c r="G1612" t="s">
        <v>2112</v>
      </c>
      <c r="H1612" t="s">
        <v>470</v>
      </c>
      <c r="I1612" t="s">
        <v>487</v>
      </c>
      <c r="J1612">
        <v>107775</v>
      </c>
    </row>
    <row r="1613" spans="1:10">
      <c r="A1613" s="90" t="s">
        <v>216</v>
      </c>
      <c r="B1613" s="87">
        <v>45989</v>
      </c>
      <c r="C1613" t="s">
        <v>3340</v>
      </c>
      <c r="D1613" t="s">
        <v>2110</v>
      </c>
      <c r="E1613" t="s">
        <v>3341</v>
      </c>
      <c r="F1613" t="s">
        <v>1009</v>
      </c>
      <c r="G1613" t="s">
        <v>2125</v>
      </c>
      <c r="H1613" t="s">
        <v>470</v>
      </c>
      <c r="I1613" t="s">
        <v>487</v>
      </c>
      <c r="J1613">
        <v>6836.27</v>
      </c>
    </row>
    <row r="1614" spans="1:10">
      <c r="A1614" s="90" t="s">
        <v>216</v>
      </c>
      <c r="B1614" s="87">
        <v>45989</v>
      </c>
      <c r="C1614" t="s">
        <v>3342</v>
      </c>
      <c r="D1614" t="s">
        <v>2110</v>
      </c>
      <c r="E1614" t="s">
        <v>3339</v>
      </c>
      <c r="F1614" t="s">
        <v>1009</v>
      </c>
      <c r="G1614" t="s">
        <v>2112</v>
      </c>
      <c r="H1614" t="s">
        <v>470</v>
      </c>
      <c r="I1614" t="s">
        <v>487</v>
      </c>
      <c r="J1614">
        <v>72045</v>
      </c>
    </row>
    <row r="1615" spans="1:10">
      <c r="A1615" s="90" t="s">
        <v>216</v>
      </c>
      <c r="B1615" s="87">
        <v>45989</v>
      </c>
      <c r="C1615" t="s">
        <v>3343</v>
      </c>
      <c r="D1615" t="s">
        <v>2110</v>
      </c>
      <c r="E1615" t="s">
        <v>3344</v>
      </c>
      <c r="F1615" t="s">
        <v>1011</v>
      </c>
      <c r="G1615" t="s">
        <v>2125</v>
      </c>
      <c r="H1615" t="s">
        <v>470</v>
      </c>
      <c r="I1615" t="s">
        <v>487</v>
      </c>
      <c r="J1615">
        <v>6622.77</v>
      </c>
    </row>
    <row r="1616" spans="1:10">
      <c r="A1616" s="90" t="s">
        <v>216</v>
      </c>
      <c r="B1616" s="87">
        <v>45989</v>
      </c>
      <c r="C1616" t="s">
        <v>3345</v>
      </c>
      <c r="D1616" t="s">
        <v>2110</v>
      </c>
      <c r="E1616" t="s">
        <v>3339</v>
      </c>
      <c r="F1616" t="s">
        <v>1011</v>
      </c>
      <c r="G1616" t="s">
        <v>2112</v>
      </c>
      <c r="H1616" t="s">
        <v>470</v>
      </c>
      <c r="I1616" t="s">
        <v>487</v>
      </c>
      <c r="J1616">
        <v>69795</v>
      </c>
    </row>
    <row r="1617" spans="1:10">
      <c r="A1617" s="90" t="s">
        <v>216</v>
      </c>
      <c r="B1617" s="87">
        <v>45989</v>
      </c>
      <c r="C1617" t="s">
        <v>3346</v>
      </c>
      <c r="D1617" t="s">
        <v>2110</v>
      </c>
      <c r="E1617" t="s">
        <v>3347</v>
      </c>
      <c r="F1617" t="s">
        <v>1040</v>
      </c>
      <c r="G1617" t="s">
        <v>2125</v>
      </c>
      <c r="H1617" t="s">
        <v>470</v>
      </c>
      <c r="I1617" t="s">
        <v>487</v>
      </c>
      <c r="J1617">
        <v>7231.14</v>
      </c>
    </row>
    <row r="1618" spans="1:10">
      <c r="A1618" s="90" t="s">
        <v>216</v>
      </c>
      <c r="B1618" s="87">
        <v>45989</v>
      </c>
      <c r="C1618" t="s">
        <v>2275</v>
      </c>
      <c r="D1618" t="s">
        <v>2110</v>
      </c>
      <c r="E1618" t="s">
        <v>477</v>
      </c>
      <c r="F1618" t="s">
        <v>968</v>
      </c>
      <c r="G1618" t="s">
        <v>224</v>
      </c>
      <c r="H1618" t="s">
        <v>470</v>
      </c>
      <c r="I1618" t="s">
        <v>471</v>
      </c>
      <c r="J1618">
        <v>70</v>
      </c>
    </row>
    <row r="1619" spans="1:10">
      <c r="A1619" s="90" t="s">
        <v>216</v>
      </c>
      <c r="B1619" s="87">
        <v>45989</v>
      </c>
      <c r="C1619" t="s">
        <v>3348</v>
      </c>
      <c r="D1619" t="s">
        <v>2110</v>
      </c>
      <c r="E1619" t="s">
        <v>477</v>
      </c>
      <c r="F1619" t="s">
        <v>968</v>
      </c>
      <c r="G1619" t="s">
        <v>232</v>
      </c>
      <c r="H1619" t="s">
        <v>470</v>
      </c>
      <c r="I1619" t="s">
        <v>471</v>
      </c>
      <c r="J1619">
        <v>500</v>
      </c>
    </row>
    <row r="1620" spans="1:10">
      <c r="A1620" s="90" t="s">
        <v>216</v>
      </c>
      <c r="B1620" s="87">
        <v>45989</v>
      </c>
      <c r="C1620" t="s">
        <v>3348</v>
      </c>
      <c r="D1620" t="s">
        <v>2110</v>
      </c>
      <c r="E1620" t="s">
        <v>477</v>
      </c>
      <c r="F1620" t="s">
        <v>968</v>
      </c>
      <c r="G1620" t="s">
        <v>285</v>
      </c>
      <c r="H1620" t="s">
        <v>470</v>
      </c>
      <c r="I1620" t="s">
        <v>471</v>
      </c>
      <c r="J1620">
        <v>918.26</v>
      </c>
    </row>
    <row r="1621" spans="1:10">
      <c r="A1621" s="90" t="s">
        <v>216</v>
      </c>
      <c r="B1621" s="87">
        <v>45989</v>
      </c>
      <c r="C1621" t="s">
        <v>3348</v>
      </c>
      <c r="D1621" t="s">
        <v>2110</v>
      </c>
      <c r="E1621" t="s">
        <v>477</v>
      </c>
      <c r="F1621" t="s">
        <v>968</v>
      </c>
      <c r="G1621" t="s">
        <v>74</v>
      </c>
      <c r="H1621" t="s">
        <v>470</v>
      </c>
      <c r="I1621" t="s">
        <v>471</v>
      </c>
      <c r="J1621">
        <v>19</v>
      </c>
    </row>
    <row r="1622" spans="1:10">
      <c r="A1622" s="90" t="s">
        <v>216</v>
      </c>
      <c r="B1622" s="87">
        <v>45989</v>
      </c>
      <c r="C1622" t="s">
        <v>511</v>
      </c>
      <c r="D1622" t="s">
        <v>2110</v>
      </c>
      <c r="E1622" t="s">
        <v>512</v>
      </c>
      <c r="F1622" t="s">
        <v>968</v>
      </c>
      <c r="G1622" t="s">
        <v>474</v>
      </c>
      <c r="H1622" t="s">
        <v>470</v>
      </c>
      <c r="I1622" t="s">
        <v>475</v>
      </c>
      <c r="J1622">
        <v>303408.51</v>
      </c>
    </row>
    <row r="1623" spans="1:10">
      <c r="A1623" s="90" t="s">
        <v>216</v>
      </c>
      <c r="B1623" s="87">
        <v>45989</v>
      </c>
      <c r="C1623" t="s">
        <v>2348</v>
      </c>
      <c r="D1623" t="s">
        <v>2110</v>
      </c>
      <c r="E1623" t="s">
        <v>477</v>
      </c>
      <c r="F1623" t="s">
        <v>968</v>
      </c>
      <c r="G1623" t="s">
        <v>66</v>
      </c>
      <c r="H1623" t="s">
        <v>470</v>
      </c>
      <c r="I1623" t="s">
        <v>471</v>
      </c>
      <c r="J1623">
        <v>217.4</v>
      </c>
    </row>
    <row r="1624" spans="1:10">
      <c r="A1624" s="90" t="s">
        <v>216</v>
      </c>
      <c r="B1624" s="87">
        <v>45989</v>
      </c>
      <c r="C1624" t="s">
        <v>2347</v>
      </c>
      <c r="D1624" t="s">
        <v>2110</v>
      </c>
      <c r="E1624" t="s">
        <v>477</v>
      </c>
      <c r="F1624" t="s">
        <v>968</v>
      </c>
      <c r="G1624" t="s">
        <v>68</v>
      </c>
      <c r="H1624" t="s">
        <v>470</v>
      </c>
      <c r="I1624" t="s">
        <v>471</v>
      </c>
      <c r="J1624">
        <v>35.21</v>
      </c>
    </row>
    <row r="1625" spans="1:10">
      <c r="A1625" s="90" t="s">
        <v>216</v>
      </c>
      <c r="B1625" s="87">
        <v>45989</v>
      </c>
      <c r="C1625" t="s">
        <v>2347</v>
      </c>
      <c r="D1625" t="s">
        <v>2110</v>
      </c>
      <c r="E1625" t="s">
        <v>477</v>
      </c>
      <c r="F1625" t="s">
        <v>968</v>
      </c>
      <c r="G1625" t="s">
        <v>68</v>
      </c>
      <c r="H1625" t="s">
        <v>470</v>
      </c>
      <c r="I1625" t="s">
        <v>471</v>
      </c>
      <c r="J1625">
        <v>54.7</v>
      </c>
    </row>
    <row r="1626" spans="1:10">
      <c r="A1626" s="90" t="s">
        <v>216</v>
      </c>
      <c r="B1626" s="87">
        <v>45989</v>
      </c>
      <c r="C1626" t="s">
        <v>2347</v>
      </c>
      <c r="D1626" t="s">
        <v>2110</v>
      </c>
      <c r="E1626" t="s">
        <v>477</v>
      </c>
      <c r="F1626" t="s">
        <v>968</v>
      </c>
      <c r="G1626" t="s">
        <v>68</v>
      </c>
      <c r="H1626" t="s">
        <v>470</v>
      </c>
      <c r="I1626" t="s">
        <v>471</v>
      </c>
      <c r="J1626">
        <v>5764.28</v>
      </c>
    </row>
    <row r="1627" spans="1:10">
      <c r="A1627" s="90" t="s">
        <v>216</v>
      </c>
      <c r="B1627" s="87">
        <v>45989</v>
      </c>
      <c r="C1627" t="s">
        <v>2348</v>
      </c>
      <c r="D1627" t="s">
        <v>2110</v>
      </c>
      <c r="E1627" t="s">
        <v>477</v>
      </c>
      <c r="F1627" t="s">
        <v>968</v>
      </c>
      <c r="G1627" t="s">
        <v>66</v>
      </c>
      <c r="H1627" t="s">
        <v>470</v>
      </c>
      <c r="I1627" t="s">
        <v>471</v>
      </c>
      <c r="J1627">
        <v>51.47</v>
      </c>
    </row>
    <row r="1628" spans="1:10">
      <c r="A1628" s="90" t="s">
        <v>216</v>
      </c>
      <c r="B1628" s="87">
        <v>45989</v>
      </c>
      <c r="C1628" t="s">
        <v>3349</v>
      </c>
      <c r="D1628" t="s">
        <v>2110</v>
      </c>
      <c r="E1628" t="s">
        <v>3350</v>
      </c>
      <c r="F1628" t="s">
        <v>1043</v>
      </c>
      <c r="G1628" t="s">
        <v>2125</v>
      </c>
      <c r="H1628" t="s">
        <v>470</v>
      </c>
      <c r="I1628" t="s">
        <v>487</v>
      </c>
      <c r="J1628">
        <v>7329.42</v>
      </c>
    </row>
    <row r="1629" spans="1:10">
      <c r="A1629" s="90" t="s">
        <v>216</v>
      </c>
      <c r="B1629" s="87">
        <v>45992</v>
      </c>
      <c r="C1629" t="s">
        <v>3351</v>
      </c>
      <c r="D1629" t="s">
        <v>2110</v>
      </c>
      <c r="E1629" t="s">
        <v>3314</v>
      </c>
      <c r="F1629" t="s">
        <v>1032</v>
      </c>
      <c r="G1629" t="s">
        <v>2125</v>
      </c>
      <c r="H1629" t="s">
        <v>470</v>
      </c>
      <c r="I1629" t="s">
        <v>487</v>
      </c>
      <c r="J1629">
        <v>2596.08</v>
      </c>
    </row>
    <row r="1630" spans="1:10">
      <c r="A1630" s="90" t="s">
        <v>216</v>
      </c>
      <c r="B1630" s="87">
        <v>45992</v>
      </c>
      <c r="C1630" t="s">
        <v>3352</v>
      </c>
      <c r="D1630" t="s">
        <v>2110</v>
      </c>
      <c r="E1630" t="s">
        <v>3316</v>
      </c>
      <c r="F1630" t="s">
        <v>1034</v>
      </c>
      <c r="G1630" t="s">
        <v>2125</v>
      </c>
      <c r="H1630" t="s">
        <v>470</v>
      </c>
      <c r="I1630" t="s">
        <v>487</v>
      </c>
      <c r="J1630">
        <v>2610</v>
      </c>
    </row>
    <row r="1631" spans="1:10">
      <c r="A1631" s="90" t="s">
        <v>216</v>
      </c>
      <c r="B1631" s="87">
        <v>45992</v>
      </c>
      <c r="C1631" t="s">
        <v>3353</v>
      </c>
      <c r="D1631" t="s">
        <v>2110</v>
      </c>
      <c r="E1631" t="s">
        <v>3326</v>
      </c>
      <c r="F1631" t="s">
        <v>1017</v>
      </c>
      <c r="G1631" t="s">
        <v>2125</v>
      </c>
      <c r="H1631" t="s">
        <v>470</v>
      </c>
      <c r="I1631" t="s">
        <v>487</v>
      </c>
      <c r="J1631">
        <v>3365.84</v>
      </c>
    </row>
    <row r="1632" spans="1:10">
      <c r="A1632" s="90" t="s">
        <v>216</v>
      </c>
      <c r="B1632" s="87">
        <v>45992</v>
      </c>
      <c r="C1632" t="s">
        <v>3354</v>
      </c>
      <c r="D1632" t="s">
        <v>2110</v>
      </c>
      <c r="E1632" t="s">
        <v>3329</v>
      </c>
      <c r="F1632" t="s">
        <v>1027</v>
      </c>
      <c r="G1632" t="s">
        <v>2125</v>
      </c>
      <c r="H1632" t="s">
        <v>470</v>
      </c>
      <c r="I1632" t="s">
        <v>487</v>
      </c>
      <c r="J1632">
        <v>3152.88</v>
      </c>
    </row>
    <row r="1633" spans="1:10">
      <c r="A1633" s="90" t="s">
        <v>216</v>
      </c>
      <c r="B1633" s="87">
        <v>45992</v>
      </c>
      <c r="C1633" t="s">
        <v>3355</v>
      </c>
      <c r="D1633" t="s">
        <v>2110</v>
      </c>
      <c r="E1633" t="s">
        <v>3347</v>
      </c>
      <c r="F1633" t="s">
        <v>1040</v>
      </c>
      <c r="G1633" t="s">
        <v>2125</v>
      </c>
      <c r="H1633" t="s">
        <v>470</v>
      </c>
      <c r="I1633" t="s">
        <v>487</v>
      </c>
      <c r="J1633">
        <v>3009.06</v>
      </c>
    </row>
    <row r="1634" spans="1:10">
      <c r="A1634" s="90" t="s">
        <v>216</v>
      </c>
      <c r="B1634" s="87">
        <v>45992</v>
      </c>
      <c r="C1634" t="s">
        <v>3356</v>
      </c>
      <c r="D1634" t="s">
        <v>2110</v>
      </c>
      <c r="E1634" t="s">
        <v>3357</v>
      </c>
      <c r="F1634" t="s">
        <v>1013</v>
      </c>
      <c r="G1634" t="s">
        <v>2125</v>
      </c>
      <c r="H1634" t="s">
        <v>470</v>
      </c>
      <c r="I1634" t="s">
        <v>487</v>
      </c>
      <c r="J1634">
        <v>6948.34</v>
      </c>
    </row>
    <row r="1635" spans="1:10">
      <c r="A1635" s="90" t="s">
        <v>216</v>
      </c>
      <c r="B1635" s="87">
        <v>45992</v>
      </c>
      <c r="C1635" t="s">
        <v>3358</v>
      </c>
      <c r="D1635" t="s">
        <v>2110</v>
      </c>
      <c r="E1635" t="s">
        <v>3339</v>
      </c>
      <c r="F1635" t="s">
        <v>1013</v>
      </c>
      <c r="G1635" t="s">
        <v>2112</v>
      </c>
      <c r="H1635" t="s">
        <v>470</v>
      </c>
      <c r="I1635" t="s">
        <v>487</v>
      </c>
      <c r="J1635">
        <v>72045</v>
      </c>
    </row>
    <row r="1636" spans="1:10">
      <c r="A1636" s="90" t="s">
        <v>216</v>
      </c>
      <c r="B1636" s="87">
        <v>45992</v>
      </c>
      <c r="C1636" t="s">
        <v>3359</v>
      </c>
      <c r="D1636" t="s">
        <v>2110</v>
      </c>
      <c r="E1636" t="s">
        <v>3360</v>
      </c>
      <c r="F1636" t="s">
        <v>1021</v>
      </c>
      <c r="G1636" t="s">
        <v>2125</v>
      </c>
      <c r="H1636" t="s">
        <v>470</v>
      </c>
      <c r="I1636" t="s">
        <v>487</v>
      </c>
      <c r="J1636">
        <v>6952.68</v>
      </c>
    </row>
    <row r="1637" spans="1:10">
      <c r="A1637" s="90" t="s">
        <v>216</v>
      </c>
      <c r="B1637" s="87">
        <v>45992</v>
      </c>
      <c r="C1637" t="s">
        <v>3361</v>
      </c>
      <c r="D1637" t="s">
        <v>2110</v>
      </c>
      <c r="E1637" t="s">
        <v>3339</v>
      </c>
      <c r="F1637" t="s">
        <v>1021</v>
      </c>
      <c r="G1637" t="s">
        <v>2112</v>
      </c>
      <c r="H1637" t="s">
        <v>470</v>
      </c>
      <c r="I1637" t="s">
        <v>487</v>
      </c>
      <c r="J1637">
        <v>72090</v>
      </c>
    </row>
    <row r="1638" spans="1:10">
      <c r="A1638" s="90" t="s">
        <v>216</v>
      </c>
      <c r="B1638" s="87">
        <v>45992</v>
      </c>
      <c r="C1638" t="s">
        <v>3362</v>
      </c>
      <c r="D1638" t="s">
        <v>2110</v>
      </c>
      <c r="E1638" t="s">
        <v>3363</v>
      </c>
      <c r="F1638" t="s">
        <v>1051</v>
      </c>
      <c r="G1638" t="s">
        <v>2125</v>
      </c>
      <c r="H1638" t="s">
        <v>470</v>
      </c>
      <c r="I1638" t="s">
        <v>487</v>
      </c>
      <c r="J1638">
        <v>9567.18</v>
      </c>
    </row>
    <row r="1639" spans="1:10">
      <c r="A1639" s="90" t="s">
        <v>216</v>
      </c>
      <c r="B1639" s="87">
        <v>45992</v>
      </c>
      <c r="C1639" t="s">
        <v>3362</v>
      </c>
      <c r="D1639" t="s">
        <v>2110</v>
      </c>
      <c r="E1639" t="s">
        <v>3363</v>
      </c>
      <c r="F1639" t="s">
        <v>1051</v>
      </c>
      <c r="G1639" t="s">
        <v>2125</v>
      </c>
      <c r="H1639" t="s">
        <v>470</v>
      </c>
      <c r="I1639" t="s">
        <v>487</v>
      </c>
      <c r="J1639">
        <v>1948.87</v>
      </c>
    </row>
    <row r="1640" spans="1:10">
      <c r="A1640" s="90" t="s">
        <v>216</v>
      </c>
      <c r="B1640" s="87">
        <v>45992</v>
      </c>
      <c r="C1640" t="s">
        <v>3364</v>
      </c>
      <c r="D1640" t="s">
        <v>2110</v>
      </c>
      <c r="E1640" t="s">
        <v>3365</v>
      </c>
      <c r="F1640" t="s">
        <v>414</v>
      </c>
      <c r="G1640" t="s">
        <v>2112</v>
      </c>
      <c r="H1640" t="s">
        <v>470</v>
      </c>
      <c r="I1640" t="s">
        <v>487</v>
      </c>
      <c r="J1640">
        <v>40000</v>
      </c>
    </row>
    <row r="1641" spans="1:10">
      <c r="A1641" s="90" t="s">
        <v>216</v>
      </c>
      <c r="B1641" s="87">
        <v>45992</v>
      </c>
      <c r="C1641" t="s">
        <v>3366</v>
      </c>
      <c r="D1641" t="s">
        <v>2110</v>
      </c>
      <c r="E1641" t="s">
        <v>3324</v>
      </c>
      <c r="F1641" t="s">
        <v>1029</v>
      </c>
      <c r="G1641" t="s">
        <v>2112</v>
      </c>
      <c r="H1641" t="s">
        <v>470</v>
      </c>
      <c r="I1641" t="s">
        <v>487</v>
      </c>
      <c r="J1641">
        <v>36651.19</v>
      </c>
    </row>
    <row r="1642" spans="1:10">
      <c r="A1642" s="90" t="s">
        <v>216</v>
      </c>
      <c r="B1642" s="87">
        <v>45992</v>
      </c>
      <c r="C1642" t="s">
        <v>3367</v>
      </c>
      <c r="D1642" t="s">
        <v>2110</v>
      </c>
      <c r="E1642" t="s">
        <v>2262</v>
      </c>
      <c r="F1642" t="s">
        <v>3368</v>
      </c>
      <c r="G1642" t="s">
        <v>73</v>
      </c>
      <c r="H1642" t="s">
        <v>2279</v>
      </c>
      <c r="I1642" t="s">
        <v>796</v>
      </c>
      <c r="J1642">
        <v>633.03</v>
      </c>
    </row>
    <row r="1643" spans="1:10">
      <c r="A1643" s="90" t="s">
        <v>216</v>
      </c>
      <c r="B1643" s="87">
        <v>45992</v>
      </c>
      <c r="C1643" t="s">
        <v>3369</v>
      </c>
      <c r="D1643" t="s">
        <v>2110</v>
      </c>
      <c r="E1643" t="s">
        <v>477</v>
      </c>
      <c r="F1643" t="s">
        <v>2273</v>
      </c>
      <c r="G1643" t="s">
        <v>2269</v>
      </c>
      <c r="H1643" t="s">
        <v>3370</v>
      </c>
      <c r="I1643" t="s">
        <v>471</v>
      </c>
      <c r="J1643">
        <v>10125</v>
      </c>
    </row>
    <row r="1644" spans="1:10">
      <c r="A1644" s="90" t="s">
        <v>216</v>
      </c>
      <c r="B1644" s="87">
        <v>45992</v>
      </c>
      <c r="C1644" t="s">
        <v>3369</v>
      </c>
      <c r="D1644" t="s">
        <v>2110</v>
      </c>
      <c r="E1644" t="s">
        <v>477</v>
      </c>
      <c r="F1644" t="s">
        <v>2273</v>
      </c>
      <c r="G1644" t="s">
        <v>2271</v>
      </c>
      <c r="H1644" t="s">
        <v>3370</v>
      </c>
      <c r="I1644" t="s">
        <v>471</v>
      </c>
      <c r="J1644">
        <v>320.55</v>
      </c>
    </row>
    <row r="1645" spans="1:10">
      <c r="A1645" s="90" t="s">
        <v>216</v>
      </c>
      <c r="B1645" s="87">
        <v>45992</v>
      </c>
      <c r="C1645" t="s">
        <v>2275</v>
      </c>
      <c r="D1645" t="s">
        <v>2110</v>
      </c>
      <c r="E1645" t="s">
        <v>477</v>
      </c>
      <c r="F1645" t="s">
        <v>1014</v>
      </c>
      <c r="G1645" t="s">
        <v>74</v>
      </c>
      <c r="H1645" t="s">
        <v>470</v>
      </c>
      <c r="I1645" t="s">
        <v>471</v>
      </c>
      <c r="J1645">
        <v>15</v>
      </c>
    </row>
    <row r="1646" spans="1:10">
      <c r="A1646" s="90" t="s">
        <v>216</v>
      </c>
      <c r="B1646" s="87">
        <v>45992</v>
      </c>
      <c r="C1646" t="s">
        <v>2275</v>
      </c>
      <c r="D1646" t="s">
        <v>2110</v>
      </c>
      <c r="E1646" t="s">
        <v>477</v>
      </c>
      <c r="F1646" t="s">
        <v>968</v>
      </c>
      <c r="G1646" t="s">
        <v>74</v>
      </c>
      <c r="H1646" t="s">
        <v>470</v>
      </c>
      <c r="I1646" t="s">
        <v>471</v>
      </c>
      <c r="J1646">
        <v>120</v>
      </c>
    </row>
    <row r="1647" spans="1:10">
      <c r="A1647" s="90" t="s">
        <v>216</v>
      </c>
      <c r="B1647" s="87">
        <v>45992</v>
      </c>
      <c r="C1647" t="s">
        <v>517</v>
      </c>
      <c r="D1647" t="s">
        <v>2110</v>
      </c>
      <c r="E1647" t="s">
        <v>512</v>
      </c>
      <c r="F1647" t="s">
        <v>1014</v>
      </c>
      <c r="G1647" t="s">
        <v>474</v>
      </c>
      <c r="H1647" t="s">
        <v>470</v>
      </c>
      <c r="I1647" t="s">
        <v>475</v>
      </c>
      <c r="J1647">
        <v>7631.53</v>
      </c>
    </row>
    <row r="1648" spans="1:10">
      <c r="A1648" s="90" t="s">
        <v>216</v>
      </c>
      <c r="B1648" s="87">
        <v>45993</v>
      </c>
      <c r="C1648" t="s">
        <v>3371</v>
      </c>
      <c r="D1648" t="s">
        <v>2110</v>
      </c>
      <c r="E1648" t="s">
        <v>3322</v>
      </c>
      <c r="F1648" t="s">
        <v>1025</v>
      </c>
      <c r="G1648" t="s">
        <v>2125</v>
      </c>
      <c r="H1648" t="s">
        <v>470</v>
      </c>
      <c r="I1648" t="s">
        <v>487</v>
      </c>
      <c r="J1648">
        <v>3409.5</v>
      </c>
    </row>
    <row r="1649" spans="1:10">
      <c r="A1649" s="90" t="s">
        <v>216</v>
      </c>
      <c r="B1649" s="87">
        <v>45993</v>
      </c>
      <c r="C1649" t="s">
        <v>3372</v>
      </c>
      <c r="D1649" t="s">
        <v>2110</v>
      </c>
      <c r="E1649" t="s">
        <v>3341</v>
      </c>
      <c r="F1649" t="s">
        <v>1009</v>
      </c>
      <c r="G1649" t="s">
        <v>2125</v>
      </c>
      <c r="H1649" t="s">
        <v>470</v>
      </c>
      <c r="I1649" t="s">
        <v>487</v>
      </c>
      <c r="J1649">
        <v>2827.63</v>
      </c>
    </row>
    <row r="1650" spans="1:10">
      <c r="A1650" s="90" t="s">
        <v>216</v>
      </c>
      <c r="B1650" s="87">
        <v>45993</v>
      </c>
      <c r="C1650" t="s">
        <v>3373</v>
      </c>
      <c r="D1650" t="s">
        <v>2110</v>
      </c>
      <c r="E1650" t="s">
        <v>3344</v>
      </c>
      <c r="F1650" t="s">
        <v>1011</v>
      </c>
      <c r="G1650" t="s">
        <v>2125</v>
      </c>
      <c r="H1650" t="s">
        <v>470</v>
      </c>
      <c r="I1650" t="s">
        <v>487</v>
      </c>
      <c r="J1650">
        <v>2742.23</v>
      </c>
    </row>
    <row r="1651" spans="1:10">
      <c r="A1651" s="90" t="s">
        <v>216</v>
      </c>
      <c r="B1651" s="87">
        <v>45993</v>
      </c>
      <c r="C1651" t="s">
        <v>3374</v>
      </c>
      <c r="D1651" t="s">
        <v>2110</v>
      </c>
      <c r="E1651" t="s">
        <v>3357</v>
      </c>
      <c r="F1651" t="s">
        <v>1013</v>
      </c>
      <c r="G1651" t="s">
        <v>2125</v>
      </c>
      <c r="H1651" t="s">
        <v>470</v>
      </c>
      <c r="I1651" t="s">
        <v>487</v>
      </c>
      <c r="J1651">
        <v>2881.66</v>
      </c>
    </row>
    <row r="1652" spans="1:10">
      <c r="A1652" s="90" t="s">
        <v>216</v>
      </c>
      <c r="B1652" s="87">
        <v>45993</v>
      </c>
      <c r="C1652" t="s">
        <v>3375</v>
      </c>
      <c r="D1652" t="s">
        <v>2110</v>
      </c>
      <c r="E1652" t="s">
        <v>3107</v>
      </c>
      <c r="F1652" t="s">
        <v>968</v>
      </c>
      <c r="G1652" t="s">
        <v>60</v>
      </c>
      <c r="H1652" t="s">
        <v>3236</v>
      </c>
      <c r="I1652" t="s">
        <v>796</v>
      </c>
      <c r="J1652">
        <v>88.72</v>
      </c>
    </row>
    <row r="1653" spans="1:10">
      <c r="A1653" s="90" t="s">
        <v>216</v>
      </c>
      <c r="B1653" s="87">
        <v>45993</v>
      </c>
      <c r="C1653" t="s">
        <v>3376</v>
      </c>
      <c r="D1653" t="s">
        <v>2110</v>
      </c>
      <c r="E1653" t="s">
        <v>2277</v>
      </c>
      <c r="F1653" t="s">
        <v>2305</v>
      </c>
      <c r="G1653" t="s">
        <v>226</v>
      </c>
      <c r="H1653" t="s">
        <v>3236</v>
      </c>
      <c r="I1653" t="s">
        <v>796</v>
      </c>
      <c r="J1653">
        <v>277.95999999999998</v>
      </c>
    </row>
    <row r="1654" spans="1:10">
      <c r="A1654" s="90" t="s">
        <v>216</v>
      </c>
      <c r="B1654" s="87">
        <v>45993</v>
      </c>
      <c r="C1654" t="s">
        <v>3377</v>
      </c>
      <c r="D1654" t="s">
        <v>2110</v>
      </c>
      <c r="E1654" t="s">
        <v>3378</v>
      </c>
      <c r="F1654" t="s">
        <v>1029</v>
      </c>
      <c r="G1654" t="s">
        <v>2125</v>
      </c>
      <c r="H1654" t="s">
        <v>470</v>
      </c>
      <c r="I1654" t="s">
        <v>487</v>
      </c>
      <c r="J1654">
        <v>8879.5</v>
      </c>
    </row>
    <row r="1655" spans="1:10">
      <c r="A1655" s="90" t="s">
        <v>216</v>
      </c>
      <c r="B1655" s="87">
        <v>45993</v>
      </c>
      <c r="C1655" t="s">
        <v>3379</v>
      </c>
      <c r="D1655" t="s">
        <v>2110</v>
      </c>
      <c r="E1655" t="s">
        <v>1667</v>
      </c>
      <c r="F1655" t="s">
        <v>3380</v>
      </c>
      <c r="G1655" t="s">
        <v>2115</v>
      </c>
      <c r="H1655" t="s">
        <v>470</v>
      </c>
      <c r="I1655" t="s">
        <v>475</v>
      </c>
      <c r="J1655">
        <v>9022.4</v>
      </c>
    </row>
    <row r="1656" spans="1:10">
      <c r="A1656" s="90" t="s">
        <v>216</v>
      </c>
      <c r="B1656" s="87">
        <v>45993</v>
      </c>
      <c r="C1656" t="s">
        <v>3381</v>
      </c>
      <c r="D1656" t="s">
        <v>2110</v>
      </c>
      <c r="E1656" t="s">
        <v>1667</v>
      </c>
      <c r="F1656" t="s">
        <v>1014</v>
      </c>
      <c r="G1656" t="s">
        <v>259</v>
      </c>
      <c r="H1656" t="s">
        <v>470</v>
      </c>
      <c r="I1656" t="s">
        <v>475</v>
      </c>
      <c r="J1656">
        <v>10196.219999999999</v>
      </c>
    </row>
    <row r="1657" spans="1:10">
      <c r="A1657" s="90" t="s">
        <v>216</v>
      </c>
      <c r="B1657" s="87">
        <v>45993</v>
      </c>
      <c r="C1657" t="s">
        <v>3381</v>
      </c>
      <c r="D1657" t="s">
        <v>2110</v>
      </c>
      <c r="E1657" t="s">
        <v>1667</v>
      </c>
      <c r="F1657" t="s">
        <v>1014</v>
      </c>
      <c r="G1657" t="s">
        <v>71</v>
      </c>
      <c r="H1657" t="s">
        <v>470</v>
      </c>
      <c r="I1657" t="s">
        <v>475</v>
      </c>
      <c r="J1657">
        <v>633.19000000000005</v>
      </c>
    </row>
    <row r="1658" spans="1:10">
      <c r="A1658" s="90" t="s">
        <v>216</v>
      </c>
      <c r="B1658" s="87">
        <v>45993</v>
      </c>
      <c r="C1658" t="s">
        <v>3381</v>
      </c>
      <c r="D1658" t="s">
        <v>2110</v>
      </c>
      <c r="E1658" t="s">
        <v>1667</v>
      </c>
      <c r="F1658" t="s">
        <v>1014</v>
      </c>
      <c r="G1658" t="s">
        <v>78</v>
      </c>
      <c r="H1658" t="s">
        <v>470</v>
      </c>
      <c r="I1658" t="s">
        <v>475</v>
      </c>
      <c r="J1658">
        <v>0.06</v>
      </c>
    </row>
    <row r="1659" spans="1:10">
      <c r="A1659" s="90" t="s">
        <v>216</v>
      </c>
      <c r="B1659" s="87">
        <v>45993</v>
      </c>
      <c r="C1659" t="s">
        <v>3382</v>
      </c>
      <c r="D1659" t="s">
        <v>2110</v>
      </c>
      <c r="E1659" t="s">
        <v>3383</v>
      </c>
      <c r="F1659" t="s">
        <v>1014</v>
      </c>
      <c r="G1659" t="s">
        <v>76</v>
      </c>
      <c r="H1659" t="s">
        <v>470</v>
      </c>
      <c r="I1659" t="s">
        <v>487</v>
      </c>
      <c r="J1659">
        <v>4209.05</v>
      </c>
    </row>
    <row r="1660" spans="1:10">
      <c r="A1660" s="90" t="s">
        <v>216</v>
      </c>
      <c r="B1660" s="87">
        <v>45993</v>
      </c>
      <c r="C1660" t="s">
        <v>2275</v>
      </c>
      <c r="D1660" t="s">
        <v>2110</v>
      </c>
      <c r="E1660" t="s">
        <v>477</v>
      </c>
      <c r="F1660" t="s">
        <v>1014</v>
      </c>
      <c r="G1660" t="s">
        <v>74</v>
      </c>
      <c r="H1660" t="s">
        <v>470</v>
      </c>
      <c r="I1660" t="s">
        <v>471</v>
      </c>
      <c r="J1660">
        <v>1.64</v>
      </c>
    </row>
    <row r="1661" spans="1:10">
      <c r="A1661" s="90" t="s">
        <v>216</v>
      </c>
      <c r="B1661" s="87">
        <v>45993</v>
      </c>
      <c r="C1661" t="s">
        <v>2275</v>
      </c>
      <c r="D1661" t="s">
        <v>2110</v>
      </c>
      <c r="E1661" t="s">
        <v>477</v>
      </c>
      <c r="F1661" t="s">
        <v>1014</v>
      </c>
      <c r="G1661" t="s">
        <v>74</v>
      </c>
      <c r="H1661" t="s">
        <v>470</v>
      </c>
      <c r="I1661" t="s">
        <v>471</v>
      </c>
      <c r="J1661">
        <v>50</v>
      </c>
    </row>
    <row r="1662" spans="1:10">
      <c r="A1662" s="90" t="s">
        <v>216</v>
      </c>
      <c r="B1662" s="87">
        <v>45993</v>
      </c>
      <c r="C1662" t="s">
        <v>1005</v>
      </c>
      <c r="D1662" t="s">
        <v>2110</v>
      </c>
      <c r="E1662" t="s">
        <v>512</v>
      </c>
      <c r="F1662" t="s">
        <v>1007</v>
      </c>
      <c r="G1662" t="s">
        <v>474</v>
      </c>
      <c r="H1662" t="s">
        <v>470</v>
      </c>
      <c r="I1662" t="s">
        <v>475</v>
      </c>
      <c r="J1662">
        <v>51220</v>
      </c>
    </row>
    <row r="1663" spans="1:10">
      <c r="A1663" s="90" t="s">
        <v>216</v>
      </c>
      <c r="B1663" s="87">
        <v>45993</v>
      </c>
      <c r="C1663" t="s">
        <v>517</v>
      </c>
      <c r="D1663" t="s">
        <v>2110</v>
      </c>
      <c r="E1663" t="s">
        <v>512</v>
      </c>
      <c r="F1663" t="s">
        <v>1014</v>
      </c>
      <c r="G1663" t="s">
        <v>474</v>
      </c>
      <c r="H1663" t="s">
        <v>470</v>
      </c>
      <c r="I1663" t="s">
        <v>475</v>
      </c>
      <c r="J1663">
        <v>289388.90999999997</v>
      </c>
    </row>
    <row r="1664" spans="1:10">
      <c r="A1664" s="90" t="s">
        <v>216</v>
      </c>
      <c r="B1664" s="87">
        <v>45993</v>
      </c>
      <c r="C1664" t="s">
        <v>511</v>
      </c>
      <c r="D1664" t="s">
        <v>2110</v>
      </c>
      <c r="E1664" t="s">
        <v>512</v>
      </c>
      <c r="F1664" t="s">
        <v>1014</v>
      </c>
      <c r="G1664" t="s">
        <v>474</v>
      </c>
      <c r="H1664" t="s">
        <v>470</v>
      </c>
      <c r="I1664" t="s">
        <v>475</v>
      </c>
      <c r="J1664">
        <v>209414.27</v>
      </c>
    </row>
    <row r="1665" spans="1:10">
      <c r="A1665" s="90" t="s">
        <v>216</v>
      </c>
      <c r="B1665" s="87">
        <v>45994</v>
      </c>
      <c r="C1665" t="s">
        <v>3384</v>
      </c>
      <c r="D1665" t="s">
        <v>2110</v>
      </c>
      <c r="E1665" t="s">
        <v>3385</v>
      </c>
      <c r="F1665" t="s">
        <v>3386</v>
      </c>
      <c r="G1665" t="s">
        <v>219</v>
      </c>
      <c r="H1665" t="s">
        <v>470</v>
      </c>
      <c r="I1665" t="s">
        <v>487</v>
      </c>
      <c r="J1665">
        <v>2200.8000000000002</v>
      </c>
    </row>
    <row r="1666" spans="1:10">
      <c r="A1666" s="90" t="s">
        <v>216</v>
      </c>
      <c r="B1666" s="87">
        <v>45994</v>
      </c>
      <c r="C1666" t="s">
        <v>3387</v>
      </c>
      <c r="D1666" t="s">
        <v>2110</v>
      </c>
      <c r="E1666" t="s">
        <v>3337</v>
      </c>
      <c r="F1666" t="s">
        <v>1019</v>
      </c>
      <c r="G1666" t="s">
        <v>2125</v>
      </c>
      <c r="H1666" t="s">
        <v>470</v>
      </c>
      <c r="I1666" t="s">
        <v>487</v>
      </c>
      <c r="J1666">
        <v>3531.67</v>
      </c>
    </row>
    <row r="1667" spans="1:10">
      <c r="A1667" s="90" t="s">
        <v>216</v>
      </c>
      <c r="B1667" s="87">
        <v>45994</v>
      </c>
      <c r="C1667" t="s">
        <v>3387</v>
      </c>
      <c r="D1667" t="s">
        <v>2110</v>
      </c>
      <c r="E1667" t="s">
        <v>3337</v>
      </c>
      <c r="F1667" t="s">
        <v>1019</v>
      </c>
      <c r="G1667" t="s">
        <v>2125</v>
      </c>
      <c r="H1667" t="s">
        <v>470</v>
      </c>
      <c r="I1667" t="s">
        <v>487</v>
      </c>
      <c r="J1667">
        <v>90</v>
      </c>
    </row>
    <row r="1668" spans="1:10">
      <c r="A1668" s="90" t="s">
        <v>216</v>
      </c>
      <c r="B1668" s="87">
        <v>45994</v>
      </c>
      <c r="C1668" t="s">
        <v>3388</v>
      </c>
      <c r="D1668" t="s">
        <v>2110</v>
      </c>
      <c r="E1668" t="s">
        <v>3360</v>
      </c>
      <c r="F1668" t="s">
        <v>1021</v>
      </c>
      <c r="G1668" t="s">
        <v>2125</v>
      </c>
      <c r="H1668" t="s">
        <v>470</v>
      </c>
      <c r="I1668" t="s">
        <v>487</v>
      </c>
      <c r="J1668">
        <v>2323.92</v>
      </c>
    </row>
    <row r="1669" spans="1:10">
      <c r="A1669" s="90" t="s">
        <v>216</v>
      </c>
      <c r="B1669" s="87">
        <v>45994</v>
      </c>
      <c r="C1669" t="s">
        <v>3388</v>
      </c>
      <c r="D1669" t="s">
        <v>2110</v>
      </c>
      <c r="E1669" t="s">
        <v>3360</v>
      </c>
      <c r="F1669" t="s">
        <v>1021</v>
      </c>
      <c r="G1669" t="s">
        <v>2125</v>
      </c>
      <c r="H1669" t="s">
        <v>470</v>
      </c>
      <c r="I1669" t="s">
        <v>487</v>
      </c>
      <c r="J1669">
        <v>90</v>
      </c>
    </row>
    <row r="1670" spans="1:10">
      <c r="A1670" s="90" t="s">
        <v>216</v>
      </c>
      <c r="B1670" s="87">
        <v>45994</v>
      </c>
      <c r="C1670" t="s">
        <v>3389</v>
      </c>
      <c r="D1670" t="s">
        <v>2110</v>
      </c>
      <c r="E1670" t="s">
        <v>3350</v>
      </c>
      <c r="F1670" t="s">
        <v>1043</v>
      </c>
      <c r="G1670" t="s">
        <v>2125</v>
      </c>
      <c r="H1670" t="s">
        <v>470</v>
      </c>
      <c r="I1670" t="s">
        <v>487</v>
      </c>
      <c r="J1670">
        <v>4602.38</v>
      </c>
    </row>
    <row r="1671" spans="1:10">
      <c r="A1671" s="90" t="s">
        <v>216</v>
      </c>
      <c r="B1671" s="87">
        <v>45994</v>
      </c>
      <c r="C1671" t="s">
        <v>3390</v>
      </c>
      <c r="D1671" t="s">
        <v>2110</v>
      </c>
      <c r="E1671" t="s">
        <v>3378</v>
      </c>
      <c r="F1671" t="s">
        <v>1029</v>
      </c>
      <c r="G1671" t="s">
        <v>2125</v>
      </c>
      <c r="H1671" t="s">
        <v>470</v>
      </c>
      <c r="I1671" t="s">
        <v>487</v>
      </c>
      <c r="J1671">
        <v>3391.5</v>
      </c>
    </row>
    <row r="1672" spans="1:10">
      <c r="A1672" s="90" t="s">
        <v>216</v>
      </c>
      <c r="B1672" s="87">
        <v>45994</v>
      </c>
      <c r="C1672" t="s">
        <v>2876</v>
      </c>
      <c r="D1672" t="s">
        <v>2110</v>
      </c>
      <c r="E1672" t="s">
        <v>1756</v>
      </c>
      <c r="F1672" t="s">
        <v>968</v>
      </c>
      <c r="G1672" t="s">
        <v>67</v>
      </c>
      <c r="H1672" t="s">
        <v>3236</v>
      </c>
      <c r="I1672" t="s">
        <v>796</v>
      </c>
      <c r="J1672">
        <v>514.98</v>
      </c>
    </row>
    <row r="1673" spans="1:10">
      <c r="A1673" s="90" t="s">
        <v>216</v>
      </c>
      <c r="B1673" s="87">
        <v>45994</v>
      </c>
      <c r="C1673" t="s">
        <v>3391</v>
      </c>
      <c r="D1673" t="s">
        <v>2110</v>
      </c>
      <c r="E1673" t="s">
        <v>3392</v>
      </c>
      <c r="F1673" t="s">
        <v>439</v>
      </c>
      <c r="G1673" t="s">
        <v>2112</v>
      </c>
      <c r="H1673" t="s">
        <v>470</v>
      </c>
      <c r="I1673" t="s">
        <v>487</v>
      </c>
      <c r="J1673">
        <v>440000</v>
      </c>
    </row>
    <row r="1674" spans="1:10">
      <c r="A1674" s="90" t="s">
        <v>216</v>
      </c>
      <c r="B1674" s="87">
        <v>45994</v>
      </c>
      <c r="C1674" t="s">
        <v>3393</v>
      </c>
      <c r="D1674" t="s">
        <v>2110</v>
      </c>
      <c r="E1674" t="s">
        <v>3363</v>
      </c>
      <c r="F1674" t="s">
        <v>3394</v>
      </c>
      <c r="G1674" t="s">
        <v>2125</v>
      </c>
      <c r="H1674" t="s">
        <v>470</v>
      </c>
      <c r="I1674" t="s">
        <v>487</v>
      </c>
      <c r="J1674">
        <v>4845.45</v>
      </c>
    </row>
    <row r="1675" spans="1:10">
      <c r="A1675" s="90" t="s">
        <v>216</v>
      </c>
      <c r="B1675" s="87">
        <v>45994</v>
      </c>
      <c r="C1675" t="s">
        <v>3395</v>
      </c>
      <c r="D1675" t="s">
        <v>2110</v>
      </c>
      <c r="E1675" t="s">
        <v>3396</v>
      </c>
      <c r="F1675" t="s">
        <v>314</v>
      </c>
      <c r="G1675" t="s">
        <v>219</v>
      </c>
      <c r="H1675" t="s">
        <v>470</v>
      </c>
      <c r="I1675" t="s">
        <v>487</v>
      </c>
      <c r="J1675">
        <v>1458</v>
      </c>
    </row>
    <row r="1676" spans="1:10">
      <c r="A1676" s="90" t="s">
        <v>216</v>
      </c>
      <c r="B1676" s="87">
        <v>45994</v>
      </c>
      <c r="C1676" t="s">
        <v>2275</v>
      </c>
      <c r="D1676" t="s">
        <v>2110</v>
      </c>
      <c r="E1676" t="s">
        <v>477</v>
      </c>
      <c r="F1676" t="s">
        <v>1014</v>
      </c>
      <c r="G1676" t="s">
        <v>74</v>
      </c>
      <c r="H1676" t="s">
        <v>470</v>
      </c>
      <c r="I1676" t="s">
        <v>471</v>
      </c>
      <c r="J1676">
        <v>5</v>
      </c>
    </row>
    <row r="1677" spans="1:10">
      <c r="A1677" s="90" t="s">
        <v>216</v>
      </c>
      <c r="B1677" s="87">
        <v>45994</v>
      </c>
      <c r="C1677" t="s">
        <v>2479</v>
      </c>
      <c r="D1677" t="s">
        <v>2110</v>
      </c>
      <c r="E1677" t="s">
        <v>477</v>
      </c>
      <c r="F1677" t="s">
        <v>1014</v>
      </c>
      <c r="G1677" t="s">
        <v>74</v>
      </c>
      <c r="H1677" t="s">
        <v>470</v>
      </c>
      <c r="I1677" t="s">
        <v>471</v>
      </c>
      <c r="J1677">
        <v>80</v>
      </c>
    </row>
    <row r="1678" spans="1:10">
      <c r="A1678" s="90" t="s">
        <v>216</v>
      </c>
      <c r="B1678" s="87">
        <v>45994</v>
      </c>
      <c r="C1678" t="s">
        <v>511</v>
      </c>
      <c r="D1678" t="s">
        <v>2110</v>
      </c>
      <c r="E1678" t="s">
        <v>512</v>
      </c>
      <c r="F1678" t="s">
        <v>1014</v>
      </c>
      <c r="G1678" t="s">
        <v>474</v>
      </c>
      <c r="H1678" t="s">
        <v>470</v>
      </c>
      <c r="I1678" t="s">
        <v>475</v>
      </c>
      <c r="J1678">
        <v>463133.7</v>
      </c>
    </row>
    <row r="1679" spans="1:10">
      <c r="A1679" s="90" t="s">
        <v>216</v>
      </c>
      <c r="B1679" s="87">
        <v>45995</v>
      </c>
      <c r="C1679" t="s">
        <v>3397</v>
      </c>
      <c r="D1679" t="s">
        <v>2110</v>
      </c>
      <c r="E1679" t="s">
        <v>3398</v>
      </c>
      <c r="F1679" t="s">
        <v>1057</v>
      </c>
      <c r="G1679" t="s">
        <v>2125</v>
      </c>
      <c r="H1679" t="s">
        <v>470</v>
      </c>
      <c r="I1679" t="s">
        <v>487</v>
      </c>
      <c r="J1679">
        <v>9289</v>
      </c>
    </row>
    <row r="1680" spans="1:10">
      <c r="A1680" s="90" t="s">
        <v>216</v>
      </c>
      <c r="B1680" s="87">
        <v>45995</v>
      </c>
      <c r="C1680" t="s">
        <v>3399</v>
      </c>
      <c r="D1680" t="s">
        <v>2110</v>
      </c>
      <c r="E1680" t="s">
        <v>3400</v>
      </c>
      <c r="F1680" t="s">
        <v>1048</v>
      </c>
      <c r="G1680" t="s">
        <v>2125</v>
      </c>
      <c r="H1680" t="s">
        <v>470</v>
      </c>
      <c r="I1680" t="s">
        <v>475</v>
      </c>
      <c r="J1680">
        <v>8729.35</v>
      </c>
    </row>
    <row r="1681" spans="1:10">
      <c r="A1681" s="90" t="s">
        <v>216</v>
      </c>
      <c r="B1681" s="87">
        <v>45995</v>
      </c>
      <c r="C1681" t="s">
        <v>3401</v>
      </c>
      <c r="D1681" t="s">
        <v>2110</v>
      </c>
      <c r="E1681" t="s">
        <v>3402</v>
      </c>
      <c r="F1681" t="s">
        <v>1050</v>
      </c>
      <c r="G1681" t="s">
        <v>2125</v>
      </c>
      <c r="H1681" t="s">
        <v>470</v>
      </c>
      <c r="I1681" t="s">
        <v>487</v>
      </c>
      <c r="J1681">
        <v>8729.34</v>
      </c>
    </row>
    <row r="1682" spans="1:10">
      <c r="A1682" s="90" t="s">
        <v>216</v>
      </c>
      <c r="B1682" s="87">
        <v>45995</v>
      </c>
      <c r="C1682" t="s">
        <v>3403</v>
      </c>
      <c r="D1682" t="s">
        <v>2110</v>
      </c>
      <c r="E1682" t="s">
        <v>3404</v>
      </c>
      <c r="F1682" t="s">
        <v>3405</v>
      </c>
      <c r="G1682" t="s">
        <v>219</v>
      </c>
      <c r="H1682" t="s">
        <v>2285</v>
      </c>
      <c r="I1682" t="s">
        <v>487</v>
      </c>
      <c r="J1682">
        <v>840</v>
      </c>
    </row>
    <row r="1683" spans="1:10">
      <c r="A1683" s="90" t="s">
        <v>216</v>
      </c>
      <c r="B1683" s="87">
        <v>45995</v>
      </c>
      <c r="C1683" t="s">
        <v>1022</v>
      </c>
      <c r="D1683" t="s">
        <v>2110</v>
      </c>
      <c r="E1683" t="s">
        <v>512</v>
      </c>
      <c r="F1683" t="s">
        <v>1023</v>
      </c>
      <c r="G1683" t="s">
        <v>474</v>
      </c>
      <c r="H1683" t="s">
        <v>470</v>
      </c>
      <c r="I1683" t="s">
        <v>475</v>
      </c>
      <c r="J1683">
        <v>46306</v>
      </c>
    </row>
    <row r="1684" spans="1:10">
      <c r="A1684" s="90" t="s">
        <v>216</v>
      </c>
      <c r="B1684" s="87">
        <v>45995</v>
      </c>
      <c r="C1684" t="s">
        <v>2275</v>
      </c>
      <c r="D1684" t="s">
        <v>2110</v>
      </c>
      <c r="E1684" t="s">
        <v>477</v>
      </c>
      <c r="F1684" t="s">
        <v>1014</v>
      </c>
      <c r="G1684" t="s">
        <v>74</v>
      </c>
      <c r="H1684" t="s">
        <v>470</v>
      </c>
      <c r="I1684" t="s">
        <v>471</v>
      </c>
      <c r="J1684">
        <v>1.64</v>
      </c>
    </row>
    <row r="1685" spans="1:10">
      <c r="A1685" s="90" t="s">
        <v>216</v>
      </c>
      <c r="B1685" s="87">
        <v>45995</v>
      </c>
      <c r="C1685" t="s">
        <v>2479</v>
      </c>
      <c r="D1685" t="s">
        <v>2110</v>
      </c>
      <c r="E1685" t="s">
        <v>477</v>
      </c>
      <c r="F1685" t="s">
        <v>1014</v>
      </c>
      <c r="G1685" t="s">
        <v>74</v>
      </c>
      <c r="H1685" t="s">
        <v>470</v>
      </c>
      <c r="I1685" t="s">
        <v>471</v>
      </c>
      <c r="J1685">
        <v>38.31</v>
      </c>
    </row>
    <row r="1686" spans="1:10">
      <c r="A1686" s="90" t="s">
        <v>216</v>
      </c>
      <c r="B1686" s="87">
        <v>45995</v>
      </c>
      <c r="C1686" t="s">
        <v>517</v>
      </c>
      <c r="D1686" t="s">
        <v>2110</v>
      </c>
      <c r="E1686" t="s">
        <v>512</v>
      </c>
      <c r="F1686" t="s">
        <v>1014</v>
      </c>
      <c r="G1686" t="s">
        <v>474</v>
      </c>
      <c r="H1686" t="s">
        <v>470</v>
      </c>
      <c r="I1686" t="s">
        <v>475</v>
      </c>
      <c r="J1686">
        <v>183465.96</v>
      </c>
    </row>
    <row r="1687" spans="1:10">
      <c r="A1687" s="90" t="s">
        <v>216</v>
      </c>
      <c r="B1687" s="87">
        <v>45996</v>
      </c>
      <c r="C1687" t="s">
        <v>3406</v>
      </c>
      <c r="D1687" t="s">
        <v>2110</v>
      </c>
      <c r="E1687" t="s">
        <v>3324</v>
      </c>
      <c r="F1687" t="s">
        <v>1057</v>
      </c>
      <c r="G1687" t="s">
        <v>2112</v>
      </c>
      <c r="H1687" t="s">
        <v>470</v>
      </c>
      <c r="I1687" t="s">
        <v>487</v>
      </c>
      <c r="J1687">
        <v>38341.449999999997</v>
      </c>
    </row>
    <row r="1688" spans="1:10">
      <c r="A1688" s="90" t="s">
        <v>216</v>
      </c>
      <c r="B1688" s="87">
        <v>45996</v>
      </c>
      <c r="C1688" t="s">
        <v>3407</v>
      </c>
      <c r="D1688" t="s">
        <v>2110</v>
      </c>
      <c r="E1688" t="s">
        <v>3324</v>
      </c>
      <c r="F1688" t="s">
        <v>1048</v>
      </c>
      <c r="G1688" t="s">
        <v>2112</v>
      </c>
      <c r="H1688" t="s">
        <v>470</v>
      </c>
      <c r="I1688" t="s">
        <v>487</v>
      </c>
      <c r="J1688">
        <v>36781.21</v>
      </c>
    </row>
    <row r="1689" spans="1:10">
      <c r="A1689" s="90" t="s">
        <v>216</v>
      </c>
      <c r="B1689" s="87">
        <v>45996</v>
      </c>
      <c r="C1689" t="s">
        <v>3408</v>
      </c>
      <c r="D1689" t="s">
        <v>2110</v>
      </c>
      <c r="E1689" t="s">
        <v>3324</v>
      </c>
      <c r="F1689" t="s">
        <v>1050</v>
      </c>
      <c r="G1689" t="s">
        <v>2112</v>
      </c>
      <c r="H1689" t="s">
        <v>470</v>
      </c>
      <c r="I1689" t="s">
        <v>487</v>
      </c>
      <c r="J1689">
        <v>36766.76</v>
      </c>
    </row>
    <row r="1690" spans="1:10">
      <c r="A1690" s="90" t="s">
        <v>216</v>
      </c>
      <c r="B1690" s="87">
        <v>45996</v>
      </c>
      <c r="C1690" t="s">
        <v>3409</v>
      </c>
      <c r="D1690" t="s">
        <v>2110</v>
      </c>
      <c r="E1690" t="s">
        <v>3410</v>
      </c>
      <c r="F1690" t="s">
        <v>3411</v>
      </c>
      <c r="G1690" t="s">
        <v>343</v>
      </c>
      <c r="H1690" t="s">
        <v>470</v>
      </c>
      <c r="I1690" t="s">
        <v>487</v>
      </c>
      <c r="J1690">
        <v>1700</v>
      </c>
    </row>
    <row r="1691" spans="1:10">
      <c r="A1691" s="90" t="s">
        <v>216</v>
      </c>
      <c r="B1691" s="87">
        <v>45996</v>
      </c>
      <c r="C1691" t="s">
        <v>3412</v>
      </c>
      <c r="D1691" t="s">
        <v>2110</v>
      </c>
      <c r="E1691" t="s">
        <v>2277</v>
      </c>
      <c r="F1691" t="s">
        <v>3413</v>
      </c>
      <c r="G1691" t="s">
        <v>65</v>
      </c>
      <c r="H1691" t="s">
        <v>3236</v>
      </c>
      <c r="I1691" t="s">
        <v>796</v>
      </c>
      <c r="J1691">
        <v>183</v>
      </c>
    </row>
    <row r="1692" spans="1:10">
      <c r="A1692" s="90" t="s">
        <v>216</v>
      </c>
      <c r="B1692" s="87">
        <v>45996</v>
      </c>
      <c r="C1692" t="s">
        <v>3414</v>
      </c>
      <c r="D1692" t="s">
        <v>2110</v>
      </c>
      <c r="E1692" t="s">
        <v>3415</v>
      </c>
      <c r="F1692" t="s">
        <v>443</v>
      </c>
      <c r="G1692" t="s">
        <v>2112</v>
      </c>
      <c r="H1692" t="s">
        <v>470</v>
      </c>
      <c r="I1692" t="s">
        <v>487</v>
      </c>
      <c r="J1692">
        <v>80000</v>
      </c>
    </row>
    <row r="1693" spans="1:10">
      <c r="A1693" s="90" t="s">
        <v>216</v>
      </c>
      <c r="B1693" s="87">
        <v>45996</v>
      </c>
      <c r="C1693" t="s">
        <v>3416</v>
      </c>
      <c r="D1693" t="s">
        <v>2110</v>
      </c>
      <c r="E1693" t="s">
        <v>480</v>
      </c>
      <c r="F1693" t="s">
        <v>3417</v>
      </c>
      <c r="G1693" t="s">
        <v>2115</v>
      </c>
      <c r="H1693" t="s">
        <v>470</v>
      </c>
      <c r="I1693" t="s">
        <v>475</v>
      </c>
      <c r="J1693">
        <v>3013</v>
      </c>
    </row>
    <row r="1694" spans="1:10">
      <c r="A1694" s="90" t="s">
        <v>216</v>
      </c>
      <c r="B1694" s="87">
        <v>45996</v>
      </c>
      <c r="C1694" t="s">
        <v>3416</v>
      </c>
      <c r="D1694" t="s">
        <v>2110</v>
      </c>
      <c r="E1694" t="s">
        <v>480</v>
      </c>
      <c r="F1694" t="s">
        <v>3417</v>
      </c>
      <c r="G1694" t="s">
        <v>71</v>
      </c>
      <c r="H1694" t="s">
        <v>470</v>
      </c>
      <c r="I1694" t="s">
        <v>475</v>
      </c>
      <c r="J1694">
        <v>882.5</v>
      </c>
    </row>
    <row r="1695" spans="1:10">
      <c r="A1695" s="90" t="s">
        <v>216</v>
      </c>
      <c r="B1695" s="87">
        <v>45996</v>
      </c>
      <c r="C1695" t="s">
        <v>3418</v>
      </c>
      <c r="D1695" t="s">
        <v>2110</v>
      </c>
      <c r="E1695" t="s">
        <v>3095</v>
      </c>
      <c r="F1695" t="s">
        <v>1081</v>
      </c>
      <c r="G1695" t="s">
        <v>2125</v>
      </c>
      <c r="H1695" t="s">
        <v>470</v>
      </c>
      <c r="I1695" t="s">
        <v>487</v>
      </c>
      <c r="J1695">
        <v>9601.9</v>
      </c>
    </row>
    <row r="1696" spans="1:10">
      <c r="A1696" s="90" t="s">
        <v>216</v>
      </c>
      <c r="B1696" s="87">
        <v>45996</v>
      </c>
      <c r="C1696" t="s">
        <v>1035</v>
      </c>
      <c r="D1696" t="s">
        <v>2110</v>
      </c>
      <c r="E1696" t="s">
        <v>1036</v>
      </c>
      <c r="F1696" t="s">
        <v>1037</v>
      </c>
      <c r="G1696" t="s">
        <v>285</v>
      </c>
      <c r="H1696" t="s">
        <v>470</v>
      </c>
      <c r="I1696" t="s">
        <v>475</v>
      </c>
      <c r="J1696">
        <v>2700</v>
      </c>
    </row>
    <row r="1697" spans="1:10">
      <c r="A1697" s="90" t="s">
        <v>216</v>
      </c>
      <c r="B1697" s="87">
        <v>45996</v>
      </c>
      <c r="C1697" t="s">
        <v>3419</v>
      </c>
      <c r="D1697" t="s">
        <v>2110</v>
      </c>
      <c r="E1697" t="s">
        <v>1036</v>
      </c>
      <c r="F1697" t="s">
        <v>1037</v>
      </c>
      <c r="G1697" t="s">
        <v>285</v>
      </c>
      <c r="H1697" t="s">
        <v>470</v>
      </c>
      <c r="I1697" t="s">
        <v>487</v>
      </c>
      <c r="J1697">
        <v>450</v>
      </c>
    </row>
    <row r="1698" spans="1:10">
      <c r="A1698" s="90" t="s">
        <v>216</v>
      </c>
      <c r="B1698" s="87">
        <v>45996</v>
      </c>
      <c r="C1698" t="s">
        <v>2275</v>
      </c>
      <c r="D1698" t="s">
        <v>2110</v>
      </c>
      <c r="E1698" t="s">
        <v>477</v>
      </c>
      <c r="F1698" t="s">
        <v>1014</v>
      </c>
      <c r="G1698" t="s">
        <v>74</v>
      </c>
      <c r="H1698" t="s">
        <v>470</v>
      </c>
      <c r="I1698" t="s">
        <v>471</v>
      </c>
      <c r="J1698">
        <v>44.45</v>
      </c>
    </row>
    <row r="1699" spans="1:10">
      <c r="A1699" s="90" t="s">
        <v>216</v>
      </c>
      <c r="B1699" s="87">
        <v>45996</v>
      </c>
      <c r="C1699" t="s">
        <v>3420</v>
      </c>
      <c r="D1699" t="s">
        <v>2110</v>
      </c>
      <c r="E1699" t="s">
        <v>477</v>
      </c>
      <c r="F1699" t="s">
        <v>270</v>
      </c>
      <c r="G1699" t="s">
        <v>224</v>
      </c>
      <c r="H1699" t="s">
        <v>470</v>
      </c>
      <c r="I1699" t="s">
        <v>471</v>
      </c>
      <c r="J1699">
        <v>550</v>
      </c>
    </row>
    <row r="1700" spans="1:10">
      <c r="A1700" s="90" t="s">
        <v>216</v>
      </c>
      <c r="B1700" s="87">
        <v>45996</v>
      </c>
      <c r="C1700" t="s">
        <v>3421</v>
      </c>
      <c r="D1700" t="s">
        <v>2110</v>
      </c>
      <c r="E1700" t="s">
        <v>477</v>
      </c>
      <c r="F1700" t="s">
        <v>270</v>
      </c>
      <c r="G1700" t="s">
        <v>224</v>
      </c>
      <c r="H1700" t="s">
        <v>470</v>
      </c>
      <c r="I1700" t="s">
        <v>471</v>
      </c>
      <c r="J1700">
        <v>550</v>
      </c>
    </row>
    <row r="1701" spans="1:10">
      <c r="A1701" s="90" t="s">
        <v>216</v>
      </c>
      <c r="B1701" s="87">
        <v>45996</v>
      </c>
      <c r="C1701" t="s">
        <v>3422</v>
      </c>
      <c r="D1701" t="s">
        <v>2110</v>
      </c>
      <c r="E1701" t="s">
        <v>477</v>
      </c>
      <c r="F1701" t="s">
        <v>279</v>
      </c>
      <c r="G1701" t="s">
        <v>224</v>
      </c>
      <c r="H1701" t="s">
        <v>470</v>
      </c>
      <c r="I1701" t="s">
        <v>471</v>
      </c>
      <c r="J1701">
        <v>550</v>
      </c>
    </row>
    <row r="1702" spans="1:10">
      <c r="A1702" s="90" t="s">
        <v>216</v>
      </c>
      <c r="B1702" s="87">
        <v>45996</v>
      </c>
      <c r="C1702" t="s">
        <v>2275</v>
      </c>
      <c r="D1702" t="s">
        <v>2110</v>
      </c>
      <c r="E1702" t="s">
        <v>2393</v>
      </c>
      <c r="F1702" t="s">
        <v>1014</v>
      </c>
      <c r="G1702" t="s">
        <v>74</v>
      </c>
      <c r="H1702" t="s">
        <v>470</v>
      </c>
      <c r="I1702" t="s">
        <v>471</v>
      </c>
      <c r="J1702">
        <v>40</v>
      </c>
    </row>
    <row r="1703" spans="1:10">
      <c r="A1703" s="90" t="s">
        <v>216</v>
      </c>
      <c r="B1703" s="87">
        <v>45999</v>
      </c>
      <c r="C1703" t="s">
        <v>3423</v>
      </c>
      <c r="D1703" t="s">
        <v>2110</v>
      </c>
      <c r="E1703" t="s">
        <v>3398</v>
      </c>
      <c r="F1703" t="s">
        <v>1057</v>
      </c>
      <c r="G1703" t="s">
        <v>2125</v>
      </c>
      <c r="H1703" t="s">
        <v>470</v>
      </c>
      <c r="I1703" t="s">
        <v>487</v>
      </c>
      <c r="J1703">
        <v>4421.8</v>
      </c>
    </row>
    <row r="1704" spans="1:10">
      <c r="A1704" s="90" t="s">
        <v>216</v>
      </c>
      <c r="B1704" s="87">
        <v>45999</v>
      </c>
      <c r="C1704" t="s">
        <v>3424</v>
      </c>
      <c r="D1704" t="s">
        <v>2110</v>
      </c>
      <c r="E1704" t="s">
        <v>3400</v>
      </c>
      <c r="F1704" t="s">
        <v>1048</v>
      </c>
      <c r="G1704" t="s">
        <v>2125</v>
      </c>
      <c r="H1704" t="s">
        <v>470</v>
      </c>
      <c r="I1704" t="s">
        <v>487</v>
      </c>
      <c r="J1704">
        <v>3656.05</v>
      </c>
    </row>
    <row r="1705" spans="1:10">
      <c r="A1705" s="90" t="s">
        <v>216</v>
      </c>
      <c r="B1705" s="87">
        <v>45999</v>
      </c>
      <c r="C1705" t="s">
        <v>3425</v>
      </c>
      <c r="D1705" t="s">
        <v>2110</v>
      </c>
      <c r="E1705" t="s">
        <v>3402</v>
      </c>
      <c r="F1705" t="s">
        <v>1050</v>
      </c>
      <c r="G1705" t="s">
        <v>2125</v>
      </c>
      <c r="H1705" t="s">
        <v>470</v>
      </c>
      <c r="I1705" t="s">
        <v>487</v>
      </c>
      <c r="J1705">
        <v>3651.15</v>
      </c>
    </row>
    <row r="1706" spans="1:10">
      <c r="A1706" s="90" t="s">
        <v>216</v>
      </c>
      <c r="B1706" s="87">
        <v>45999</v>
      </c>
      <c r="C1706" t="s">
        <v>3426</v>
      </c>
      <c r="D1706" t="s">
        <v>2110</v>
      </c>
      <c r="E1706" t="s">
        <v>3095</v>
      </c>
      <c r="F1706" t="s">
        <v>1081</v>
      </c>
      <c r="G1706" t="s">
        <v>2125</v>
      </c>
      <c r="H1706" t="s">
        <v>470</v>
      </c>
      <c r="I1706" t="s">
        <v>487</v>
      </c>
      <c r="J1706">
        <v>4025.1</v>
      </c>
    </row>
    <row r="1707" spans="1:10">
      <c r="A1707" s="90" t="s">
        <v>216</v>
      </c>
      <c r="B1707" s="87">
        <v>45999</v>
      </c>
      <c r="C1707" t="s">
        <v>1030</v>
      </c>
      <c r="D1707" t="s">
        <v>2110</v>
      </c>
      <c r="E1707" t="s">
        <v>512</v>
      </c>
      <c r="F1707" t="s">
        <v>1032</v>
      </c>
      <c r="G1707" t="s">
        <v>474</v>
      </c>
      <c r="H1707" t="s">
        <v>470</v>
      </c>
      <c r="I1707" t="s">
        <v>475</v>
      </c>
      <c r="J1707">
        <v>46425.599999999999</v>
      </c>
    </row>
    <row r="1708" spans="1:10">
      <c r="A1708" s="90" t="s">
        <v>216</v>
      </c>
      <c r="B1708" s="87">
        <v>45999</v>
      </c>
      <c r="C1708" t="s">
        <v>1033</v>
      </c>
      <c r="D1708" t="s">
        <v>2110</v>
      </c>
      <c r="E1708" t="s">
        <v>512</v>
      </c>
      <c r="F1708" t="s">
        <v>1034</v>
      </c>
      <c r="G1708" t="s">
        <v>474</v>
      </c>
      <c r="H1708" t="s">
        <v>470</v>
      </c>
      <c r="I1708" t="s">
        <v>475</v>
      </c>
      <c r="J1708">
        <v>46500</v>
      </c>
    </row>
    <row r="1709" spans="1:10">
      <c r="A1709" s="90" t="s">
        <v>216</v>
      </c>
      <c r="B1709" s="87">
        <v>45999</v>
      </c>
      <c r="C1709" t="s">
        <v>2454</v>
      </c>
      <c r="D1709" t="s">
        <v>2110</v>
      </c>
      <c r="E1709" t="s">
        <v>480</v>
      </c>
      <c r="F1709" t="s">
        <v>1014</v>
      </c>
      <c r="G1709" t="s">
        <v>71</v>
      </c>
      <c r="H1709" t="s">
        <v>470</v>
      </c>
      <c r="I1709" t="s">
        <v>475</v>
      </c>
      <c r="J1709">
        <v>6200</v>
      </c>
    </row>
    <row r="1710" spans="1:10">
      <c r="A1710" s="90" t="s">
        <v>216</v>
      </c>
      <c r="B1710" s="87">
        <v>45999</v>
      </c>
      <c r="C1710" t="s">
        <v>2454</v>
      </c>
      <c r="D1710" t="s">
        <v>2110</v>
      </c>
      <c r="E1710" t="s">
        <v>480</v>
      </c>
      <c r="F1710" t="s">
        <v>1014</v>
      </c>
      <c r="G1710" t="s">
        <v>345</v>
      </c>
      <c r="H1710" t="s">
        <v>470</v>
      </c>
      <c r="I1710" t="s">
        <v>475</v>
      </c>
      <c r="J1710">
        <v>1500</v>
      </c>
    </row>
    <row r="1711" spans="1:10">
      <c r="A1711" s="90" t="s">
        <v>216</v>
      </c>
      <c r="B1711" s="87">
        <v>45999</v>
      </c>
      <c r="C1711" t="s">
        <v>2454</v>
      </c>
      <c r="D1711" t="s">
        <v>2110</v>
      </c>
      <c r="E1711" t="s">
        <v>480</v>
      </c>
      <c r="F1711" t="s">
        <v>1014</v>
      </c>
      <c r="G1711" t="s">
        <v>345</v>
      </c>
      <c r="H1711" t="s">
        <v>470</v>
      </c>
      <c r="I1711" t="s">
        <v>475</v>
      </c>
      <c r="J1711">
        <v>300</v>
      </c>
    </row>
    <row r="1712" spans="1:10">
      <c r="A1712" s="90" t="s">
        <v>216</v>
      </c>
      <c r="B1712" s="87">
        <v>45999</v>
      </c>
      <c r="C1712" t="s">
        <v>2275</v>
      </c>
      <c r="D1712" t="s">
        <v>2110</v>
      </c>
      <c r="E1712" t="s">
        <v>477</v>
      </c>
      <c r="F1712" t="s">
        <v>1014</v>
      </c>
      <c r="G1712" t="s">
        <v>74</v>
      </c>
      <c r="H1712" t="s">
        <v>470</v>
      </c>
      <c r="I1712" t="s">
        <v>471</v>
      </c>
      <c r="J1712">
        <v>3.28</v>
      </c>
    </row>
    <row r="1713" spans="1:10">
      <c r="A1713" s="90" t="s">
        <v>216</v>
      </c>
      <c r="B1713" s="87">
        <v>45999</v>
      </c>
      <c r="C1713" t="s">
        <v>2479</v>
      </c>
      <c r="D1713" t="s">
        <v>2110</v>
      </c>
      <c r="E1713" t="s">
        <v>477</v>
      </c>
      <c r="F1713" t="s">
        <v>1014</v>
      </c>
      <c r="G1713" t="s">
        <v>74</v>
      </c>
      <c r="H1713" t="s">
        <v>470</v>
      </c>
      <c r="I1713" t="s">
        <v>471</v>
      </c>
      <c r="J1713">
        <v>50</v>
      </c>
    </row>
    <row r="1714" spans="1:10">
      <c r="A1714" s="90" t="s">
        <v>216</v>
      </c>
      <c r="B1714" s="87">
        <v>45999</v>
      </c>
      <c r="C1714" t="s">
        <v>517</v>
      </c>
      <c r="D1714" t="s">
        <v>2110</v>
      </c>
      <c r="E1714" t="s">
        <v>512</v>
      </c>
      <c r="F1714" t="s">
        <v>1014</v>
      </c>
      <c r="G1714" t="s">
        <v>474</v>
      </c>
      <c r="H1714" t="s">
        <v>470</v>
      </c>
      <c r="I1714" t="s">
        <v>475</v>
      </c>
      <c r="J1714">
        <v>65186.22</v>
      </c>
    </row>
    <row r="1715" spans="1:10">
      <c r="A1715" s="90" t="s">
        <v>216</v>
      </c>
      <c r="B1715" s="87">
        <v>46000</v>
      </c>
      <c r="C1715" t="s">
        <v>3427</v>
      </c>
      <c r="D1715" t="s">
        <v>2110</v>
      </c>
      <c r="E1715" t="s">
        <v>535</v>
      </c>
      <c r="F1715" t="s">
        <v>1007</v>
      </c>
      <c r="G1715" t="s">
        <v>2112</v>
      </c>
      <c r="H1715" t="s">
        <v>470</v>
      </c>
      <c r="I1715" t="s">
        <v>475</v>
      </c>
      <c r="J1715">
        <v>39400</v>
      </c>
    </row>
    <row r="1716" spans="1:10">
      <c r="A1716" s="90" t="s">
        <v>216</v>
      </c>
      <c r="B1716" s="87">
        <v>46000</v>
      </c>
      <c r="C1716" t="s">
        <v>3428</v>
      </c>
      <c r="D1716" t="s">
        <v>2110</v>
      </c>
      <c r="E1716" t="s">
        <v>535</v>
      </c>
      <c r="F1716" t="s">
        <v>1023</v>
      </c>
      <c r="G1716" t="s">
        <v>2112</v>
      </c>
      <c r="H1716" t="s">
        <v>470</v>
      </c>
      <c r="I1716" t="s">
        <v>475</v>
      </c>
      <c r="J1716">
        <v>35620</v>
      </c>
    </row>
    <row r="1717" spans="1:10">
      <c r="A1717" s="90" t="s">
        <v>216</v>
      </c>
      <c r="B1717" s="87">
        <v>46000</v>
      </c>
      <c r="C1717" t="s">
        <v>3429</v>
      </c>
      <c r="D1717" t="s">
        <v>2110</v>
      </c>
      <c r="E1717" t="s">
        <v>535</v>
      </c>
      <c r="F1717" t="s">
        <v>996</v>
      </c>
      <c r="G1717" t="s">
        <v>2112</v>
      </c>
      <c r="H1717" t="s">
        <v>470</v>
      </c>
      <c r="I1717" t="s">
        <v>475</v>
      </c>
      <c r="J1717">
        <v>36460</v>
      </c>
    </row>
    <row r="1718" spans="1:10">
      <c r="A1718" s="90" t="s">
        <v>216</v>
      </c>
      <c r="B1718" s="87">
        <v>46000</v>
      </c>
      <c r="C1718" t="s">
        <v>3430</v>
      </c>
      <c r="D1718" t="s">
        <v>2110</v>
      </c>
      <c r="E1718" t="s">
        <v>535</v>
      </c>
      <c r="F1718" t="s">
        <v>1032</v>
      </c>
      <c r="G1718" t="s">
        <v>2112</v>
      </c>
      <c r="H1718" t="s">
        <v>470</v>
      </c>
      <c r="I1718" t="s">
        <v>475</v>
      </c>
      <c r="J1718">
        <v>37340</v>
      </c>
    </row>
    <row r="1719" spans="1:10">
      <c r="A1719" s="90" t="s">
        <v>216</v>
      </c>
      <c r="B1719" s="87">
        <v>46000</v>
      </c>
      <c r="C1719" t="s">
        <v>3431</v>
      </c>
      <c r="D1719" t="s">
        <v>2110</v>
      </c>
      <c r="E1719" t="s">
        <v>2912</v>
      </c>
      <c r="F1719" t="s">
        <v>304</v>
      </c>
      <c r="G1719" t="s">
        <v>286</v>
      </c>
      <c r="H1719" t="s">
        <v>470</v>
      </c>
      <c r="I1719" t="s">
        <v>796</v>
      </c>
      <c r="J1719">
        <v>2530.2399999999998</v>
      </c>
    </row>
    <row r="1720" spans="1:10">
      <c r="A1720" s="90" t="s">
        <v>216</v>
      </c>
      <c r="B1720" s="87">
        <v>46000</v>
      </c>
      <c r="C1720" t="s">
        <v>3431</v>
      </c>
      <c r="D1720" t="s">
        <v>2110</v>
      </c>
      <c r="E1720" t="s">
        <v>2912</v>
      </c>
      <c r="F1720" t="s">
        <v>304</v>
      </c>
      <c r="G1720" t="s">
        <v>78</v>
      </c>
      <c r="H1720" t="s">
        <v>470</v>
      </c>
      <c r="I1720" t="s">
        <v>796</v>
      </c>
      <c r="J1720">
        <v>74.12</v>
      </c>
    </row>
    <row r="1721" spans="1:10">
      <c r="A1721" s="90" t="s">
        <v>216</v>
      </c>
      <c r="B1721" s="87">
        <v>46000</v>
      </c>
      <c r="C1721" t="s">
        <v>3432</v>
      </c>
      <c r="D1721" t="s">
        <v>2110</v>
      </c>
      <c r="E1721" t="s">
        <v>1667</v>
      </c>
      <c r="F1721" t="s">
        <v>3433</v>
      </c>
      <c r="G1721" t="s">
        <v>2115</v>
      </c>
      <c r="H1721" t="s">
        <v>470</v>
      </c>
      <c r="I1721" t="s">
        <v>475</v>
      </c>
      <c r="J1721">
        <v>1206.5999999999999</v>
      </c>
    </row>
    <row r="1722" spans="1:10">
      <c r="A1722" s="90" t="s">
        <v>216</v>
      </c>
      <c r="B1722" s="87">
        <v>46000</v>
      </c>
      <c r="C1722" t="s">
        <v>3434</v>
      </c>
      <c r="D1722" t="s">
        <v>2110</v>
      </c>
      <c r="E1722" t="s">
        <v>1667</v>
      </c>
      <c r="F1722" t="s">
        <v>1014</v>
      </c>
      <c r="G1722" t="s">
        <v>259</v>
      </c>
      <c r="H1722" t="s">
        <v>470</v>
      </c>
      <c r="I1722" t="s">
        <v>475</v>
      </c>
      <c r="J1722">
        <v>6252.19</v>
      </c>
    </row>
    <row r="1723" spans="1:10">
      <c r="A1723" s="90" t="s">
        <v>216</v>
      </c>
      <c r="B1723" s="87">
        <v>46000</v>
      </c>
      <c r="C1723" t="s">
        <v>3434</v>
      </c>
      <c r="D1723" t="s">
        <v>2110</v>
      </c>
      <c r="E1723" t="s">
        <v>1667</v>
      </c>
      <c r="F1723" t="s">
        <v>1014</v>
      </c>
      <c r="G1723" t="s">
        <v>285</v>
      </c>
      <c r="H1723" t="s">
        <v>470</v>
      </c>
      <c r="I1723" t="s">
        <v>475</v>
      </c>
      <c r="J1723">
        <v>400</v>
      </c>
    </row>
    <row r="1724" spans="1:10">
      <c r="A1724" s="90" t="s">
        <v>216</v>
      </c>
      <c r="B1724" s="87">
        <v>46000</v>
      </c>
      <c r="C1724" t="s">
        <v>3434</v>
      </c>
      <c r="D1724" t="s">
        <v>2110</v>
      </c>
      <c r="E1724" t="s">
        <v>1667</v>
      </c>
      <c r="F1724" t="s">
        <v>1014</v>
      </c>
      <c r="G1724" t="s">
        <v>71</v>
      </c>
      <c r="H1724" t="s">
        <v>470</v>
      </c>
      <c r="I1724" t="s">
        <v>475</v>
      </c>
      <c r="J1724">
        <v>1548.25</v>
      </c>
    </row>
    <row r="1725" spans="1:10">
      <c r="A1725" s="90" t="s">
        <v>216</v>
      </c>
      <c r="B1725" s="87">
        <v>46000</v>
      </c>
      <c r="C1725" t="s">
        <v>1038</v>
      </c>
      <c r="D1725" t="s">
        <v>2110</v>
      </c>
      <c r="E1725" t="s">
        <v>512</v>
      </c>
      <c r="F1725" t="s">
        <v>1040</v>
      </c>
      <c r="G1725" t="s">
        <v>474</v>
      </c>
      <c r="H1725" t="s">
        <v>470</v>
      </c>
      <c r="I1725" t="s">
        <v>475</v>
      </c>
      <c r="J1725">
        <v>49738</v>
      </c>
    </row>
    <row r="1726" spans="1:10">
      <c r="A1726" s="90" t="s">
        <v>216</v>
      </c>
      <c r="B1726" s="87">
        <v>46000</v>
      </c>
      <c r="C1726" t="s">
        <v>1041</v>
      </c>
      <c r="D1726" t="s">
        <v>2110</v>
      </c>
      <c r="E1726" t="s">
        <v>512</v>
      </c>
      <c r="F1726" t="s">
        <v>1043</v>
      </c>
      <c r="G1726" t="s">
        <v>474</v>
      </c>
      <c r="H1726" t="s">
        <v>470</v>
      </c>
      <c r="I1726" t="s">
        <v>475</v>
      </c>
      <c r="J1726">
        <v>53128.6</v>
      </c>
    </row>
    <row r="1727" spans="1:10">
      <c r="A1727" s="90" t="s">
        <v>216</v>
      </c>
      <c r="B1727" s="87">
        <v>46000</v>
      </c>
      <c r="C1727" t="s">
        <v>1044</v>
      </c>
      <c r="D1727" t="s">
        <v>2110</v>
      </c>
      <c r="E1727" t="s">
        <v>512</v>
      </c>
      <c r="F1727" t="s">
        <v>1051</v>
      </c>
      <c r="G1727" t="s">
        <v>474</v>
      </c>
      <c r="H1727" t="s">
        <v>470</v>
      </c>
      <c r="I1727" t="s">
        <v>475</v>
      </c>
      <c r="J1727">
        <v>67830.8</v>
      </c>
    </row>
    <row r="1728" spans="1:10">
      <c r="A1728" s="90" t="s">
        <v>216</v>
      </c>
      <c r="B1728" s="87">
        <v>46000</v>
      </c>
      <c r="C1728" t="s">
        <v>2479</v>
      </c>
      <c r="D1728" t="s">
        <v>2110</v>
      </c>
      <c r="E1728" t="s">
        <v>477</v>
      </c>
      <c r="F1728" t="s">
        <v>1014</v>
      </c>
      <c r="G1728" t="s">
        <v>74</v>
      </c>
      <c r="H1728" t="s">
        <v>470</v>
      </c>
      <c r="I1728" t="s">
        <v>471</v>
      </c>
      <c r="J1728">
        <v>4.92</v>
      </c>
    </row>
    <row r="1729" spans="1:10">
      <c r="A1729" s="90" t="s">
        <v>216</v>
      </c>
      <c r="B1729" s="87">
        <v>46000</v>
      </c>
      <c r="C1729" t="s">
        <v>3435</v>
      </c>
      <c r="D1729" t="s">
        <v>2110</v>
      </c>
      <c r="E1729" t="s">
        <v>477</v>
      </c>
      <c r="F1729" t="s">
        <v>270</v>
      </c>
      <c r="G1729" t="s">
        <v>224</v>
      </c>
      <c r="H1729" t="s">
        <v>470</v>
      </c>
      <c r="I1729" t="s">
        <v>471</v>
      </c>
      <c r="J1729">
        <v>100</v>
      </c>
    </row>
    <row r="1730" spans="1:10">
      <c r="A1730" s="90" t="s">
        <v>216</v>
      </c>
      <c r="B1730" s="87">
        <v>46000</v>
      </c>
      <c r="C1730" t="s">
        <v>3436</v>
      </c>
      <c r="D1730" t="s">
        <v>2110</v>
      </c>
      <c r="E1730" t="s">
        <v>477</v>
      </c>
      <c r="F1730" t="s">
        <v>279</v>
      </c>
      <c r="G1730" t="s">
        <v>224</v>
      </c>
      <c r="H1730" t="s">
        <v>470</v>
      </c>
      <c r="I1730" t="s">
        <v>471</v>
      </c>
      <c r="J1730">
        <v>100</v>
      </c>
    </row>
    <row r="1731" spans="1:10">
      <c r="A1731" s="90" t="s">
        <v>216</v>
      </c>
      <c r="B1731" s="87">
        <v>46000</v>
      </c>
      <c r="C1731" t="s">
        <v>517</v>
      </c>
      <c r="D1731" t="s">
        <v>2110</v>
      </c>
      <c r="E1731" t="s">
        <v>512</v>
      </c>
      <c r="F1731" t="s">
        <v>1014</v>
      </c>
      <c r="G1731" t="s">
        <v>474</v>
      </c>
      <c r="H1731" t="s">
        <v>470</v>
      </c>
      <c r="I1731" t="s">
        <v>475</v>
      </c>
      <c r="J1731">
        <v>1621843.68</v>
      </c>
    </row>
    <row r="1732" spans="1:10">
      <c r="A1732" s="90" t="s">
        <v>216</v>
      </c>
      <c r="B1732" s="87">
        <v>46001</v>
      </c>
      <c r="C1732" t="s">
        <v>3016</v>
      </c>
      <c r="D1732" t="s">
        <v>2110</v>
      </c>
      <c r="E1732" t="s">
        <v>2900</v>
      </c>
      <c r="F1732" t="s">
        <v>1014</v>
      </c>
      <c r="G1732" t="s">
        <v>302</v>
      </c>
      <c r="H1732" t="s">
        <v>3437</v>
      </c>
      <c r="I1732" t="s">
        <v>796</v>
      </c>
      <c r="J1732">
        <v>2500</v>
      </c>
    </row>
    <row r="1733" spans="1:10">
      <c r="A1733" s="90" t="s">
        <v>216</v>
      </c>
      <c r="B1733" s="87">
        <v>46001</v>
      </c>
      <c r="C1733" t="s">
        <v>3438</v>
      </c>
      <c r="D1733" t="s">
        <v>2110</v>
      </c>
      <c r="E1733" t="s">
        <v>3439</v>
      </c>
      <c r="F1733" t="s">
        <v>1069</v>
      </c>
      <c r="G1733" t="s">
        <v>2125</v>
      </c>
      <c r="H1733" t="s">
        <v>470</v>
      </c>
      <c r="I1733" t="s">
        <v>487</v>
      </c>
      <c r="J1733">
        <v>8942.5</v>
      </c>
    </row>
    <row r="1734" spans="1:10">
      <c r="A1734" s="90" t="s">
        <v>216</v>
      </c>
      <c r="B1734" s="87">
        <v>46001</v>
      </c>
      <c r="C1734" t="s">
        <v>3440</v>
      </c>
      <c r="D1734" t="s">
        <v>2110</v>
      </c>
      <c r="E1734" t="s">
        <v>3324</v>
      </c>
      <c r="F1734" t="s">
        <v>1069</v>
      </c>
      <c r="G1734" t="s">
        <v>2112</v>
      </c>
      <c r="H1734" t="s">
        <v>470</v>
      </c>
      <c r="I1734" t="s">
        <v>487</v>
      </c>
      <c r="J1734">
        <v>36911.230000000003</v>
      </c>
    </row>
    <row r="1735" spans="1:10">
      <c r="A1735" s="90" t="s">
        <v>216</v>
      </c>
      <c r="B1735" s="87">
        <v>46001</v>
      </c>
      <c r="C1735" t="s">
        <v>3441</v>
      </c>
      <c r="D1735" t="s">
        <v>2110</v>
      </c>
      <c r="E1735" t="s">
        <v>3442</v>
      </c>
      <c r="F1735" t="s">
        <v>1071</v>
      </c>
      <c r="G1735" t="s">
        <v>2125</v>
      </c>
      <c r="H1735" t="s">
        <v>470</v>
      </c>
      <c r="I1735" t="s">
        <v>487</v>
      </c>
      <c r="J1735">
        <v>9051</v>
      </c>
    </row>
    <row r="1736" spans="1:10">
      <c r="A1736" s="90" t="s">
        <v>216</v>
      </c>
      <c r="B1736" s="87">
        <v>46001</v>
      </c>
      <c r="C1736" t="s">
        <v>3443</v>
      </c>
      <c r="D1736" t="s">
        <v>2110</v>
      </c>
      <c r="E1736" t="s">
        <v>3324</v>
      </c>
      <c r="F1736" t="s">
        <v>1071</v>
      </c>
      <c r="G1736" t="s">
        <v>2112</v>
      </c>
      <c r="H1736" t="s">
        <v>470</v>
      </c>
      <c r="I1736" t="s">
        <v>487</v>
      </c>
      <c r="J1736">
        <v>37359.08</v>
      </c>
    </row>
    <row r="1737" spans="1:10">
      <c r="A1737" s="90" t="s">
        <v>216</v>
      </c>
      <c r="B1737" s="87">
        <v>46001</v>
      </c>
      <c r="C1737" t="s">
        <v>3444</v>
      </c>
      <c r="D1737" t="s">
        <v>2110</v>
      </c>
      <c r="E1737" t="s">
        <v>3445</v>
      </c>
      <c r="F1737" t="s">
        <v>1061</v>
      </c>
      <c r="G1737" t="s">
        <v>2125</v>
      </c>
      <c r="H1737" t="s">
        <v>470</v>
      </c>
      <c r="I1737" t="s">
        <v>487</v>
      </c>
      <c r="J1737">
        <v>8678.8799999999992</v>
      </c>
    </row>
    <row r="1738" spans="1:10">
      <c r="A1738" s="90" t="s">
        <v>216</v>
      </c>
      <c r="B1738" s="87">
        <v>46001</v>
      </c>
      <c r="C1738" t="s">
        <v>3446</v>
      </c>
      <c r="D1738" t="s">
        <v>2110</v>
      </c>
      <c r="E1738" t="s">
        <v>3324</v>
      </c>
      <c r="F1738" t="s">
        <v>1061</v>
      </c>
      <c r="G1738" t="s">
        <v>2112</v>
      </c>
      <c r="H1738" t="s">
        <v>470</v>
      </c>
      <c r="I1738" t="s">
        <v>487</v>
      </c>
      <c r="J1738">
        <v>37315.74</v>
      </c>
    </row>
    <row r="1739" spans="1:10">
      <c r="A1739" s="90" t="s">
        <v>216</v>
      </c>
      <c r="B1739" s="87">
        <v>46001</v>
      </c>
      <c r="C1739" t="s">
        <v>3447</v>
      </c>
      <c r="D1739" t="s">
        <v>2110</v>
      </c>
      <c r="E1739" t="s">
        <v>3448</v>
      </c>
      <c r="F1739" t="s">
        <v>1063</v>
      </c>
      <c r="G1739" t="s">
        <v>2125</v>
      </c>
      <c r="H1739" t="s">
        <v>470</v>
      </c>
      <c r="I1739" t="s">
        <v>487</v>
      </c>
      <c r="J1739">
        <v>8719.2000000000007</v>
      </c>
    </row>
    <row r="1740" spans="1:10">
      <c r="A1740" s="90" t="s">
        <v>216</v>
      </c>
      <c r="B1740" s="87">
        <v>46001</v>
      </c>
      <c r="C1740" t="s">
        <v>3447</v>
      </c>
      <c r="D1740" t="s">
        <v>2110</v>
      </c>
      <c r="E1740" t="s">
        <v>3448</v>
      </c>
      <c r="F1740" t="s">
        <v>1063</v>
      </c>
      <c r="G1740" t="s">
        <v>182</v>
      </c>
      <c r="H1740" t="s">
        <v>470</v>
      </c>
      <c r="I1740" t="s">
        <v>487</v>
      </c>
      <c r="J1740">
        <v>0.3</v>
      </c>
    </row>
    <row r="1741" spans="1:10">
      <c r="A1741" s="90" t="s">
        <v>216</v>
      </c>
      <c r="B1741" s="87">
        <v>46001</v>
      </c>
      <c r="C1741" t="s">
        <v>3449</v>
      </c>
      <c r="D1741" t="s">
        <v>2110</v>
      </c>
      <c r="E1741" t="s">
        <v>3324</v>
      </c>
      <c r="F1741" t="s">
        <v>1063</v>
      </c>
      <c r="G1741" t="s">
        <v>2112</v>
      </c>
      <c r="H1741" t="s">
        <v>470</v>
      </c>
      <c r="I1741" t="s">
        <v>487</v>
      </c>
      <c r="J1741">
        <v>37489.1</v>
      </c>
    </row>
    <row r="1742" spans="1:10">
      <c r="A1742" s="90" t="s">
        <v>216</v>
      </c>
      <c r="B1742" s="87">
        <v>46001</v>
      </c>
      <c r="C1742" t="s">
        <v>3450</v>
      </c>
      <c r="D1742" t="s">
        <v>2110</v>
      </c>
      <c r="E1742" t="s">
        <v>3451</v>
      </c>
      <c r="F1742" t="s">
        <v>1073</v>
      </c>
      <c r="G1742" t="s">
        <v>2125</v>
      </c>
      <c r="H1742" t="s">
        <v>470</v>
      </c>
      <c r="I1742" t="s">
        <v>487</v>
      </c>
      <c r="J1742">
        <v>8867.0400000000009</v>
      </c>
    </row>
    <row r="1743" spans="1:10">
      <c r="A1743" s="90" t="s">
        <v>216</v>
      </c>
      <c r="B1743" s="87">
        <v>46001</v>
      </c>
      <c r="C1743" t="s">
        <v>3452</v>
      </c>
      <c r="D1743" t="s">
        <v>2110</v>
      </c>
      <c r="E1743" t="s">
        <v>3324</v>
      </c>
      <c r="F1743" t="s">
        <v>1073</v>
      </c>
      <c r="G1743" t="s">
        <v>2112</v>
      </c>
      <c r="H1743" t="s">
        <v>470</v>
      </c>
      <c r="I1743" t="s">
        <v>487</v>
      </c>
      <c r="J1743">
        <v>38124.75</v>
      </c>
    </row>
    <row r="1744" spans="1:10">
      <c r="A1744" s="90" t="s">
        <v>216</v>
      </c>
      <c r="B1744" s="87">
        <v>46001</v>
      </c>
      <c r="C1744" t="s">
        <v>2295</v>
      </c>
      <c r="D1744" t="s">
        <v>2110</v>
      </c>
      <c r="E1744" t="s">
        <v>477</v>
      </c>
      <c r="F1744" t="s">
        <v>1014</v>
      </c>
      <c r="G1744" t="s">
        <v>2295</v>
      </c>
      <c r="H1744" t="s">
        <v>470</v>
      </c>
      <c r="I1744" t="s">
        <v>471</v>
      </c>
      <c r="J1744">
        <v>2560.14</v>
      </c>
    </row>
    <row r="1745" spans="1:10">
      <c r="A1745" s="90" t="s">
        <v>216</v>
      </c>
      <c r="B1745" s="87">
        <v>46001</v>
      </c>
      <c r="C1745" t="s">
        <v>3453</v>
      </c>
      <c r="D1745" t="s">
        <v>2110</v>
      </c>
      <c r="E1745" t="s">
        <v>2702</v>
      </c>
      <c r="F1745" t="s">
        <v>3454</v>
      </c>
      <c r="G1745" t="s">
        <v>63</v>
      </c>
      <c r="H1745" t="s">
        <v>470</v>
      </c>
      <c r="I1745" t="s">
        <v>796</v>
      </c>
      <c r="J1745">
        <v>896.95</v>
      </c>
    </row>
    <row r="1746" spans="1:10">
      <c r="A1746" s="90" t="s">
        <v>216</v>
      </c>
      <c r="B1746" s="87">
        <v>46001</v>
      </c>
      <c r="C1746" t="s">
        <v>517</v>
      </c>
      <c r="D1746" t="s">
        <v>2110</v>
      </c>
      <c r="E1746" t="s">
        <v>512</v>
      </c>
      <c r="F1746" t="s">
        <v>1014</v>
      </c>
      <c r="G1746" t="s">
        <v>474</v>
      </c>
      <c r="H1746" t="s">
        <v>470</v>
      </c>
      <c r="I1746" t="s">
        <v>475</v>
      </c>
      <c r="J1746">
        <v>1400000</v>
      </c>
    </row>
    <row r="1747" spans="1:10">
      <c r="A1747" s="90" t="s">
        <v>216</v>
      </c>
      <c r="B1747" s="87">
        <v>46001</v>
      </c>
      <c r="C1747" t="s">
        <v>3455</v>
      </c>
      <c r="D1747" t="s">
        <v>2110</v>
      </c>
      <c r="E1747" t="s">
        <v>477</v>
      </c>
      <c r="F1747" t="s">
        <v>3456</v>
      </c>
      <c r="G1747" t="s">
        <v>218</v>
      </c>
      <c r="H1747" t="s">
        <v>470</v>
      </c>
      <c r="I1747" t="s">
        <v>471</v>
      </c>
      <c r="J1747">
        <v>995</v>
      </c>
    </row>
    <row r="1748" spans="1:10">
      <c r="A1748" s="90" t="s">
        <v>216</v>
      </c>
      <c r="B1748" s="87">
        <v>46001</v>
      </c>
      <c r="C1748" t="s">
        <v>3457</v>
      </c>
      <c r="D1748" t="s">
        <v>2110</v>
      </c>
      <c r="E1748" t="s">
        <v>477</v>
      </c>
      <c r="F1748" t="s">
        <v>3458</v>
      </c>
      <c r="G1748" t="s">
        <v>218</v>
      </c>
      <c r="H1748" t="s">
        <v>470</v>
      </c>
      <c r="I1748" t="s">
        <v>471</v>
      </c>
      <c r="J1748">
        <v>895</v>
      </c>
    </row>
    <row r="1749" spans="1:10">
      <c r="A1749" s="90" t="s">
        <v>216</v>
      </c>
      <c r="B1749" s="87">
        <v>46001</v>
      </c>
      <c r="C1749" t="s">
        <v>2895</v>
      </c>
      <c r="D1749" t="s">
        <v>2110</v>
      </c>
      <c r="E1749" t="s">
        <v>477</v>
      </c>
      <c r="F1749" t="s">
        <v>514</v>
      </c>
      <c r="G1749" t="s">
        <v>515</v>
      </c>
      <c r="H1749" t="s">
        <v>3459</v>
      </c>
      <c r="I1749" t="s">
        <v>471</v>
      </c>
      <c r="J1749">
        <v>43571.43</v>
      </c>
    </row>
    <row r="1750" spans="1:10">
      <c r="A1750" s="90" t="s">
        <v>216</v>
      </c>
      <c r="B1750" s="87">
        <v>46001</v>
      </c>
      <c r="C1750" t="s">
        <v>2895</v>
      </c>
      <c r="D1750" t="s">
        <v>2110</v>
      </c>
      <c r="E1750" t="s">
        <v>477</v>
      </c>
      <c r="F1750" t="s">
        <v>514</v>
      </c>
      <c r="G1750" t="s">
        <v>69</v>
      </c>
      <c r="H1750" t="s">
        <v>3459</v>
      </c>
      <c r="I1750" t="s">
        <v>471</v>
      </c>
      <c r="J1750">
        <v>31789.71</v>
      </c>
    </row>
    <row r="1751" spans="1:10">
      <c r="A1751" s="90" t="s">
        <v>216</v>
      </c>
      <c r="B1751" s="87">
        <v>46001</v>
      </c>
      <c r="C1751" t="s">
        <v>2275</v>
      </c>
      <c r="D1751" t="s">
        <v>2110</v>
      </c>
      <c r="E1751" t="s">
        <v>477</v>
      </c>
      <c r="F1751" t="s">
        <v>1014</v>
      </c>
      <c r="G1751" t="s">
        <v>74</v>
      </c>
      <c r="H1751" t="s">
        <v>470</v>
      </c>
      <c r="I1751" t="s">
        <v>471</v>
      </c>
      <c r="J1751">
        <v>95</v>
      </c>
    </row>
    <row r="1752" spans="1:10">
      <c r="A1752" s="90" t="s">
        <v>216</v>
      </c>
      <c r="B1752" s="87">
        <v>46001</v>
      </c>
      <c r="C1752" t="s">
        <v>2275</v>
      </c>
      <c r="D1752" t="s">
        <v>2110</v>
      </c>
      <c r="E1752" t="s">
        <v>477</v>
      </c>
      <c r="F1752" t="s">
        <v>1014</v>
      </c>
      <c r="G1752" t="s">
        <v>74</v>
      </c>
      <c r="H1752" t="s">
        <v>470</v>
      </c>
      <c r="I1752" t="s">
        <v>471</v>
      </c>
      <c r="J1752">
        <v>50</v>
      </c>
    </row>
    <row r="1753" spans="1:10">
      <c r="A1753" s="90" t="s">
        <v>216</v>
      </c>
      <c r="B1753" s="87">
        <v>46001</v>
      </c>
      <c r="C1753" t="s">
        <v>511</v>
      </c>
      <c r="D1753" t="s">
        <v>2110</v>
      </c>
      <c r="E1753" t="s">
        <v>512</v>
      </c>
      <c r="F1753" t="s">
        <v>1014</v>
      </c>
      <c r="G1753" t="s">
        <v>474</v>
      </c>
      <c r="H1753" t="s">
        <v>470</v>
      </c>
      <c r="I1753" t="s">
        <v>475</v>
      </c>
      <c r="J1753">
        <v>1654898.55</v>
      </c>
    </row>
    <row r="1754" spans="1:10">
      <c r="A1754" s="90" t="s">
        <v>216</v>
      </c>
      <c r="B1754" s="87">
        <v>46002</v>
      </c>
      <c r="C1754" t="s">
        <v>3460</v>
      </c>
      <c r="D1754" t="s">
        <v>2110</v>
      </c>
      <c r="E1754" t="s">
        <v>1667</v>
      </c>
      <c r="F1754" t="s">
        <v>1014</v>
      </c>
      <c r="G1754" t="s">
        <v>71</v>
      </c>
      <c r="H1754" t="s">
        <v>470</v>
      </c>
      <c r="I1754" t="s">
        <v>475</v>
      </c>
      <c r="J1754">
        <v>1146.93</v>
      </c>
    </row>
    <row r="1755" spans="1:10">
      <c r="A1755" s="90" t="s">
        <v>216</v>
      </c>
      <c r="B1755" s="87">
        <v>46002</v>
      </c>
      <c r="C1755" t="s">
        <v>511</v>
      </c>
      <c r="D1755" t="s">
        <v>2110</v>
      </c>
      <c r="E1755" t="s">
        <v>512</v>
      </c>
      <c r="F1755" t="s">
        <v>1014</v>
      </c>
      <c r="G1755" t="s">
        <v>474</v>
      </c>
      <c r="H1755" t="s">
        <v>470</v>
      </c>
      <c r="I1755" t="s">
        <v>475</v>
      </c>
      <c r="J1755">
        <v>1146.93</v>
      </c>
    </row>
    <row r="1756" spans="1:10">
      <c r="A1756" s="90" t="s">
        <v>216</v>
      </c>
      <c r="B1756" s="87">
        <v>46003</v>
      </c>
      <c r="C1756" t="s">
        <v>3461</v>
      </c>
      <c r="D1756" t="s">
        <v>2110</v>
      </c>
      <c r="E1756" t="s">
        <v>3445</v>
      </c>
      <c r="F1756" t="s">
        <v>1061</v>
      </c>
      <c r="G1756" t="s">
        <v>2125</v>
      </c>
      <c r="H1756" t="s">
        <v>470</v>
      </c>
      <c r="I1756" t="s">
        <v>487</v>
      </c>
      <c r="J1756">
        <v>3629.52</v>
      </c>
    </row>
    <row r="1757" spans="1:10">
      <c r="A1757" s="90" t="s">
        <v>216</v>
      </c>
      <c r="B1757" s="87">
        <v>46003</v>
      </c>
      <c r="C1757" t="s">
        <v>3462</v>
      </c>
      <c r="D1757" t="s">
        <v>2110</v>
      </c>
      <c r="E1757" t="s">
        <v>3448</v>
      </c>
      <c r="F1757" t="s">
        <v>1063</v>
      </c>
      <c r="G1757" t="s">
        <v>2125</v>
      </c>
      <c r="H1757" t="s">
        <v>470</v>
      </c>
      <c r="I1757" t="s">
        <v>487</v>
      </c>
      <c r="J1757">
        <v>3338.8</v>
      </c>
    </row>
    <row r="1758" spans="1:10">
      <c r="A1758" s="90" t="s">
        <v>216</v>
      </c>
      <c r="B1758" s="87">
        <v>46003</v>
      </c>
      <c r="C1758" t="s">
        <v>3463</v>
      </c>
      <c r="D1758" t="s">
        <v>2110</v>
      </c>
      <c r="E1758" t="s">
        <v>1693</v>
      </c>
      <c r="F1758" t="s">
        <v>3464</v>
      </c>
      <c r="G1758" t="s">
        <v>2112</v>
      </c>
      <c r="H1758" t="s">
        <v>470</v>
      </c>
      <c r="I1758" t="s">
        <v>540</v>
      </c>
      <c r="J1758">
        <v>200000</v>
      </c>
    </row>
    <row r="1759" spans="1:10">
      <c r="A1759" s="90" t="s">
        <v>216</v>
      </c>
      <c r="B1759" s="87">
        <v>46003</v>
      </c>
      <c r="C1759" t="s">
        <v>2275</v>
      </c>
      <c r="D1759" t="s">
        <v>2110</v>
      </c>
      <c r="E1759" t="s">
        <v>477</v>
      </c>
      <c r="F1759" t="s">
        <v>1014</v>
      </c>
      <c r="G1759" t="s">
        <v>74</v>
      </c>
      <c r="H1759" t="s">
        <v>470</v>
      </c>
      <c r="I1759" t="s">
        <v>471</v>
      </c>
      <c r="J1759">
        <v>18.760000000000002</v>
      </c>
    </row>
    <row r="1760" spans="1:10">
      <c r="A1760" s="90" t="s">
        <v>216</v>
      </c>
      <c r="B1760" s="87">
        <v>46003</v>
      </c>
      <c r="C1760" t="s">
        <v>511</v>
      </c>
      <c r="D1760" t="s">
        <v>2110</v>
      </c>
      <c r="E1760" t="s">
        <v>512</v>
      </c>
      <c r="F1760" t="s">
        <v>1014</v>
      </c>
      <c r="G1760" t="s">
        <v>474</v>
      </c>
      <c r="H1760" t="s">
        <v>470</v>
      </c>
      <c r="I1760" t="s">
        <v>475</v>
      </c>
      <c r="J1760">
        <v>207872.23</v>
      </c>
    </row>
    <row r="1761" spans="1:10">
      <c r="A1761" s="90" t="s">
        <v>216</v>
      </c>
      <c r="B1761" s="87">
        <v>46006</v>
      </c>
      <c r="C1761" t="s">
        <v>3273</v>
      </c>
      <c r="D1761" t="s">
        <v>2110</v>
      </c>
      <c r="E1761" t="s">
        <v>2366</v>
      </c>
      <c r="F1761" t="s">
        <v>1014</v>
      </c>
      <c r="G1761" t="s">
        <v>219</v>
      </c>
      <c r="H1761" t="s">
        <v>470</v>
      </c>
      <c r="I1761" t="s">
        <v>796</v>
      </c>
      <c r="J1761">
        <v>42.52</v>
      </c>
    </row>
    <row r="1762" spans="1:10">
      <c r="A1762" s="90" t="s">
        <v>216</v>
      </c>
      <c r="B1762" s="87">
        <v>46006</v>
      </c>
      <c r="C1762" t="s">
        <v>3465</v>
      </c>
      <c r="D1762" t="s">
        <v>2110</v>
      </c>
      <c r="E1762" t="s">
        <v>2564</v>
      </c>
      <c r="F1762" t="s">
        <v>3466</v>
      </c>
      <c r="G1762" t="s">
        <v>2115</v>
      </c>
      <c r="H1762" t="s">
        <v>470</v>
      </c>
      <c r="I1762" t="s">
        <v>796</v>
      </c>
      <c r="J1762">
        <v>1240</v>
      </c>
    </row>
    <row r="1763" spans="1:10">
      <c r="A1763" s="90" t="s">
        <v>216</v>
      </c>
      <c r="B1763" s="87">
        <v>46006</v>
      </c>
      <c r="C1763" t="s">
        <v>3465</v>
      </c>
      <c r="D1763" t="s">
        <v>2110</v>
      </c>
      <c r="E1763" t="s">
        <v>2564</v>
      </c>
      <c r="F1763" t="s">
        <v>3466</v>
      </c>
      <c r="G1763" t="s">
        <v>223</v>
      </c>
      <c r="H1763" t="s">
        <v>470</v>
      </c>
      <c r="I1763" t="s">
        <v>796</v>
      </c>
      <c r="J1763">
        <v>163.92</v>
      </c>
    </row>
    <row r="1764" spans="1:10">
      <c r="A1764" s="90" t="s">
        <v>216</v>
      </c>
      <c r="B1764" s="87">
        <v>46006</v>
      </c>
      <c r="C1764" t="s">
        <v>3467</v>
      </c>
      <c r="D1764" t="s">
        <v>2110</v>
      </c>
      <c r="E1764" t="s">
        <v>3468</v>
      </c>
      <c r="F1764" t="s">
        <v>318</v>
      </c>
      <c r="G1764" t="s">
        <v>57</v>
      </c>
      <c r="H1764" t="s">
        <v>470</v>
      </c>
      <c r="I1764" t="s">
        <v>487</v>
      </c>
      <c r="J1764">
        <v>696.25</v>
      </c>
    </row>
    <row r="1765" spans="1:10">
      <c r="A1765" s="90" t="s">
        <v>216</v>
      </c>
      <c r="B1765" s="87">
        <v>46006</v>
      </c>
      <c r="C1765" t="s">
        <v>3469</v>
      </c>
      <c r="D1765" t="s">
        <v>2110</v>
      </c>
      <c r="E1765" t="s">
        <v>3439</v>
      </c>
      <c r="F1765" t="s">
        <v>1069</v>
      </c>
      <c r="G1765" t="s">
        <v>2125</v>
      </c>
      <c r="H1765" t="s">
        <v>470</v>
      </c>
      <c r="I1765" t="s">
        <v>487</v>
      </c>
      <c r="J1765">
        <v>3742.5</v>
      </c>
    </row>
    <row r="1766" spans="1:10">
      <c r="A1766" s="90" t="s">
        <v>216</v>
      </c>
      <c r="B1766" s="87">
        <v>46006</v>
      </c>
      <c r="C1766" t="s">
        <v>3470</v>
      </c>
      <c r="D1766" t="s">
        <v>2110</v>
      </c>
      <c r="E1766" t="s">
        <v>3442</v>
      </c>
      <c r="F1766" t="s">
        <v>1071</v>
      </c>
      <c r="G1766" t="s">
        <v>2125</v>
      </c>
      <c r="H1766" t="s">
        <v>470</v>
      </c>
      <c r="I1766" t="s">
        <v>487</v>
      </c>
      <c r="J1766">
        <v>3609</v>
      </c>
    </row>
    <row r="1767" spans="1:10">
      <c r="A1767" s="90" t="s">
        <v>216</v>
      </c>
      <c r="B1767" s="87">
        <v>46006</v>
      </c>
      <c r="C1767" t="s">
        <v>3471</v>
      </c>
      <c r="D1767" t="s">
        <v>2110</v>
      </c>
      <c r="E1767" t="s">
        <v>3451</v>
      </c>
      <c r="F1767" t="s">
        <v>1073</v>
      </c>
      <c r="G1767" t="s">
        <v>2125</v>
      </c>
      <c r="H1767" t="s">
        <v>470</v>
      </c>
      <c r="I1767" t="s">
        <v>487</v>
      </c>
      <c r="J1767">
        <v>3602.16</v>
      </c>
    </row>
    <row r="1768" spans="1:10">
      <c r="A1768" s="90" t="s">
        <v>216</v>
      </c>
      <c r="B1768" s="87">
        <v>46006</v>
      </c>
      <c r="C1768" t="s">
        <v>3472</v>
      </c>
      <c r="D1768" t="s">
        <v>2110</v>
      </c>
      <c r="E1768" t="s">
        <v>1667</v>
      </c>
      <c r="F1768" t="s">
        <v>3473</v>
      </c>
      <c r="G1768" t="s">
        <v>2115</v>
      </c>
      <c r="H1768" t="s">
        <v>470</v>
      </c>
      <c r="I1768" t="s">
        <v>475</v>
      </c>
      <c r="J1768">
        <v>1295.8</v>
      </c>
    </row>
    <row r="1769" spans="1:10">
      <c r="A1769" s="90" t="s">
        <v>216</v>
      </c>
      <c r="B1769" s="87">
        <v>46006</v>
      </c>
      <c r="C1769" t="s">
        <v>3472</v>
      </c>
      <c r="D1769" t="s">
        <v>2110</v>
      </c>
      <c r="E1769" t="s">
        <v>1667</v>
      </c>
      <c r="F1769" t="s">
        <v>3473</v>
      </c>
      <c r="G1769" t="s">
        <v>259</v>
      </c>
      <c r="H1769" t="s">
        <v>470</v>
      </c>
      <c r="I1769" t="s">
        <v>475</v>
      </c>
      <c r="J1769">
        <v>6069.75</v>
      </c>
    </row>
    <row r="1770" spans="1:10">
      <c r="A1770" s="90" t="s">
        <v>216</v>
      </c>
      <c r="B1770" s="87">
        <v>46006</v>
      </c>
      <c r="C1770" t="s">
        <v>3472</v>
      </c>
      <c r="D1770" t="s">
        <v>2110</v>
      </c>
      <c r="E1770" t="s">
        <v>1667</v>
      </c>
      <c r="F1770" t="s">
        <v>3473</v>
      </c>
      <c r="G1770" t="s">
        <v>71</v>
      </c>
      <c r="H1770" t="s">
        <v>470</v>
      </c>
      <c r="I1770" t="s">
        <v>475</v>
      </c>
      <c r="J1770">
        <v>628.6</v>
      </c>
    </row>
    <row r="1771" spans="1:10">
      <c r="A1771" s="90" t="s">
        <v>216</v>
      </c>
      <c r="B1771" s="87">
        <v>46006</v>
      </c>
      <c r="C1771" t="s">
        <v>3472</v>
      </c>
      <c r="D1771" t="s">
        <v>2110</v>
      </c>
      <c r="E1771" t="s">
        <v>1667</v>
      </c>
      <c r="F1771" t="s">
        <v>3473</v>
      </c>
      <c r="G1771" t="s">
        <v>285</v>
      </c>
      <c r="H1771" t="s">
        <v>470</v>
      </c>
      <c r="I1771" t="s">
        <v>475</v>
      </c>
      <c r="J1771">
        <v>300</v>
      </c>
    </row>
    <row r="1772" spans="1:10">
      <c r="A1772" s="90" t="s">
        <v>216</v>
      </c>
      <c r="B1772" s="87">
        <v>46006</v>
      </c>
      <c r="C1772" t="s">
        <v>3472</v>
      </c>
      <c r="D1772" t="s">
        <v>2110</v>
      </c>
      <c r="E1772" t="s">
        <v>1667</v>
      </c>
      <c r="F1772" t="s">
        <v>3473</v>
      </c>
      <c r="G1772" t="s">
        <v>285</v>
      </c>
      <c r="H1772" t="s">
        <v>470</v>
      </c>
      <c r="I1772" t="s">
        <v>475</v>
      </c>
      <c r="J1772">
        <v>300</v>
      </c>
    </row>
    <row r="1773" spans="1:10">
      <c r="A1773" s="90" t="s">
        <v>216</v>
      </c>
      <c r="B1773" s="87">
        <v>46006</v>
      </c>
      <c r="C1773" t="s">
        <v>3474</v>
      </c>
      <c r="D1773" t="s">
        <v>2110</v>
      </c>
      <c r="E1773" t="s">
        <v>3475</v>
      </c>
      <c r="F1773" t="s">
        <v>1086</v>
      </c>
      <c r="G1773" t="s">
        <v>2125</v>
      </c>
      <c r="H1773" t="s">
        <v>470</v>
      </c>
      <c r="I1773" t="s">
        <v>487</v>
      </c>
      <c r="J1773">
        <v>11307.52</v>
      </c>
    </row>
    <row r="1774" spans="1:10">
      <c r="A1774" s="90" t="s">
        <v>216</v>
      </c>
      <c r="B1774" s="87">
        <v>46006</v>
      </c>
      <c r="C1774" t="s">
        <v>2275</v>
      </c>
      <c r="D1774" t="s">
        <v>2110</v>
      </c>
      <c r="E1774" t="s">
        <v>477</v>
      </c>
      <c r="F1774" t="s">
        <v>1014</v>
      </c>
      <c r="G1774" t="s">
        <v>74</v>
      </c>
      <c r="H1774" t="s">
        <v>470</v>
      </c>
      <c r="I1774" t="s">
        <v>471</v>
      </c>
      <c r="J1774">
        <v>56.89</v>
      </c>
    </row>
    <row r="1775" spans="1:10">
      <c r="A1775" s="90" t="s">
        <v>216</v>
      </c>
      <c r="B1775" s="87">
        <v>46006</v>
      </c>
      <c r="C1775" t="s">
        <v>517</v>
      </c>
      <c r="D1775" t="s">
        <v>2110</v>
      </c>
      <c r="E1775" t="s">
        <v>512</v>
      </c>
      <c r="F1775" t="s">
        <v>1014</v>
      </c>
      <c r="G1775" t="s">
        <v>474</v>
      </c>
      <c r="H1775" t="s">
        <v>470</v>
      </c>
      <c r="I1775" t="s">
        <v>475</v>
      </c>
      <c r="J1775">
        <v>76807.850000000006</v>
      </c>
    </row>
    <row r="1776" spans="1:10">
      <c r="A1776" s="90" t="s">
        <v>216</v>
      </c>
      <c r="B1776" s="87">
        <v>46007</v>
      </c>
      <c r="C1776" t="s">
        <v>3476</v>
      </c>
      <c r="D1776" t="s">
        <v>2110</v>
      </c>
      <c r="E1776" t="s">
        <v>535</v>
      </c>
      <c r="F1776" t="s">
        <v>998</v>
      </c>
      <c r="G1776" t="s">
        <v>2112</v>
      </c>
      <c r="H1776" t="s">
        <v>470</v>
      </c>
      <c r="I1776" t="s">
        <v>475</v>
      </c>
      <c r="J1776">
        <v>37340</v>
      </c>
    </row>
    <row r="1777" spans="1:10">
      <c r="A1777" s="90" t="s">
        <v>216</v>
      </c>
      <c r="B1777" s="87">
        <v>46007</v>
      </c>
      <c r="C1777" t="s">
        <v>3476</v>
      </c>
      <c r="D1777" t="s">
        <v>2110</v>
      </c>
      <c r="E1777" t="s">
        <v>535</v>
      </c>
      <c r="F1777" t="s">
        <v>998</v>
      </c>
      <c r="G1777" t="s">
        <v>2112</v>
      </c>
      <c r="H1777" t="s">
        <v>470</v>
      </c>
      <c r="I1777" t="s">
        <v>475</v>
      </c>
      <c r="J1777">
        <v>100</v>
      </c>
    </row>
    <row r="1778" spans="1:10">
      <c r="A1778" s="90" t="s">
        <v>216</v>
      </c>
      <c r="B1778" s="87">
        <v>46007</v>
      </c>
      <c r="C1778" t="s">
        <v>3477</v>
      </c>
      <c r="D1778" t="s">
        <v>2110</v>
      </c>
      <c r="E1778" t="s">
        <v>3478</v>
      </c>
      <c r="F1778" t="s">
        <v>1086</v>
      </c>
      <c r="G1778" t="s">
        <v>2112</v>
      </c>
      <c r="H1778" t="s">
        <v>470</v>
      </c>
      <c r="I1778" t="s">
        <v>475</v>
      </c>
      <c r="J1778">
        <v>109369.97</v>
      </c>
    </row>
    <row r="1779" spans="1:10">
      <c r="A1779" s="90" t="s">
        <v>216</v>
      </c>
      <c r="B1779" s="87">
        <v>46007</v>
      </c>
      <c r="C1779" t="s">
        <v>3479</v>
      </c>
      <c r="D1779" t="s">
        <v>2110</v>
      </c>
      <c r="E1779" t="s">
        <v>3478</v>
      </c>
      <c r="F1779" t="s">
        <v>1084</v>
      </c>
      <c r="G1779" t="s">
        <v>2112</v>
      </c>
      <c r="H1779" t="s">
        <v>470</v>
      </c>
      <c r="I1779" t="s">
        <v>475</v>
      </c>
      <c r="J1779">
        <v>108286.67</v>
      </c>
    </row>
    <row r="1780" spans="1:10">
      <c r="A1780" s="90" t="s">
        <v>216</v>
      </c>
      <c r="B1780" s="87">
        <v>46007</v>
      </c>
      <c r="C1780" t="s">
        <v>3480</v>
      </c>
      <c r="D1780" t="s">
        <v>2110</v>
      </c>
      <c r="E1780" t="s">
        <v>3478</v>
      </c>
      <c r="F1780" t="s">
        <v>1088</v>
      </c>
      <c r="G1780" t="s">
        <v>2112</v>
      </c>
      <c r="H1780" t="s">
        <v>470</v>
      </c>
      <c r="I1780" t="s">
        <v>475</v>
      </c>
      <c r="J1780">
        <v>108376.67</v>
      </c>
    </row>
    <row r="1781" spans="1:10">
      <c r="A1781" s="90" t="s">
        <v>216</v>
      </c>
      <c r="B1781" s="87">
        <v>46007</v>
      </c>
      <c r="C1781" t="s">
        <v>3480</v>
      </c>
      <c r="D1781" t="s">
        <v>2110</v>
      </c>
      <c r="E1781" t="s">
        <v>3478</v>
      </c>
      <c r="F1781" t="s">
        <v>1088</v>
      </c>
      <c r="G1781" t="s">
        <v>272</v>
      </c>
      <c r="H1781" t="s">
        <v>470</v>
      </c>
      <c r="I1781" t="s">
        <v>475</v>
      </c>
      <c r="J1781">
        <v>6.69</v>
      </c>
    </row>
    <row r="1782" spans="1:10">
      <c r="A1782" s="90" t="s">
        <v>216</v>
      </c>
      <c r="B1782" s="87">
        <v>46007</v>
      </c>
      <c r="C1782" t="s">
        <v>3481</v>
      </c>
      <c r="D1782" t="s">
        <v>2110</v>
      </c>
      <c r="E1782" t="s">
        <v>477</v>
      </c>
      <c r="F1782" t="s">
        <v>3482</v>
      </c>
      <c r="G1782" t="s">
        <v>224</v>
      </c>
      <c r="H1782" t="s">
        <v>470</v>
      </c>
      <c r="I1782" t="s">
        <v>471</v>
      </c>
      <c r="J1782">
        <v>550</v>
      </c>
    </row>
    <row r="1783" spans="1:10">
      <c r="A1783" s="90" t="s">
        <v>216</v>
      </c>
      <c r="B1783" s="87">
        <v>46007</v>
      </c>
      <c r="C1783" t="s">
        <v>511</v>
      </c>
      <c r="D1783" t="s">
        <v>2110</v>
      </c>
      <c r="E1783" t="s">
        <v>512</v>
      </c>
      <c r="F1783" t="s">
        <v>1014</v>
      </c>
      <c r="G1783" t="s">
        <v>474</v>
      </c>
      <c r="H1783" t="s">
        <v>470</v>
      </c>
      <c r="I1783" t="s">
        <v>475</v>
      </c>
      <c r="J1783">
        <v>363405</v>
      </c>
    </row>
    <row r="1784" spans="1:10">
      <c r="A1784" s="90" t="s">
        <v>216</v>
      </c>
      <c r="B1784" s="87">
        <v>46008</v>
      </c>
      <c r="C1784" t="s">
        <v>3483</v>
      </c>
      <c r="D1784" t="s">
        <v>2110</v>
      </c>
      <c r="E1784" t="s">
        <v>3484</v>
      </c>
      <c r="F1784" t="s">
        <v>1088</v>
      </c>
      <c r="G1784" t="s">
        <v>2125</v>
      </c>
      <c r="H1784" t="s">
        <v>470</v>
      </c>
      <c r="I1784" t="s">
        <v>487</v>
      </c>
      <c r="J1784">
        <v>11204.48</v>
      </c>
    </row>
    <row r="1785" spans="1:10">
      <c r="A1785" s="90" t="s">
        <v>216</v>
      </c>
      <c r="B1785" s="87">
        <v>46008</v>
      </c>
      <c r="C1785" t="s">
        <v>3485</v>
      </c>
      <c r="D1785" t="s">
        <v>2110</v>
      </c>
      <c r="E1785" t="s">
        <v>3095</v>
      </c>
      <c r="F1785" t="s">
        <v>1090</v>
      </c>
      <c r="G1785" t="s">
        <v>2125</v>
      </c>
      <c r="H1785" t="s">
        <v>470</v>
      </c>
      <c r="I1785" t="s">
        <v>487</v>
      </c>
      <c r="J1785">
        <v>8720.4599999999991</v>
      </c>
    </row>
    <row r="1786" spans="1:10">
      <c r="A1786" s="90" t="s">
        <v>216</v>
      </c>
      <c r="B1786" s="87">
        <v>46008</v>
      </c>
      <c r="C1786" t="s">
        <v>3486</v>
      </c>
      <c r="D1786" t="s">
        <v>2110</v>
      </c>
      <c r="E1786" t="s">
        <v>2401</v>
      </c>
      <c r="F1786" t="s">
        <v>1090</v>
      </c>
      <c r="G1786" t="s">
        <v>2112</v>
      </c>
      <c r="H1786" t="s">
        <v>470</v>
      </c>
      <c r="I1786" t="s">
        <v>487</v>
      </c>
      <c r="J1786">
        <v>22324.86</v>
      </c>
    </row>
    <row r="1787" spans="1:10">
      <c r="A1787" s="90" t="s">
        <v>216</v>
      </c>
      <c r="B1787" s="87">
        <v>46008</v>
      </c>
      <c r="C1787" t="s">
        <v>2275</v>
      </c>
      <c r="D1787" t="s">
        <v>2110</v>
      </c>
      <c r="E1787" t="s">
        <v>477</v>
      </c>
      <c r="F1787" t="s">
        <v>1014</v>
      </c>
      <c r="G1787" t="s">
        <v>74</v>
      </c>
      <c r="H1787" t="s">
        <v>470</v>
      </c>
      <c r="I1787" t="s">
        <v>471</v>
      </c>
      <c r="J1787">
        <v>30</v>
      </c>
    </row>
    <row r="1788" spans="1:10">
      <c r="A1788" s="90" t="s">
        <v>216</v>
      </c>
      <c r="B1788" s="87">
        <v>46008</v>
      </c>
      <c r="C1788" t="s">
        <v>517</v>
      </c>
      <c r="D1788" t="s">
        <v>2110</v>
      </c>
      <c r="E1788" t="s">
        <v>512</v>
      </c>
      <c r="F1788" t="s">
        <v>1014</v>
      </c>
      <c r="G1788" t="s">
        <v>474</v>
      </c>
      <c r="H1788" t="s">
        <v>470</v>
      </c>
      <c r="I1788" t="s">
        <v>475</v>
      </c>
      <c r="J1788">
        <v>134717.24</v>
      </c>
    </row>
    <row r="1789" spans="1:10">
      <c r="A1789" s="90" t="s">
        <v>216</v>
      </c>
      <c r="B1789" s="87">
        <v>46009</v>
      </c>
      <c r="C1789" t="s">
        <v>3487</v>
      </c>
      <c r="D1789" t="s">
        <v>2110</v>
      </c>
      <c r="E1789" t="s">
        <v>3488</v>
      </c>
      <c r="F1789" t="s">
        <v>1084</v>
      </c>
      <c r="G1789" t="s">
        <v>2125</v>
      </c>
      <c r="H1789" t="s">
        <v>470</v>
      </c>
      <c r="I1789" t="s">
        <v>487</v>
      </c>
      <c r="J1789">
        <v>11195.52</v>
      </c>
    </row>
    <row r="1790" spans="1:10">
      <c r="A1790" s="90" t="s">
        <v>216</v>
      </c>
      <c r="B1790" s="87">
        <v>46009</v>
      </c>
      <c r="C1790" t="s">
        <v>2275</v>
      </c>
      <c r="D1790" t="s">
        <v>2110</v>
      </c>
      <c r="E1790" t="s">
        <v>477</v>
      </c>
      <c r="F1790" t="s">
        <v>1014</v>
      </c>
      <c r="G1790" t="s">
        <v>74</v>
      </c>
      <c r="H1790" t="s">
        <v>470</v>
      </c>
      <c r="I1790" t="s">
        <v>471</v>
      </c>
      <c r="J1790">
        <v>9.19</v>
      </c>
    </row>
    <row r="1791" spans="1:10">
      <c r="A1791" s="90" t="s">
        <v>216</v>
      </c>
      <c r="B1791" s="87">
        <v>46009</v>
      </c>
      <c r="C1791" t="s">
        <v>2275</v>
      </c>
      <c r="D1791" t="s">
        <v>2110</v>
      </c>
      <c r="E1791" t="s">
        <v>477</v>
      </c>
      <c r="F1791" t="s">
        <v>1014</v>
      </c>
      <c r="G1791" t="s">
        <v>74</v>
      </c>
      <c r="H1791" t="s">
        <v>470</v>
      </c>
      <c r="I1791" t="s">
        <v>471</v>
      </c>
      <c r="J1791">
        <v>22</v>
      </c>
    </row>
    <row r="1792" spans="1:10">
      <c r="A1792" s="90" t="s">
        <v>216</v>
      </c>
      <c r="B1792" s="87">
        <v>46009</v>
      </c>
      <c r="C1792" t="s">
        <v>2479</v>
      </c>
      <c r="D1792" t="s">
        <v>2110</v>
      </c>
      <c r="E1792" t="s">
        <v>477</v>
      </c>
      <c r="F1792" t="s">
        <v>1014</v>
      </c>
      <c r="G1792" t="s">
        <v>74</v>
      </c>
      <c r="H1792" t="s">
        <v>470</v>
      </c>
      <c r="I1792" t="s">
        <v>471</v>
      </c>
      <c r="J1792">
        <v>10</v>
      </c>
    </row>
    <row r="1793" spans="1:10">
      <c r="A1793" s="90" t="s">
        <v>216</v>
      </c>
      <c r="B1793" s="87">
        <v>46009</v>
      </c>
      <c r="C1793" t="s">
        <v>3489</v>
      </c>
      <c r="D1793" t="s">
        <v>2110</v>
      </c>
      <c r="E1793" t="s">
        <v>1285</v>
      </c>
      <c r="F1793" t="s">
        <v>1286</v>
      </c>
      <c r="G1793" t="s">
        <v>2112</v>
      </c>
      <c r="H1793" t="s">
        <v>470</v>
      </c>
      <c r="I1793" t="s">
        <v>487</v>
      </c>
      <c r="J1793">
        <v>300000</v>
      </c>
    </row>
    <row r="1794" spans="1:10">
      <c r="A1794" s="90" t="s">
        <v>216</v>
      </c>
      <c r="B1794" s="87">
        <v>46009</v>
      </c>
      <c r="C1794" t="s">
        <v>517</v>
      </c>
      <c r="D1794" t="s">
        <v>2110</v>
      </c>
      <c r="E1794" t="s">
        <v>512</v>
      </c>
      <c r="F1794" t="s">
        <v>1014</v>
      </c>
      <c r="G1794" t="s">
        <v>474</v>
      </c>
      <c r="H1794" t="s">
        <v>470</v>
      </c>
      <c r="I1794" t="s">
        <v>475</v>
      </c>
      <c r="J1794">
        <v>300000</v>
      </c>
    </row>
    <row r="1795" spans="1:10">
      <c r="A1795" s="90" t="s">
        <v>216</v>
      </c>
      <c r="B1795" s="87">
        <v>46009</v>
      </c>
      <c r="C1795" t="s">
        <v>511</v>
      </c>
      <c r="D1795" t="s">
        <v>2110</v>
      </c>
      <c r="E1795" t="s">
        <v>512</v>
      </c>
      <c r="F1795" t="s">
        <v>1014</v>
      </c>
      <c r="G1795" t="s">
        <v>474</v>
      </c>
      <c r="H1795" t="s">
        <v>470</v>
      </c>
      <c r="I1795" t="s">
        <v>475</v>
      </c>
      <c r="J1795">
        <v>5550.64</v>
      </c>
    </row>
    <row r="1796" spans="1:10">
      <c r="A1796" s="90" t="s">
        <v>216</v>
      </c>
      <c r="B1796" s="87">
        <v>46010</v>
      </c>
      <c r="C1796" t="s">
        <v>3490</v>
      </c>
      <c r="D1796" t="s">
        <v>2110</v>
      </c>
      <c r="E1796" t="s">
        <v>2318</v>
      </c>
      <c r="F1796" t="s">
        <v>968</v>
      </c>
      <c r="G1796" t="s">
        <v>64</v>
      </c>
      <c r="H1796" t="s">
        <v>3236</v>
      </c>
      <c r="I1796" t="s">
        <v>796</v>
      </c>
      <c r="J1796">
        <v>806</v>
      </c>
    </row>
    <row r="1797" spans="1:10">
      <c r="A1797" s="90" t="s">
        <v>216</v>
      </c>
      <c r="B1797" s="87">
        <v>46010</v>
      </c>
      <c r="C1797" t="s">
        <v>3491</v>
      </c>
      <c r="D1797" t="s">
        <v>2110</v>
      </c>
      <c r="E1797" t="s">
        <v>1756</v>
      </c>
      <c r="F1797" t="s">
        <v>968</v>
      </c>
      <c r="G1797" t="s">
        <v>67</v>
      </c>
      <c r="H1797" t="s">
        <v>470</v>
      </c>
      <c r="I1797" t="s">
        <v>796</v>
      </c>
      <c r="J1797">
        <v>36.9</v>
      </c>
    </row>
    <row r="1798" spans="1:10">
      <c r="A1798" s="90" t="s">
        <v>216</v>
      </c>
      <c r="B1798" s="87">
        <v>46010</v>
      </c>
      <c r="C1798" t="s">
        <v>3194</v>
      </c>
      <c r="D1798" t="s">
        <v>2110</v>
      </c>
      <c r="E1798" t="s">
        <v>1756</v>
      </c>
      <c r="F1798" t="s">
        <v>968</v>
      </c>
      <c r="G1798" t="s">
        <v>67</v>
      </c>
      <c r="H1798" t="s">
        <v>470</v>
      </c>
      <c r="I1798" t="s">
        <v>796</v>
      </c>
      <c r="J1798">
        <v>125.49</v>
      </c>
    </row>
    <row r="1799" spans="1:10">
      <c r="A1799" s="90" t="s">
        <v>216</v>
      </c>
      <c r="B1799" s="87">
        <v>46010</v>
      </c>
      <c r="C1799" t="s">
        <v>3492</v>
      </c>
      <c r="D1799" t="s">
        <v>2110</v>
      </c>
      <c r="E1799" t="s">
        <v>3493</v>
      </c>
      <c r="F1799" t="s">
        <v>3494</v>
      </c>
      <c r="G1799" t="s">
        <v>191</v>
      </c>
      <c r="H1799" t="s">
        <v>470</v>
      </c>
      <c r="I1799" t="s">
        <v>487</v>
      </c>
      <c r="J1799">
        <v>2078.63</v>
      </c>
    </row>
    <row r="1800" spans="1:10">
      <c r="A1800" s="90" t="s">
        <v>216</v>
      </c>
      <c r="B1800" s="87">
        <v>46010</v>
      </c>
      <c r="C1800" t="s">
        <v>3495</v>
      </c>
      <c r="D1800" t="s">
        <v>2110</v>
      </c>
      <c r="E1800" t="s">
        <v>1667</v>
      </c>
      <c r="F1800" t="s">
        <v>338</v>
      </c>
      <c r="G1800" t="s">
        <v>344</v>
      </c>
      <c r="H1800" t="s">
        <v>470</v>
      </c>
      <c r="I1800" t="s">
        <v>475</v>
      </c>
      <c r="J1800">
        <v>5580</v>
      </c>
    </row>
    <row r="1801" spans="1:10">
      <c r="A1801" s="90" t="s">
        <v>216</v>
      </c>
      <c r="B1801" s="87">
        <v>46010</v>
      </c>
      <c r="C1801" t="s">
        <v>3495</v>
      </c>
      <c r="D1801" t="s">
        <v>2110</v>
      </c>
      <c r="E1801" t="s">
        <v>1667</v>
      </c>
      <c r="F1801" t="s">
        <v>338</v>
      </c>
      <c r="G1801" t="s">
        <v>71</v>
      </c>
      <c r="H1801" t="s">
        <v>470</v>
      </c>
      <c r="I1801" t="s">
        <v>475</v>
      </c>
      <c r="J1801">
        <v>221.25</v>
      </c>
    </row>
    <row r="1802" spans="1:10">
      <c r="A1802" s="90" t="s">
        <v>216</v>
      </c>
      <c r="B1802" s="87">
        <v>46010</v>
      </c>
      <c r="C1802" t="s">
        <v>3496</v>
      </c>
      <c r="D1802" t="s">
        <v>2110</v>
      </c>
      <c r="E1802" t="s">
        <v>3324</v>
      </c>
      <c r="F1802" t="s">
        <v>326</v>
      </c>
      <c r="G1802" t="s">
        <v>2381</v>
      </c>
      <c r="H1802" t="s">
        <v>470</v>
      </c>
      <c r="I1802" t="s">
        <v>796</v>
      </c>
      <c r="J1802">
        <v>1686.96</v>
      </c>
    </row>
    <row r="1803" spans="1:10">
      <c r="A1803" s="90" t="s">
        <v>216</v>
      </c>
      <c r="B1803" s="87">
        <v>46010</v>
      </c>
      <c r="C1803" t="s">
        <v>3497</v>
      </c>
      <c r="D1803" t="s">
        <v>2110</v>
      </c>
      <c r="E1803" t="s">
        <v>2401</v>
      </c>
      <c r="F1803" t="s">
        <v>277</v>
      </c>
      <c r="G1803" t="s">
        <v>2381</v>
      </c>
      <c r="H1803" t="s">
        <v>470</v>
      </c>
      <c r="I1803" t="s">
        <v>796</v>
      </c>
      <c r="J1803">
        <v>56.26</v>
      </c>
    </row>
    <row r="1804" spans="1:10">
      <c r="A1804" s="90" t="s">
        <v>216</v>
      </c>
      <c r="B1804" s="87">
        <v>46010</v>
      </c>
      <c r="C1804" t="s">
        <v>3498</v>
      </c>
      <c r="D1804" t="s">
        <v>2110</v>
      </c>
      <c r="E1804" t="s">
        <v>1667</v>
      </c>
      <c r="F1804" t="s">
        <v>1014</v>
      </c>
      <c r="G1804" t="s">
        <v>345</v>
      </c>
      <c r="H1804" t="s">
        <v>470</v>
      </c>
      <c r="I1804" t="s">
        <v>475</v>
      </c>
      <c r="J1804">
        <v>2500</v>
      </c>
    </row>
    <row r="1805" spans="1:10">
      <c r="A1805" s="90" t="s">
        <v>216</v>
      </c>
      <c r="B1805" s="87">
        <v>46010</v>
      </c>
      <c r="C1805" t="s">
        <v>3498</v>
      </c>
      <c r="D1805" t="s">
        <v>2110</v>
      </c>
      <c r="E1805" t="s">
        <v>1667</v>
      </c>
      <c r="F1805" t="s">
        <v>1014</v>
      </c>
      <c r="G1805" t="s">
        <v>71</v>
      </c>
      <c r="H1805" t="s">
        <v>470</v>
      </c>
      <c r="I1805" t="s">
        <v>475</v>
      </c>
      <c r="J1805">
        <v>2011.52</v>
      </c>
    </row>
    <row r="1806" spans="1:10">
      <c r="A1806" s="90" t="s">
        <v>216</v>
      </c>
      <c r="B1806" s="87">
        <v>46010</v>
      </c>
      <c r="C1806" t="s">
        <v>2454</v>
      </c>
      <c r="D1806" t="s">
        <v>2110</v>
      </c>
      <c r="E1806" t="s">
        <v>480</v>
      </c>
      <c r="F1806" t="s">
        <v>1014</v>
      </c>
      <c r="G1806" t="s">
        <v>71</v>
      </c>
      <c r="H1806" t="s">
        <v>470</v>
      </c>
      <c r="I1806" t="s">
        <v>475</v>
      </c>
      <c r="J1806">
        <v>12000</v>
      </c>
    </row>
    <row r="1807" spans="1:10">
      <c r="A1807" s="90" t="s">
        <v>216</v>
      </c>
      <c r="B1807" s="87">
        <v>46010</v>
      </c>
      <c r="C1807" t="s">
        <v>2275</v>
      </c>
      <c r="D1807" t="s">
        <v>2110</v>
      </c>
      <c r="E1807" t="s">
        <v>477</v>
      </c>
      <c r="F1807" t="s">
        <v>1014</v>
      </c>
      <c r="G1807" t="s">
        <v>74</v>
      </c>
      <c r="H1807" t="s">
        <v>470</v>
      </c>
      <c r="I1807" t="s">
        <v>471</v>
      </c>
      <c r="J1807">
        <v>10</v>
      </c>
    </row>
    <row r="1808" spans="1:10">
      <c r="A1808" s="90" t="s">
        <v>216</v>
      </c>
      <c r="B1808" s="87">
        <v>46010</v>
      </c>
      <c r="C1808" t="s">
        <v>517</v>
      </c>
      <c r="D1808" t="s">
        <v>2110</v>
      </c>
      <c r="E1808" t="s">
        <v>512</v>
      </c>
      <c r="F1808" t="s">
        <v>1014</v>
      </c>
      <c r="G1808" t="s">
        <v>474</v>
      </c>
      <c r="H1808" t="s">
        <v>470</v>
      </c>
      <c r="I1808" t="s">
        <v>475</v>
      </c>
      <c r="J1808">
        <v>109411.99</v>
      </c>
    </row>
    <row r="1809" spans="1:10">
      <c r="A1809" s="90" t="s">
        <v>216</v>
      </c>
      <c r="B1809" s="87">
        <v>46013</v>
      </c>
      <c r="C1809" t="s">
        <v>3499</v>
      </c>
      <c r="D1809" t="s">
        <v>2110</v>
      </c>
      <c r="E1809" t="s">
        <v>480</v>
      </c>
      <c r="F1809" t="s">
        <v>1014</v>
      </c>
      <c r="G1809" t="s">
        <v>58</v>
      </c>
      <c r="H1809" t="s">
        <v>470</v>
      </c>
      <c r="I1809" t="s">
        <v>475</v>
      </c>
      <c r="J1809">
        <v>691.26</v>
      </c>
    </row>
    <row r="1810" spans="1:10">
      <c r="A1810" s="90" t="s">
        <v>216</v>
      </c>
      <c r="B1810" s="87">
        <v>46013</v>
      </c>
      <c r="C1810" t="s">
        <v>3499</v>
      </c>
      <c r="D1810" t="s">
        <v>2110</v>
      </c>
      <c r="E1810" t="s">
        <v>480</v>
      </c>
      <c r="F1810" t="s">
        <v>1014</v>
      </c>
      <c r="G1810" t="s">
        <v>62</v>
      </c>
      <c r="H1810" t="s">
        <v>470</v>
      </c>
      <c r="I1810" t="s">
        <v>475</v>
      </c>
      <c r="J1810">
        <v>969.5</v>
      </c>
    </row>
    <row r="1811" spans="1:10">
      <c r="A1811" s="90" t="s">
        <v>216</v>
      </c>
      <c r="B1811" s="87">
        <v>46013</v>
      </c>
      <c r="C1811" t="s">
        <v>3500</v>
      </c>
      <c r="D1811" t="s">
        <v>2110</v>
      </c>
      <c r="E1811" t="s">
        <v>2316</v>
      </c>
      <c r="F1811" t="s">
        <v>1014</v>
      </c>
      <c r="G1811" t="s">
        <v>217</v>
      </c>
      <c r="H1811" t="s">
        <v>2279</v>
      </c>
      <c r="I1811" t="s">
        <v>796</v>
      </c>
      <c r="J1811">
        <v>202.3</v>
      </c>
    </row>
    <row r="1812" spans="1:10">
      <c r="A1812" s="90" t="s">
        <v>216</v>
      </c>
      <c r="B1812" s="87">
        <v>46013</v>
      </c>
      <c r="C1812" t="s">
        <v>511</v>
      </c>
      <c r="D1812" t="s">
        <v>2110</v>
      </c>
      <c r="E1812" t="s">
        <v>512</v>
      </c>
      <c r="F1812" t="s">
        <v>1014</v>
      </c>
      <c r="G1812" t="s">
        <v>474</v>
      </c>
      <c r="H1812" t="s">
        <v>470</v>
      </c>
      <c r="I1812" t="s">
        <v>475</v>
      </c>
      <c r="J1812">
        <v>1863.06</v>
      </c>
    </row>
    <row r="1813" spans="1:10">
      <c r="A1813" s="90" t="s">
        <v>216</v>
      </c>
      <c r="B1813" s="87">
        <v>46014</v>
      </c>
      <c r="C1813" t="s">
        <v>3501</v>
      </c>
      <c r="D1813" t="s">
        <v>2110</v>
      </c>
      <c r="E1813" t="s">
        <v>3475</v>
      </c>
      <c r="F1813" t="s">
        <v>1086</v>
      </c>
      <c r="G1813" t="s">
        <v>2125</v>
      </c>
      <c r="H1813" t="s">
        <v>470</v>
      </c>
      <c r="I1813" t="s">
        <v>487</v>
      </c>
      <c r="J1813">
        <v>7784.88</v>
      </c>
    </row>
    <row r="1814" spans="1:10">
      <c r="A1814" s="90" t="s">
        <v>216</v>
      </c>
      <c r="B1814" s="87">
        <v>46014</v>
      </c>
      <c r="C1814" t="s">
        <v>3502</v>
      </c>
      <c r="D1814" t="s">
        <v>2110</v>
      </c>
      <c r="E1814" t="s">
        <v>3488</v>
      </c>
      <c r="F1814" t="s">
        <v>1084</v>
      </c>
      <c r="G1814" t="s">
        <v>2125</v>
      </c>
      <c r="H1814" t="s">
        <v>470</v>
      </c>
      <c r="I1814" t="s">
        <v>487</v>
      </c>
      <c r="J1814">
        <v>6707.28</v>
      </c>
    </row>
    <row r="1815" spans="1:10">
      <c r="A1815" s="90" t="s">
        <v>216</v>
      </c>
      <c r="B1815" s="87">
        <v>46014</v>
      </c>
      <c r="C1815" t="s">
        <v>3503</v>
      </c>
      <c r="D1815" t="s">
        <v>2110</v>
      </c>
      <c r="E1815" t="s">
        <v>2316</v>
      </c>
      <c r="F1815" t="s">
        <v>1014</v>
      </c>
      <c r="G1815" t="s">
        <v>217</v>
      </c>
      <c r="H1815" t="s">
        <v>2279</v>
      </c>
      <c r="I1815" t="s">
        <v>796</v>
      </c>
      <c r="J1815">
        <v>112.4</v>
      </c>
    </row>
    <row r="1816" spans="1:10">
      <c r="A1816" s="90" t="s">
        <v>216</v>
      </c>
      <c r="B1816" s="87">
        <v>46014</v>
      </c>
      <c r="C1816" t="s">
        <v>3504</v>
      </c>
      <c r="D1816" t="s">
        <v>2110</v>
      </c>
      <c r="E1816" t="s">
        <v>3095</v>
      </c>
      <c r="F1816" t="s">
        <v>1090</v>
      </c>
      <c r="G1816" t="s">
        <v>2125</v>
      </c>
      <c r="H1816" t="s">
        <v>470</v>
      </c>
      <c r="I1816" t="s">
        <v>487</v>
      </c>
      <c r="J1816">
        <v>3737.34</v>
      </c>
    </row>
    <row r="1817" spans="1:10">
      <c r="A1817" s="90" t="s">
        <v>216</v>
      </c>
      <c r="B1817" s="87">
        <v>46014</v>
      </c>
      <c r="C1817" t="s">
        <v>3505</v>
      </c>
      <c r="D1817" t="s">
        <v>2110</v>
      </c>
      <c r="E1817" t="s">
        <v>1667</v>
      </c>
      <c r="F1817" t="s">
        <v>3506</v>
      </c>
      <c r="G1817" t="s">
        <v>2115</v>
      </c>
      <c r="H1817" t="s">
        <v>470</v>
      </c>
      <c r="I1817" t="s">
        <v>475</v>
      </c>
      <c r="J1817">
        <v>2183.1</v>
      </c>
    </row>
    <row r="1818" spans="1:10">
      <c r="A1818" s="90" t="s">
        <v>216</v>
      </c>
      <c r="B1818" s="87">
        <v>46014</v>
      </c>
      <c r="C1818" t="s">
        <v>3505</v>
      </c>
      <c r="D1818" t="s">
        <v>2110</v>
      </c>
      <c r="E1818" t="s">
        <v>1667</v>
      </c>
      <c r="F1818" t="s">
        <v>3506</v>
      </c>
      <c r="G1818" t="s">
        <v>259</v>
      </c>
      <c r="H1818" t="s">
        <v>470</v>
      </c>
      <c r="I1818" t="s">
        <v>475</v>
      </c>
      <c r="J1818">
        <v>1284.53</v>
      </c>
    </row>
    <row r="1819" spans="1:10">
      <c r="A1819" s="90" t="s">
        <v>216</v>
      </c>
      <c r="B1819" s="87">
        <v>46014</v>
      </c>
      <c r="C1819" t="s">
        <v>517</v>
      </c>
      <c r="D1819" t="s">
        <v>2110</v>
      </c>
      <c r="E1819" t="s">
        <v>512</v>
      </c>
      <c r="F1819" t="s">
        <v>1014</v>
      </c>
      <c r="G1819" t="s">
        <v>474</v>
      </c>
      <c r="H1819" t="s">
        <v>470</v>
      </c>
      <c r="I1819" t="s">
        <v>475</v>
      </c>
      <c r="J1819">
        <v>117010.47</v>
      </c>
    </row>
    <row r="1820" spans="1:10">
      <c r="A1820" s="90" t="s">
        <v>216</v>
      </c>
      <c r="B1820" s="87">
        <v>46015</v>
      </c>
      <c r="C1820" t="s">
        <v>2275</v>
      </c>
      <c r="D1820" t="s">
        <v>2110</v>
      </c>
      <c r="E1820" t="s">
        <v>477</v>
      </c>
      <c r="F1820" t="s">
        <v>1014</v>
      </c>
      <c r="G1820" t="s">
        <v>74</v>
      </c>
      <c r="H1820" t="s">
        <v>470</v>
      </c>
      <c r="I1820" t="s">
        <v>471</v>
      </c>
      <c r="J1820">
        <v>20</v>
      </c>
    </row>
    <row r="1821" spans="1:10">
      <c r="A1821" s="90" t="s">
        <v>216</v>
      </c>
      <c r="B1821" s="87">
        <v>46015</v>
      </c>
      <c r="C1821" t="s">
        <v>517</v>
      </c>
      <c r="D1821" t="s">
        <v>2110</v>
      </c>
      <c r="E1821" t="s">
        <v>512</v>
      </c>
      <c r="F1821" t="s">
        <v>1014</v>
      </c>
      <c r="G1821" t="s">
        <v>474</v>
      </c>
      <c r="H1821" t="s">
        <v>470</v>
      </c>
      <c r="I1821" t="s">
        <v>475</v>
      </c>
      <c r="J1821">
        <v>137535</v>
      </c>
    </row>
    <row r="1822" spans="1:10">
      <c r="A1822" s="90" t="s">
        <v>216</v>
      </c>
      <c r="B1822" s="87">
        <v>46017</v>
      </c>
      <c r="C1822" t="s">
        <v>3507</v>
      </c>
      <c r="D1822" t="s">
        <v>2110</v>
      </c>
      <c r="E1822" t="s">
        <v>1002</v>
      </c>
      <c r="F1822" t="s">
        <v>518</v>
      </c>
      <c r="G1822" t="s">
        <v>2115</v>
      </c>
      <c r="H1822" t="s">
        <v>470</v>
      </c>
      <c r="I1822" t="s">
        <v>796</v>
      </c>
      <c r="J1822">
        <v>1350</v>
      </c>
    </row>
    <row r="1823" spans="1:10">
      <c r="A1823" s="90" t="s">
        <v>216</v>
      </c>
      <c r="B1823" s="87">
        <v>46017</v>
      </c>
      <c r="C1823" t="s">
        <v>3507</v>
      </c>
      <c r="D1823" t="s">
        <v>2110</v>
      </c>
      <c r="E1823" t="s">
        <v>1002</v>
      </c>
      <c r="F1823" t="s">
        <v>518</v>
      </c>
      <c r="G1823" t="s">
        <v>2115</v>
      </c>
      <c r="H1823" t="s">
        <v>470</v>
      </c>
      <c r="I1823" t="s">
        <v>796</v>
      </c>
      <c r="J1823">
        <v>1170</v>
      </c>
    </row>
    <row r="1824" spans="1:10">
      <c r="A1824" s="90" t="s">
        <v>216</v>
      </c>
      <c r="B1824" s="87">
        <v>46017</v>
      </c>
      <c r="C1824" t="s">
        <v>3507</v>
      </c>
      <c r="D1824" t="s">
        <v>2110</v>
      </c>
      <c r="E1824" t="s">
        <v>1002</v>
      </c>
      <c r="F1824" t="s">
        <v>518</v>
      </c>
      <c r="G1824" t="s">
        <v>223</v>
      </c>
      <c r="H1824" t="s">
        <v>470</v>
      </c>
      <c r="I1824" t="s">
        <v>796</v>
      </c>
      <c r="J1824">
        <v>996.28</v>
      </c>
    </row>
    <row r="1825" spans="1:10">
      <c r="A1825" s="90" t="s">
        <v>216</v>
      </c>
      <c r="B1825" s="87">
        <v>46017</v>
      </c>
      <c r="C1825" t="s">
        <v>3508</v>
      </c>
      <c r="D1825" t="s">
        <v>2110</v>
      </c>
      <c r="E1825" t="s">
        <v>3509</v>
      </c>
      <c r="F1825" t="s">
        <v>3510</v>
      </c>
      <c r="G1825" t="s">
        <v>182</v>
      </c>
      <c r="H1825" t="s">
        <v>470</v>
      </c>
      <c r="I1825" t="s">
        <v>796</v>
      </c>
      <c r="J1825">
        <v>2565.6</v>
      </c>
    </row>
    <row r="1826" spans="1:10">
      <c r="A1826" s="90" t="s">
        <v>216</v>
      </c>
      <c r="B1826" s="87">
        <v>46017</v>
      </c>
      <c r="C1826" t="s">
        <v>3511</v>
      </c>
      <c r="D1826" t="s">
        <v>2110</v>
      </c>
      <c r="E1826" t="s">
        <v>3512</v>
      </c>
      <c r="F1826" t="s">
        <v>318</v>
      </c>
      <c r="G1826" t="s">
        <v>341</v>
      </c>
      <c r="H1826" t="s">
        <v>470</v>
      </c>
      <c r="I1826" t="s">
        <v>487</v>
      </c>
      <c r="J1826">
        <v>13800</v>
      </c>
    </row>
    <row r="1827" spans="1:10">
      <c r="A1827" s="90" t="s">
        <v>216</v>
      </c>
      <c r="B1827" s="87">
        <v>46017</v>
      </c>
      <c r="C1827" t="s">
        <v>3511</v>
      </c>
      <c r="D1827" t="s">
        <v>2110</v>
      </c>
      <c r="E1827" t="s">
        <v>3512</v>
      </c>
      <c r="F1827" t="s">
        <v>318</v>
      </c>
      <c r="G1827" t="s">
        <v>342</v>
      </c>
      <c r="H1827" t="s">
        <v>470</v>
      </c>
      <c r="I1827" t="s">
        <v>487</v>
      </c>
      <c r="J1827">
        <v>3060</v>
      </c>
    </row>
    <row r="1828" spans="1:10">
      <c r="A1828" s="90" t="s">
        <v>216</v>
      </c>
      <c r="B1828" s="87">
        <v>46017</v>
      </c>
      <c r="C1828" t="s">
        <v>3511</v>
      </c>
      <c r="D1828" t="s">
        <v>2110</v>
      </c>
      <c r="E1828" t="s">
        <v>3512</v>
      </c>
      <c r="F1828" t="s">
        <v>318</v>
      </c>
      <c r="G1828" t="s">
        <v>223</v>
      </c>
      <c r="H1828" t="s">
        <v>470</v>
      </c>
      <c r="I1828" t="s">
        <v>487</v>
      </c>
      <c r="J1828">
        <v>459.52</v>
      </c>
    </row>
    <row r="1829" spans="1:10">
      <c r="A1829" s="90" t="s">
        <v>216</v>
      </c>
      <c r="B1829" s="87">
        <v>46017</v>
      </c>
      <c r="C1829" t="s">
        <v>3511</v>
      </c>
      <c r="D1829" t="s">
        <v>2110</v>
      </c>
      <c r="E1829" t="s">
        <v>3512</v>
      </c>
      <c r="F1829" t="s">
        <v>318</v>
      </c>
      <c r="G1829" t="s">
        <v>182</v>
      </c>
      <c r="H1829" t="s">
        <v>470</v>
      </c>
      <c r="I1829" t="s">
        <v>487</v>
      </c>
      <c r="J1829">
        <v>1414.4</v>
      </c>
    </row>
    <row r="1830" spans="1:10">
      <c r="A1830" s="90" t="s">
        <v>216</v>
      </c>
      <c r="B1830" s="87">
        <v>46017</v>
      </c>
      <c r="C1830" t="s">
        <v>3513</v>
      </c>
      <c r="D1830" t="s">
        <v>2110</v>
      </c>
      <c r="E1830" t="s">
        <v>477</v>
      </c>
      <c r="F1830" t="s">
        <v>2325</v>
      </c>
      <c r="G1830" t="s">
        <v>515</v>
      </c>
      <c r="H1830" t="s">
        <v>3514</v>
      </c>
      <c r="I1830" t="s">
        <v>471</v>
      </c>
      <c r="J1830">
        <v>33666.57</v>
      </c>
    </row>
    <row r="1831" spans="1:10">
      <c r="A1831" s="90" t="s">
        <v>216</v>
      </c>
      <c r="B1831" s="87">
        <v>46017</v>
      </c>
      <c r="C1831" t="s">
        <v>3513</v>
      </c>
      <c r="D1831" t="s">
        <v>2110</v>
      </c>
      <c r="E1831" t="s">
        <v>477</v>
      </c>
      <c r="F1831" t="s">
        <v>2325</v>
      </c>
      <c r="G1831" t="s">
        <v>69</v>
      </c>
      <c r="H1831" t="s">
        <v>3514</v>
      </c>
      <c r="I1831" t="s">
        <v>471</v>
      </c>
      <c r="J1831">
        <v>3770.77</v>
      </c>
    </row>
    <row r="1832" spans="1:10">
      <c r="A1832" s="90" t="s">
        <v>216</v>
      </c>
      <c r="B1832" s="87">
        <v>46017</v>
      </c>
      <c r="C1832" t="s">
        <v>2275</v>
      </c>
      <c r="D1832" t="s">
        <v>2110</v>
      </c>
      <c r="E1832" t="s">
        <v>477</v>
      </c>
      <c r="F1832" t="s">
        <v>1014</v>
      </c>
      <c r="G1832" t="s">
        <v>74</v>
      </c>
      <c r="H1832" t="s">
        <v>470</v>
      </c>
      <c r="I1832" t="s">
        <v>471</v>
      </c>
      <c r="J1832">
        <v>10</v>
      </c>
    </row>
    <row r="1833" spans="1:10">
      <c r="A1833" s="90" t="s">
        <v>216</v>
      </c>
      <c r="B1833" s="87">
        <v>46017</v>
      </c>
      <c r="C1833" t="s">
        <v>2275</v>
      </c>
      <c r="D1833" t="s">
        <v>2110</v>
      </c>
      <c r="E1833" t="s">
        <v>477</v>
      </c>
      <c r="F1833" t="s">
        <v>1014</v>
      </c>
      <c r="G1833" t="s">
        <v>74</v>
      </c>
      <c r="H1833" t="s">
        <v>470</v>
      </c>
      <c r="I1833" t="s">
        <v>471</v>
      </c>
      <c r="J1833">
        <v>6.5</v>
      </c>
    </row>
    <row r="1834" spans="1:10">
      <c r="A1834" s="90" t="s">
        <v>216</v>
      </c>
      <c r="B1834" s="87">
        <v>46017</v>
      </c>
      <c r="C1834" t="s">
        <v>511</v>
      </c>
      <c r="D1834" t="s">
        <v>2110</v>
      </c>
      <c r="E1834" t="s">
        <v>512</v>
      </c>
      <c r="F1834" t="s">
        <v>1014</v>
      </c>
      <c r="G1834" t="s">
        <v>474</v>
      </c>
      <c r="H1834" t="s">
        <v>470</v>
      </c>
      <c r="I1834" t="s">
        <v>475</v>
      </c>
      <c r="J1834">
        <v>62269.64</v>
      </c>
    </row>
    <row r="1835" spans="1:10">
      <c r="A1835" s="90" t="s">
        <v>216</v>
      </c>
      <c r="B1835" s="87">
        <v>46020</v>
      </c>
      <c r="C1835" t="s">
        <v>3515</v>
      </c>
      <c r="D1835" t="s">
        <v>2110</v>
      </c>
      <c r="E1835" t="s">
        <v>3484</v>
      </c>
      <c r="F1835" t="s">
        <v>1088</v>
      </c>
      <c r="G1835" t="s">
        <v>2125</v>
      </c>
      <c r="H1835" t="s">
        <v>470</v>
      </c>
      <c r="I1835" t="s">
        <v>487</v>
      </c>
      <c r="J1835">
        <v>6712.72</v>
      </c>
    </row>
    <row r="1836" spans="1:10">
      <c r="A1836" s="90" t="s">
        <v>216</v>
      </c>
      <c r="B1836" s="87">
        <v>46020</v>
      </c>
      <c r="C1836" t="s">
        <v>3516</v>
      </c>
      <c r="D1836" t="s">
        <v>2110</v>
      </c>
      <c r="E1836" t="s">
        <v>3517</v>
      </c>
      <c r="F1836" t="s">
        <v>318</v>
      </c>
      <c r="G1836" t="s">
        <v>182</v>
      </c>
      <c r="H1836" t="s">
        <v>470</v>
      </c>
      <c r="I1836" t="s">
        <v>487</v>
      </c>
      <c r="J1836">
        <v>37294.43</v>
      </c>
    </row>
    <row r="1837" spans="1:10">
      <c r="A1837" s="90" t="s">
        <v>216</v>
      </c>
      <c r="B1837" s="87">
        <v>46020</v>
      </c>
      <c r="C1837" t="s">
        <v>3518</v>
      </c>
      <c r="D1837" t="s">
        <v>2110</v>
      </c>
      <c r="E1837" t="s">
        <v>3519</v>
      </c>
      <c r="F1837" t="s">
        <v>338</v>
      </c>
      <c r="G1837" t="s">
        <v>57</v>
      </c>
      <c r="H1837" t="s">
        <v>470</v>
      </c>
      <c r="I1837" t="s">
        <v>487</v>
      </c>
      <c r="J1837">
        <v>24500</v>
      </c>
    </row>
    <row r="1838" spans="1:10">
      <c r="A1838" s="90" t="s">
        <v>216</v>
      </c>
      <c r="B1838" s="87">
        <v>46020</v>
      </c>
      <c r="C1838" t="s">
        <v>3520</v>
      </c>
      <c r="D1838" t="s">
        <v>2110</v>
      </c>
      <c r="E1838" t="s">
        <v>477</v>
      </c>
      <c r="F1838" t="s">
        <v>1014</v>
      </c>
      <c r="G1838" t="s">
        <v>232</v>
      </c>
      <c r="H1838" t="s">
        <v>470</v>
      </c>
      <c r="I1838" t="s">
        <v>471</v>
      </c>
      <c r="J1838">
        <v>500</v>
      </c>
    </row>
    <row r="1839" spans="1:10">
      <c r="A1839" s="90" t="s">
        <v>216</v>
      </c>
      <c r="B1839" s="87">
        <v>46020</v>
      </c>
      <c r="C1839" t="s">
        <v>3520</v>
      </c>
      <c r="D1839" t="s">
        <v>2110</v>
      </c>
      <c r="E1839" t="s">
        <v>477</v>
      </c>
      <c r="F1839" t="s">
        <v>1014</v>
      </c>
      <c r="G1839" t="s">
        <v>285</v>
      </c>
      <c r="H1839" t="s">
        <v>470</v>
      </c>
      <c r="I1839" t="s">
        <v>471</v>
      </c>
      <c r="J1839">
        <v>918.26</v>
      </c>
    </row>
    <row r="1840" spans="1:10">
      <c r="A1840" s="90" t="s">
        <v>216</v>
      </c>
      <c r="B1840" s="87">
        <v>46020</v>
      </c>
      <c r="C1840" t="s">
        <v>3520</v>
      </c>
      <c r="D1840" t="s">
        <v>2110</v>
      </c>
      <c r="E1840" t="s">
        <v>477</v>
      </c>
      <c r="F1840" t="s">
        <v>1014</v>
      </c>
      <c r="G1840" t="s">
        <v>219</v>
      </c>
      <c r="H1840" t="s">
        <v>470</v>
      </c>
      <c r="I1840" t="s">
        <v>471</v>
      </c>
      <c r="J1840">
        <v>500</v>
      </c>
    </row>
    <row r="1841" spans="1:10">
      <c r="A1841" s="90" t="s">
        <v>216</v>
      </c>
      <c r="B1841" s="87">
        <v>46020</v>
      </c>
      <c r="C1841" t="s">
        <v>3520</v>
      </c>
      <c r="D1841" t="s">
        <v>2110</v>
      </c>
      <c r="E1841" t="s">
        <v>477</v>
      </c>
      <c r="F1841" t="s">
        <v>1014</v>
      </c>
      <c r="G1841" t="s">
        <v>285</v>
      </c>
      <c r="H1841" t="s">
        <v>470</v>
      </c>
      <c r="I1841" t="s">
        <v>471</v>
      </c>
      <c r="J1841">
        <v>3684.1</v>
      </c>
    </row>
    <row r="1842" spans="1:10">
      <c r="A1842" s="90" t="s">
        <v>216</v>
      </c>
      <c r="B1842" s="87">
        <v>46020</v>
      </c>
      <c r="C1842" t="s">
        <v>3520</v>
      </c>
      <c r="D1842" t="s">
        <v>2110</v>
      </c>
      <c r="E1842" t="s">
        <v>477</v>
      </c>
      <c r="F1842" t="s">
        <v>1014</v>
      </c>
      <c r="G1842" t="s">
        <v>74</v>
      </c>
      <c r="H1842" t="s">
        <v>470</v>
      </c>
      <c r="I1842" t="s">
        <v>471</v>
      </c>
      <c r="J1842">
        <v>19</v>
      </c>
    </row>
    <row r="1843" spans="1:10">
      <c r="A1843" s="90" t="s">
        <v>216</v>
      </c>
      <c r="B1843" s="87">
        <v>46020</v>
      </c>
      <c r="C1843" t="s">
        <v>511</v>
      </c>
      <c r="D1843" t="s">
        <v>2110</v>
      </c>
      <c r="E1843" t="s">
        <v>512</v>
      </c>
      <c r="F1843" t="s">
        <v>1014</v>
      </c>
      <c r="G1843" t="s">
        <v>474</v>
      </c>
      <c r="H1843" t="s">
        <v>470</v>
      </c>
      <c r="I1843" t="s">
        <v>475</v>
      </c>
      <c r="J1843">
        <v>13685.11</v>
      </c>
    </row>
    <row r="1844" spans="1:10">
      <c r="A1844" s="90" t="s">
        <v>216</v>
      </c>
      <c r="B1844" s="87">
        <v>46021</v>
      </c>
      <c r="C1844" t="s">
        <v>3521</v>
      </c>
      <c r="D1844" t="s">
        <v>2110</v>
      </c>
      <c r="E1844" t="s">
        <v>1137</v>
      </c>
      <c r="F1844" t="s">
        <v>3522</v>
      </c>
      <c r="G1844" t="s">
        <v>61</v>
      </c>
      <c r="H1844" t="s">
        <v>2279</v>
      </c>
      <c r="I1844" t="s">
        <v>487</v>
      </c>
      <c r="J1844">
        <v>1518</v>
      </c>
    </row>
    <row r="1845" spans="1:10">
      <c r="A1845" s="90" t="s">
        <v>216</v>
      </c>
      <c r="B1845" s="87">
        <v>46021</v>
      </c>
      <c r="C1845" t="s">
        <v>2803</v>
      </c>
      <c r="D1845" t="s">
        <v>2110</v>
      </c>
      <c r="E1845" t="s">
        <v>480</v>
      </c>
      <c r="F1845" t="s">
        <v>1014</v>
      </c>
      <c r="G1845" t="s">
        <v>180</v>
      </c>
      <c r="H1845" t="s">
        <v>470</v>
      </c>
      <c r="I1845" t="s">
        <v>475</v>
      </c>
      <c r="J1845">
        <v>2899.4</v>
      </c>
    </row>
    <row r="1846" spans="1:10">
      <c r="A1846" s="90" t="s">
        <v>216</v>
      </c>
      <c r="B1846" s="87">
        <v>46021</v>
      </c>
      <c r="C1846" t="s">
        <v>3523</v>
      </c>
      <c r="D1846" t="s">
        <v>2110</v>
      </c>
      <c r="E1846" t="s">
        <v>3524</v>
      </c>
      <c r="F1846" t="s">
        <v>1095</v>
      </c>
      <c r="G1846" t="s">
        <v>2125</v>
      </c>
      <c r="H1846" t="s">
        <v>470</v>
      </c>
      <c r="I1846" t="s">
        <v>487</v>
      </c>
      <c r="J1846">
        <v>8823.36</v>
      </c>
    </row>
    <row r="1847" spans="1:10">
      <c r="A1847" s="90" t="s">
        <v>216</v>
      </c>
      <c r="B1847" s="87">
        <v>46021</v>
      </c>
      <c r="C1847" t="s">
        <v>3525</v>
      </c>
      <c r="D1847" t="s">
        <v>2110</v>
      </c>
      <c r="E1847" t="s">
        <v>2300</v>
      </c>
      <c r="F1847" t="s">
        <v>1014</v>
      </c>
      <c r="G1847" t="s">
        <v>220</v>
      </c>
      <c r="H1847" t="s">
        <v>3526</v>
      </c>
      <c r="I1847" t="s">
        <v>796</v>
      </c>
      <c r="J1847">
        <v>3061.08</v>
      </c>
    </row>
    <row r="1848" spans="1:10">
      <c r="A1848" s="90" t="s">
        <v>216</v>
      </c>
      <c r="B1848" s="87">
        <v>46021</v>
      </c>
      <c r="C1848" t="s">
        <v>2336</v>
      </c>
      <c r="D1848" t="s">
        <v>2110</v>
      </c>
      <c r="E1848" t="s">
        <v>480</v>
      </c>
      <c r="F1848" t="s">
        <v>1014</v>
      </c>
      <c r="G1848" t="s">
        <v>71</v>
      </c>
      <c r="H1848" t="s">
        <v>2279</v>
      </c>
      <c r="I1848" t="s">
        <v>475</v>
      </c>
      <c r="J1848">
        <v>2314</v>
      </c>
    </row>
    <row r="1849" spans="1:10">
      <c r="A1849" s="90" t="s">
        <v>216</v>
      </c>
      <c r="B1849" s="87">
        <v>46021</v>
      </c>
      <c r="C1849" t="s">
        <v>3527</v>
      </c>
      <c r="D1849" t="s">
        <v>2110</v>
      </c>
      <c r="E1849" t="s">
        <v>477</v>
      </c>
      <c r="F1849" t="s">
        <v>304</v>
      </c>
      <c r="G1849" t="s">
        <v>333</v>
      </c>
      <c r="H1849" t="s">
        <v>470</v>
      </c>
      <c r="I1849" t="s">
        <v>471</v>
      </c>
      <c r="J1849">
        <v>2203.17</v>
      </c>
    </row>
    <row r="1850" spans="1:10">
      <c r="A1850" s="90" t="s">
        <v>216</v>
      </c>
      <c r="B1850" s="87">
        <v>46021</v>
      </c>
      <c r="C1850" t="s">
        <v>2275</v>
      </c>
      <c r="D1850" t="s">
        <v>2110</v>
      </c>
      <c r="E1850" t="s">
        <v>477</v>
      </c>
      <c r="F1850" t="s">
        <v>1014</v>
      </c>
      <c r="G1850" t="s">
        <v>74</v>
      </c>
      <c r="H1850" t="s">
        <v>470</v>
      </c>
      <c r="I1850" t="s">
        <v>471</v>
      </c>
      <c r="J1850">
        <v>30</v>
      </c>
    </row>
    <row r="1851" spans="1:10">
      <c r="A1851" s="90" t="s">
        <v>216</v>
      </c>
      <c r="B1851" s="87">
        <v>46021</v>
      </c>
      <c r="C1851" t="s">
        <v>2275</v>
      </c>
      <c r="D1851" t="s">
        <v>2110</v>
      </c>
      <c r="E1851" t="s">
        <v>477</v>
      </c>
      <c r="F1851" t="s">
        <v>1014</v>
      </c>
      <c r="G1851" t="s">
        <v>74</v>
      </c>
      <c r="H1851" t="s">
        <v>470</v>
      </c>
      <c r="I1851" t="s">
        <v>471</v>
      </c>
      <c r="J1851">
        <v>20</v>
      </c>
    </row>
    <row r="1852" spans="1:10">
      <c r="A1852" s="90" t="s">
        <v>216</v>
      </c>
      <c r="B1852" s="87">
        <v>46021</v>
      </c>
      <c r="C1852" t="s">
        <v>511</v>
      </c>
      <c r="D1852" t="s">
        <v>2110</v>
      </c>
      <c r="E1852" t="s">
        <v>512</v>
      </c>
      <c r="F1852" t="s">
        <v>1014</v>
      </c>
      <c r="G1852" t="s">
        <v>474</v>
      </c>
      <c r="H1852" t="s">
        <v>470</v>
      </c>
      <c r="I1852" t="s">
        <v>475</v>
      </c>
      <c r="J1852">
        <v>20869.009999999998</v>
      </c>
    </row>
    <row r="1853" spans="1:10">
      <c r="A1853" s="90" t="s">
        <v>216</v>
      </c>
      <c r="B1853" s="87">
        <v>46022</v>
      </c>
      <c r="C1853" t="s">
        <v>3528</v>
      </c>
      <c r="D1853" t="s">
        <v>2110</v>
      </c>
      <c r="E1853" t="s">
        <v>3324</v>
      </c>
      <c r="F1853" t="s">
        <v>1095</v>
      </c>
      <c r="G1853" t="s">
        <v>2112</v>
      </c>
      <c r="H1853" t="s">
        <v>470</v>
      </c>
      <c r="I1853" t="s">
        <v>487</v>
      </c>
      <c r="J1853">
        <v>37936.94</v>
      </c>
    </row>
    <row r="1854" spans="1:10">
      <c r="A1854" s="90" t="s">
        <v>216</v>
      </c>
      <c r="B1854" s="87">
        <v>46022</v>
      </c>
      <c r="C1854" t="s">
        <v>2275</v>
      </c>
      <c r="D1854" t="s">
        <v>2110</v>
      </c>
      <c r="E1854" t="s">
        <v>477</v>
      </c>
      <c r="F1854" t="s">
        <v>1014</v>
      </c>
      <c r="G1854" t="s">
        <v>74</v>
      </c>
      <c r="H1854" t="s">
        <v>470</v>
      </c>
      <c r="I1854" t="s">
        <v>471</v>
      </c>
      <c r="J1854">
        <v>10</v>
      </c>
    </row>
    <row r="1855" spans="1:10">
      <c r="A1855" s="90" t="s">
        <v>216</v>
      </c>
      <c r="B1855" s="87">
        <v>46022</v>
      </c>
      <c r="C1855" t="s">
        <v>511</v>
      </c>
      <c r="D1855" t="s">
        <v>2110</v>
      </c>
      <c r="E1855" t="s">
        <v>512</v>
      </c>
      <c r="F1855" t="s">
        <v>1014</v>
      </c>
      <c r="G1855" t="s">
        <v>474</v>
      </c>
      <c r="H1855" t="s">
        <v>470</v>
      </c>
      <c r="I1855" t="s">
        <v>475</v>
      </c>
      <c r="J1855">
        <v>37946.94</v>
      </c>
    </row>
    <row r="1856" spans="1:10">
      <c r="A1856" s="90" t="s">
        <v>216</v>
      </c>
      <c r="B1856" s="87">
        <v>46022</v>
      </c>
      <c r="C1856" t="s">
        <v>526</v>
      </c>
      <c r="D1856" t="s">
        <v>2110</v>
      </c>
      <c r="E1856" t="s">
        <v>512</v>
      </c>
      <c r="F1856" t="s">
        <v>1014</v>
      </c>
      <c r="G1856" t="s">
        <v>474</v>
      </c>
      <c r="H1856" t="s">
        <v>470</v>
      </c>
      <c r="I1856" t="s">
        <v>475</v>
      </c>
      <c r="J1856">
        <v>0.01</v>
      </c>
    </row>
    <row r="1857" spans="1:10">
      <c r="A1857" s="90" t="s">
        <v>216</v>
      </c>
      <c r="B1857" s="87">
        <v>46022</v>
      </c>
      <c r="C1857" t="s">
        <v>2347</v>
      </c>
      <c r="D1857" t="s">
        <v>2110</v>
      </c>
      <c r="E1857" t="s">
        <v>477</v>
      </c>
      <c r="F1857" t="s">
        <v>1014</v>
      </c>
      <c r="G1857" t="s">
        <v>68</v>
      </c>
      <c r="H1857" t="s">
        <v>470</v>
      </c>
      <c r="I1857" t="s">
        <v>471</v>
      </c>
      <c r="J1857">
        <v>96.87</v>
      </c>
    </row>
    <row r="1858" spans="1:10">
      <c r="A1858" s="90" t="s">
        <v>216</v>
      </c>
      <c r="B1858" s="87">
        <v>46022</v>
      </c>
      <c r="C1858" t="s">
        <v>2348</v>
      </c>
      <c r="D1858" t="s">
        <v>2110</v>
      </c>
      <c r="E1858" t="s">
        <v>477</v>
      </c>
      <c r="F1858" t="s">
        <v>1014</v>
      </c>
      <c r="G1858" t="s">
        <v>66</v>
      </c>
      <c r="H1858" t="s">
        <v>470</v>
      </c>
      <c r="I1858" t="s">
        <v>471</v>
      </c>
      <c r="J1858">
        <v>533.9</v>
      </c>
    </row>
    <row r="1859" spans="1:10">
      <c r="A1859" s="90" t="s">
        <v>216</v>
      </c>
      <c r="B1859" s="87">
        <v>46024</v>
      </c>
      <c r="C1859" t="s">
        <v>3529</v>
      </c>
      <c r="D1859" t="s">
        <v>2110</v>
      </c>
      <c r="E1859" t="s">
        <v>2262</v>
      </c>
      <c r="F1859" t="s">
        <v>3530</v>
      </c>
      <c r="G1859" t="s">
        <v>73</v>
      </c>
      <c r="H1859" t="s">
        <v>2264</v>
      </c>
      <c r="I1859" t="s">
        <v>796</v>
      </c>
      <c r="J1859">
        <v>633.01</v>
      </c>
    </row>
    <row r="1860" spans="1:10">
      <c r="A1860" s="90" t="s">
        <v>216</v>
      </c>
      <c r="B1860" s="87">
        <v>46024</v>
      </c>
      <c r="C1860" t="s">
        <v>3531</v>
      </c>
      <c r="D1860" t="s">
        <v>2110</v>
      </c>
      <c r="E1860" t="s">
        <v>477</v>
      </c>
      <c r="F1860" t="s">
        <v>2273</v>
      </c>
      <c r="G1860" t="s">
        <v>2269</v>
      </c>
      <c r="H1860" t="s">
        <v>2270</v>
      </c>
      <c r="I1860" t="s">
        <v>471</v>
      </c>
      <c r="J1860">
        <v>10125</v>
      </c>
    </row>
    <row r="1861" spans="1:10">
      <c r="A1861" s="90" t="s">
        <v>216</v>
      </c>
      <c r="B1861" s="87">
        <v>46024</v>
      </c>
      <c r="C1861" t="s">
        <v>3531</v>
      </c>
      <c r="D1861" t="s">
        <v>2110</v>
      </c>
      <c r="E1861" t="s">
        <v>477</v>
      </c>
      <c r="F1861" t="s">
        <v>2273</v>
      </c>
      <c r="G1861" t="s">
        <v>2271</v>
      </c>
      <c r="H1861" t="s">
        <v>2270</v>
      </c>
      <c r="I1861" t="s">
        <v>471</v>
      </c>
      <c r="J1861">
        <v>225.05</v>
      </c>
    </row>
    <row r="1862" spans="1:10">
      <c r="A1862" s="90" t="s">
        <v>216</v>
      </c>
      <c r="B1862" s="87">
        <v>46024</v>
      </c>
      <c r="C1862" t="s">
        <v>3532</v>
      </c>
      <c r="D1862" t="s">
        <v>2110</v>
      </c>
      <c r="E1862" t="s">
        <v>477</v>
      </c>
      <c r="F1862" t="s">
        <v>1000</v>
      </c>
      <c r="G1862" t="s">
        <v>515</v>
      </c>
      <c r="H1862" t="s">
        <v>2264</v>
      </c>
      <c r="I1862" t="s">
        <v>471</v>
      </c>
      <c r="J1862">
        <v>125000</v>
      </c>
    </row>
    <row r="1863" spans="1:10">
      <c r="A1863" s="90" t="s">
        <v>216</v>
      </c>
      <c r="B1863" s="87">
        <v>46024</v>
      </c>
      <c r="C1863" t="s">
        <v>3532</v>
      </c>
      <c r="D1863" t="s">
        <v>2110</v>
      </c>
      <c r="E1863" t="s">
        <v>477</v>
      </c>
      <c r="F1863" t="s">
        <v>1000</v>
      </c>
      <c r="G1863" t="s">
        <v>69</v>
      </c>
      <c r="H1863" t="s">
        <v>2264</v>
      </c>
      <c r="I1863" t="s">
        <v>471</v>
      </c>
      <c r="J1863">
        <v>21596.49</v>
      </c>
    </row>
    <row r="1864" spans="1:10">
      <c r="A1864" s="90" t="s">
        <v>216</v>
      </c>
      <c r="B1864" s="87">
        <v>46024</v>
      </c>
      <c r="C1864" t="s">
        <v>2275</v>
      </c>
      <c r="D1864" t="s">
        <v>2110</v>
      </c>
      <c r="E1864" t="s">
        <v>477</v>
      </c>
      <c r="F1864" t="s">
        <v>1093</v>
      </c>
      <c r="G1864" t="s">
        <v>74</v>
      </c>
      <c r="H1864" t="s">
        <v>470</v>
      </c>
      <c r="I1864" t="s">
        <v>471</v>
      </c>
      <c r="J1864">
        <v>15</v>
      </c>
    </row>
    <row r="1865" spans="1:10">
      <c r="A1865" s="90" t="s">
        <v>216</v>
      </c>
      <c r="B1865" s="87">
        <v>46024</v>
      </c>
      <c r="C1865" t="s">
        <v>3306</v>
      </c>
      <c r="D1865" t="s">
        <v>2110</v>
      </c>
      <c r="E1865" t="s">
        <v>477</v>
      </c>
      <c r="F1865" t="s">
        <v>1000</v>
      </c>
      <c r="G1865" t="s">
        <v>334</v>
      </c>
      <c r="H1865" t="s">
        <v>470</v>
      </c>
      <c r="I1865" t="s">
        <v>471</v>
      </c>
      <c r="J1865">
        <v>2547.5700000000002</v>
      </c>
    </row>
    <row r="1866" spans="1:10">
      <c r="A1866" s="90" t="s">
        <v>216</v>
      </c>
      <c r="B1866" s="87">
        <v>46024</v>
      </c>
      <c r="C1866" t="s">
        <v>511</v>
      </c>
      <c r="D1866" t="s">
        <v>2110</v>
      </c>
      <c r="E1866" t="s">
        <v>512</v>
      </c>
      <c r="F1866" t="s">
        <v>1014</v>
      </c>
      <c r="G1866" t="s">
        <v>474</v>
      </c>
      <c r="H1866" t="s">
        <v>470</v>
      </c>
      <c r="I1866" t="s">
        <v>475</v>
      </c>
      <c r="J1866">
        <v>149792.07</v>
      </c>
    </row>
    <row r="1867" spans="1:10">
      <c r="A1867" s="90" t="s">
        <v>216</v>
      </c>
      <c r="B1867" s="87">
        <v>46027</v>
      </c>
      <c r="C1867" t="s">
        <v>3533</v>
      </c>
      <c r="D1867" t="s">
        <v>2110</v>
      </c>
      <c r="E1867" t="s">
        <v>3534</v>
      </c>
      <c r="F1867" t="s">
        <v>3535</v>
      </c>
      <c r="G1867" t="s">
        <v>219</v>
      </c>
      <c r="H1867" t="s">
        <v>470</v>
      </c>
      <c r="I1867" t="s">
        <v>487</v>
      </c>
      <c r="J1867">
        <v>800</v>
      </c>
    </row>
    <row r="1868" spans="1:10">
      <c r="A1868" s="90" t="s">
        <v>216</v>
      </c>
      <c r="B1868" s="87">
        <v>46027</v>
      </c>
      <c r="C1868" t="s">
        <v>3536</v>
      </c>
      <c r="D1868" t="s">
        <v>2110</v>
      </c>
      <c r="E1868" t="s">
        <v>2277</v>
      </c>
      <c r="F1868" t="s">
        <v>3537</v>
      </c>
      <c r="G1868" t="s">
        <v>65</v>
      </c>
      <c r="H1868" t="s">
        <v>2279</v>
      </c>
      <c r="I1868" t="s">
        <v>796</v>
      </c>
      <c r="J1868">
        <v>182.66</v>
      </c>
    </row>
    <row r="1869" spans="1:10">
      <c r="A1869" s="90" t="s">
        <v>216</v>
      </c>
      <c r="B1869" s="87">
        <v>46027</v>
      </c>
      <c r="C1869" t="s">
        <v>2275</v>
      </c>
      <c r="D1869" t="s">
        <v>2110</v>
      </c>
      <c r="E1869" t="s">
        <v>477</v>
      </c>
      <c r="F1869" t="s">
        <v>1093</v>
      </c>
      <c r="G1869" t="s">
        <v>74</v>
      </c>
      <c r="H1869" t="s">
        <v>470</v>
      </c>
      <c r="I1869" t="s">
        <v>471</v>
      </c>
      <c r="J1869">
        <v>7.92</v>
      </c>
    </row>
    <row r="1870" spans="1:10">
      <c r="A1870" s="90" t="s">
        <v>216</v>
      </c>
      <c r="B1870" s="87">
        <v>46027</v>
      </c>
      <c r="C1870" t="s">
        <v>511</v>
      </c>
      <c r="D1870" t="s">
        <v>2110</v>
      </c>
      <c r="E1870" t="s">
        <v>512</v>
      </c>
      <c r="F1870" t="s">
        <v>1093</v>
      </c>
      <c r="G1870" t="s">
        <v>474</v>
      </c>
      <c r="H1870" t="s">
        <v>470</v>
      </c>
      <c r="I1870" t="s">
        <v>475</v>
      </c>
      <c r="J1870">
        <v>990.58</v>
      </c>
    </row>
    <row r="1871" spans="1:10">
      <c r="A1871" s="90" t="s">
        <v>216</v>
      </c>
      <c r="B1871" s="87">
        <v>46027</v>
      </c>
      <c r="C1871" t="s">
        <v>2275</v>
      </c>
      <c r="D1871" t="s">
        <v>2110</v>
      </c>
      <c r="E1871" t="s">
        <v>2393</v>
      </c>
      <c r="F1871" t="s">
        <v>1093</v>
      </c>
      <c r="G1871" t="s">
        <v>74</v>
      </c>
      <c r="H1871" t="s">
        <v>470</v>
      </c>
      <c r="I1871" t="s">
        <v>471</v>
      </c>
      <c r="J1871">
        <v>40</v>
      </c>
    </row>
    <row r="1872" spans="1:10">
      <c r="A1872" s="90" t="s">
        <v>216</v>
      </c>
      <c r="B1872" s="87">
        <v>46028</v>
      </c>
      <c r="C1872" t="s">
        <v>3538</v>
      </c>
      <c r="D1872" t="s">
        <v>2110</v>
      </c>
      <c r="E1872" t="s">
        <v>3524</v>
      </c>
      <c r="F1872" t="s">
        <v>1095</v>
      </c>
      <c r="G1872" t="s">
        <v>2125</v>
      </c>
      <c r="H1872" t="s">
        <v>470</v>
      </c>
      <c r="I1872" t="s">
        <v>487</v>
      </c>
      <c r="J1872">
        <v>3567.04</v>
      </c>
    </row>
    <row r="1873" spans="1:10">
      <c r="A1873" s="90" t="s">
        <v>216</v>
      </c>
      <c r="B1873" s="87">
        <v>46028</v>
      </c>
      <c r="C1873" t="s">
        <v>3539</v>
      </c>
      <c r="D1873" t="s">
        <v>2110</v>
      </c>
      <c r="E1873" t="s">
        <v>3107</v>
      </c>
      <c r="F1873" t="s">
        <v>1014</v>
      </c>
      <c r="G1873" t="s">
        <v>60</v>
      </c>
      <c r="H1873" t="s">
        <v>2279</v>
      </c>
      <c r="I1873" t="s">
        <v>796</v>
      </c>
      <c r="J1873">
        <v>109.65</v>
      </c>
    </row>
    <row r="1874" spans="1:10">
      <c r="A1874" s="90" t="s">
        <v>216</v>
      </c>
      <c r="B1874" s="87">
        <v>46028</v>
      </c>
      <c r="C1874" t="s">
        <v>2876</v>
      </c>
      <c r="D1874" t="s">
        <v>2110</v>
      </c>
      <c r="E1874" t="s">
        <v>1756</v>
      </c>
      <c r="F1874" t="s">
        <v>1014</v>
      </c>
      <c r="G1874" t="s">
        <v>67</v>
      </c>
      <c r="H1874" t="s">
        <v>470</v>
      </c>
      <c r="I1874" t="s">
        <v>796</v>
      </c>
      <c r="J1874">
        <v>511.66</v>
      </c>
    </row>
    <row r="1875" spans="1:10">
      <c r="A1875" s="90" t="s">
        <v>216</v>
      </c>
      <c r="B1875" s="87">
        <v>46028</v>
      </c>
      <c r="C1875" t="s">
        <v>3540</v>
      </c>
      <c r="D1875" t="s">
        <v>2110</v>
      </c>
      <c r="E1875" t="s">
        <v>1667</v>
      </c>
      <c r="F1875" t="s">
        <v>3541</v>
      </c>
      <c r="G1875" t="s">
        <v>2115</v>
      </c>
      <c r="H1875" t="s">
        <v>470</v>
      </c>
      <c r="I1875" t="s">
        <v>475</v>
      </c>
      <c r="J1875">
        <v>58.1</v>
      </c>
    </row>
    <row r="1876" spans="1:10">
      <c r="A1876" s="90" t="s">
        <v>216</v>
      </c>
      <c r="B1876" s="87">
        <v>46028</v>
      </c>
      <c r="C1876" t="s">
        <v>3540</v>
      </c>
      <c r="D1876" t="s">
        <v>2110</v>
      </c>
      <c r="E1876" t="s">
        <v>1667</v>
      </c>
      <c r="F1876" t="s">
        <v>3541</v>
      </c>
      <c r="G1876" t="s">
        <v>2115</v>
      </c>
      <c r="H1876" t="s">
        <v>470</v>
      </c>
      <c r="I1876" t="s">
        <v>475</v>
      </c>
      <c r="J1876">
        <v>262.60000000000002</v>
      </c>
    </row>
    <row r="1877" spans="1:10">
      <c r="A1877" s="90" t="s">
        <v>216</v>
      </c>
      <c r="B1877" s="87">
        <v>46028</v>
      </c>
      <c r="C1877" t="s">
        <v>3540</v>
      </c>
      <c r="D1877" t="s">
        <v>2110</v>
      </c>
      <c r="E1877" t="s">
        <v>1667</v>
      </c>
      <c r="F1877" t="s">
        <v>3541</v>
      </c>
      <c r="G1877" t="s">
        <v>259</v>
      </c>
      <c r="H1877" t="s">
        <v>470</v>
      </c>
      <c r="I1877" t="s">
        <v>475</v>
      </c>
      <c r="J1877">
        <v>1210.06</v>
      </c>
    </row>
    <row r="1878" spans="1:10">
      <c r="A1878" s="90" t="s">
        <v>216</v>
      </c>
      <c r="B1878" s="87">
        <v>46028</v>
      </c>
      <c r="C1878" t="s">
        <v>3540</v>
      </c>
      <c r="D1878" t="s">
        <v>2110</v>
      </c>
      <c r="E1878" t="s">
        <v>1667</v>
      </c>
      <c r="F1878" t="s">
        <v>3541</v>
      </c>
      <c r="G1878" t="s">
        <v>71</v>
      </c>
      <c r="H1878" t="s">
        <v>470</v>
      </c>
      <c r="I1878" t="s">
        <v>475</v>
      </c>
      <c r="J1878">
        <v>56.98</v>
      </c>
    </row>
    <row r="1879" spans="1:10">
      <c r="A1879" s="90" t="s">
        <v>216</v>
      </c>
      <c r="B1879" s="87">
        <v>46028</v>
      </c>
      <c r="C1879" t="s">
        <v>3540</v>
      </c>
      <c r="D1879" t="s">
        <v>2110</v>
      </c>
      <c r="E1879" t="s">
        <v>1667</v>
      </c>
      <c r="F1879" t="s">
        <v>3541</v>
      </c>
      <c r="G1879" t="s">
        <v>285</v>
      </c>
      <c r="H1879" t="s">
        <v>470</v>
      </c>
      <c r="I1879" t="s">
        <v>475</v>
      </c>
      <c r="J1879">
        <v>190.07</v>
      </c>
    </row>
    <row r="1880" spans="1:10">
      <c r="A1880" s="90" t="s">
        <v>216</v>
      </c>
      <c r="B1880" s="87">
        <v>46028</v>
      </c>
      <c r="C1880" t="s">
        <v>2275</v>
      </c>
      <c r="D1880" t="s">
        <v>2110</v>
      </c>
      <c r="E1880" t="s">
        <v>477</v>
      </c>
      <c r="F1880" t="s">
        <v>1093</v>
      </c>
      <c r="G1880" t="s">
        <v>74</v>
      </c>
      <c r="H1880" t="s">
        <v>470</v>
      </c>
      <c r="I1880" t="s">
        <v>471</v>
      </c>
      <c r="J1880">
        <v>5</v>
      </c>
    </row>
    <row r="1881" spans="1:10">
      <c r="A1881" s="90" t="s">
        <v>216</v>
      </c>
      <c r="B1881" s="87">
        <v>46028</v>
      </c>
      <c r="C1881" t="s">
        <v>2275</v>
      </c>
      <c r="D1881" t="s">
        <v>2110</v>
      </c>
      <c r="E1881" t="s">
        <v>477</v>
      </c>
      <c r="F1881" t="s">
        <v>1093</v>
      </c>
      <c r="G1881" t="s">
        <v>74</v>
      </c>
      <c r="H1881" t="s">
        <v>470</v>
      </c>
      <c r="I1881" t="s">
        <v>471</v>
      </c>
      <c r="J1881">
        <v>10</v>
      </c>
    </row>
    <row r="1882" spans="1:10">
      <c r="A1882" s="90" t="s">
        <v>216</v>
      </c>
      <c r="B1882" s="87">
        <v>46028</v>
      </c>
      <c r="C1882" t="s">
        <v>511</v>
      </c>
      <c r="D1882" t="s">
        <v>2110</v>
      </c>
      <c r="E1882" t="s">
        <v>512</v>
      </c>
      <c r="F1882" t="s">
        <v>1093</v>
      </c>
      <c r="G1882" t="s">
        <v>474</v>
      </c>
      <c r="H1882" t="s">
        <v>470</v>
      </c>
      <c r="I1882" t="s">
        <v>475</v>
      </c>
      <c r="J1882">
        <v>5981.16</v>
      </c>
    </row>
    <row r="1883" spans="1:10">
      <c r="A1883" s="90" t="s">
        <v>216</v>
      </c>
      <c r="B1883" s="87">
        <v>46029</v>
      </c>
      <c r="C1883" t="s">
        <v>3542</v>
      </c>
      <c r="D1883" t="s">
        <v>2110</v>
      </c>
      <c r="E1883" t="s">
        <v>3326</v>
      </c>
      <c r="F1883" t="s">
        <v>1097</v>
      </c>
      <c r="G1883" t="s">
        <v>2125</v>
      </c>
      <c r="H1883" t="s">
        <v>470</v>
      </c>
      <c r="I1883" t="s">
        <v>487</v>
      </c>
      <c r="J1883">
        <v>9086</v>
      </c>
    </row>
    <row r="1884" spans="1:10">
      <c r="A1884" s="90" t="s">
        <v>216</v>
      </c>
      <c r="B1884" s="87">
        <v>46029</v>
      </c>
      <c r="C1884" t="s">
        <v>3543</v>
      </c>
      <c r="D1884" t="s">
        <v>2110</v>
      </c>
      <c r="E1884" t="s">
        <v>3324</v>
      </c>
      <c r="F1884" t="s">
        <v>1097</v>
      </c>
      <c r="G1884" t="s">
        <v>2112</v>
      </c>
      <c r="H1884" t="s">
        <v>470</v>
      </c>
      <c r="I1884" t="s">
        <v>487</v>
      </c>
      <c r="J1884">
        <v>37503.54</v>
      </c>
    </row>
    <row r="1885" spans="1:10">
      <c r="A1885" s="90" t="s">
        <v>216</v>
      </c>
      <c r="B1885" s="87">
        <v>46029</v>
      </c>
      <c r="C1885" t="s">
        <v>3544</v>
      </c>
      <c r="D1885" t="s">
        <v>2110</v>
      </c>
      <c r="E1885" t="s">
        <v>1120</v>
      </c>
      <c r="F1885" t="s">
        <v>3545</v>
      </c>
      <c r="G1885" t="s">
        <v>486</v>
      </c>
      <c r="H1885" t="s">
        <v>470</v>
      </c>
      <c r="I1885" t="s">
        <v>487</v>
      </c>
      <c r="J1885">
        <v>765</v>
      </c>
    </row>
    <row r="1886" spans="1:10">
      <c r="A1886" s="90" t="s">
        <v>216</v>
      </c>
      <c r="B1886" s="87">
        <v>46029</v>
      </c>
      <c r="C1886" t="s">
        <v>3546</v>
      </c>
      <c r="D1886" t="s">
        <v>2110</v>
      </c>
      <c r="E1886" t="s">
        <v>3547</v>
      </c>
      <c r="F1886" t="s">
        <v>372</v>
      </c>
      <c r="G1886" t="s">
        <v>2112</v>
      </c>
      <c r="H1886" t="s">
        <v>470</v>
      </c>
      <c r="I1886" t="s">
        <v>487</v>
      </c>
      <c r="J1886">
        <v>140718</v>
      </c>
    </row>
    <row r="1887" spans="1:10">
      <c r="A1887" s="90" t="s">
        <v>216</v>
      </c>
      <c r="B1887" s="87">
        <v>46029</v>
      </c>
      <c r="C1887" t="s">
        <v>511</v>
      </c>
      <c r="D1887" t="s">
        <v>2110</v>
      </c>
      <c r="E1887" t="s">
        <v>512</v>
      </c>
      <c r="F1887" t="s">
        <v>1093</v>
      </c>
      <c r="G1887" t="s">
        <v>474</v>
      </c>
      <c r="H1887" t="s">
        <v>470</v>
      </c>
      <c r="I1887" t="s">
        <v>475</v>
      </c>
      <c r="J1887">
        <v>188072.54</v>
      </c>
    </row>
    <row r="1888" spans="1:10">
      <c r="A1888" s="90" t="s">
        <v>216</v>
      </c>
      <c r="B1888" s="87">
        <v>46030</v>
      </c>
      <c r="C1888" t="s">
        <v>3548</v>
      </c>
      <c r="D1888" t="s">
        <v>2110</v>
      </c>
      <c r="E1888" t="s">
        <v>480</v>
      </c>
      <c r="F1888" t="s">
        <v>1093</v>
      </c>
      <c r="G1888" t="s">
        <v>72</v>
      </c>
      <c r="H1888" t="s">
        <v>470</v>
      </c>
      <c r="I1888" t="s">
        <v>475</v>
      </c>
      <c r="J1888">
        <v>976.78</v>
      </c>
    </row>
    <row r="1889" spans="1:10">
      <c r="A1889" s="90" t="s">
        <v>216</v>
      </c>
      <c r="B1889" s="87">
        <v>46030</v>
      </c>
      <c r="C1889" t="s">
        <v>3548</v>
      </c>
      <c r="D1889" t="s">
        <v>2110</v>
      </c>
      <c r="E1889" t="s">
        <v>480</v>
      </c>
      <c r="F1889" t="s">
        <v>1093</v>
      </c>
      <c r="G1889" t="s">
        <v>58</v>
      </c>
      <c r="H1889" t="s">
        <v>470</v>
      </c>
      <c r="I1889" t="s">
        <v>475</v>
      </c>
      <c r="J1889">
        <v>3894.5</v>
      </c>
    </row>
    <row r="1890" spans="1:10">
      <c r="A1890" s="90" t="s">
        <v>216</v>
      </c>
      <c r="B1890" s="87">
        <v>46030</v>
      </c>
      <c r="C1890" t="s">
        <v>3548</v>
      </c>
      <c r="D1890" t="s">
        <v>2110</v>
      </c>
      <c r="E1890" t="s">
        <v>480</v>
      </c>
      <c r="F1890" t="s">
        <v>1093</v>
      </c>
      <c r="G1890" t="s">
        <v>62</v>
      </c>
      <c r="H1890" t="s">
        <v>470</v>
      </c>
      <c r="I1890" t="s">
        <v>475</v>
      </c>
      <c r="J1890">
        <v>1779</v>
      </c>
    </row>
    <row r="1891" spans="1:10">
      <c r="A1891" s="90" t="s">
        <v>216</v>
      </c>
      <c r="B1891" s="87">
        <v>46030</v>
      </c>
      <c r="C1891" t="s">
        <v>3548</v>
      </c>
      <c r="D1891" t="s">
        <v>2110</v>
      </c>
      <c r="E1891" t="s">
        <v>480</v>
      </c>
      <c r="F1891" t="s">
        <v>1093</v>
      </c>
      <c r="G1891" t="s">
        <v>222</v>
      </c>
      <c r="H1891" t="s">
        <v>470</v>
      </c>
      <c r="I1891" t="s">
        <v>475</v>
      </c>
      <c r="J1891">
        <v>16</v>
      </c>
    </row>
    <row r="1892" spans="1:10">
      <c r="A1892" s="90" t="s">
        <v>216</v>
      </c>
      <c r="B1892" s="87">
        <v>46030</v>
      </c>
      <c r="C1892" t="s">
        <v>3548</v>
      </c>
      <c r="D1892" t="s">
        <v>2110</v>
      </c>
      <c r="E1892" t="s">
        <v>480</v>
      </c>
      <c r="F1892" t="s">
        <v>1093</v>
      </c>
      <c r="G1892" t="s">
        <v>182</v>
      </c>
      <c r="H1892" t="s">
        <v>470</v>
      </c>
      <c r="I1892" t="s">
        <v>475</v>
      </c>
      <c r="J1892">
        <v>66.61</v>
      </c>
    </row>
    <row r="1893" spans="1:10">
      <c r="A1893" s="90" t="s">
        <v>216</v>
      </c>
      <c r="B1893" s="87">
        <v>46030</v>
      </c>
      <c r="C1893" t="s">
        <v>2479</v>
      </c>
      <c r="D1893" t="s">
        <v>2110</v>
      </c>
      <c r="E1893" t="s">
        <v>477</v>
      </c>
      <c r="F1893" t="s">
        <v>1093</v>
      </c>
      <c r="G1893" t="s">
        <v>74</v>
      </c>
      <c r="H1893" t="s">
        <v>470</v>
      </c>
      <c r="I1893" t="s">
        <v>471</v>
      </c>
      <c r="J1893">
        <v>37.57</v>
      </c>
    </row>
    <row r="1894" spans="1:10">
      <c r="A1894" s="90" t="s">
        <v>216</v>
      </c>
      <c r="B1894" s="87">
        <v>46030</v>
      </c>
      <c r="C1894" t="s">
        <v>3549</v>
      </c>
      <c r="D1894" t="s">
        <v>2110</v>
      </c>
      <c r="E1894" t="s">
        <v>477</v>
      </c>
      <c r="F1894" t="s">
        <v>318</v>
      </c>
      <c r="G1894" t="s">
        <v>74</v>
      </c>
      <c r="H1894" t="s">
        <v>470</v>
      </c>
      <c r="I1894" t="s">
        <v>471</v>
      </c>
      <c r="J1894">
        <v>250</v>
      </c>
    </row>
    <row r="1895" spans="1:10">
      <c r="A1895" s="90" t="s">
        <v>216</v>
      </c>
      <c r="B1895" s="87">
        <v>46030</v>
      </c>
      <c r="C1895" t="s">
        <v>517</v>
      </c>
      <c r="D1895" t="s">
        <v>2110</v>
      </c>
      <c r="E1895" t="s">
        <v>512</v>
      </c>
      <c r="F1895" t="s">
        <v>1093</v>
      </c>
      <c r="G1895" t="s">
        <v>474</v>
      </c>
      <c r="H1895" t="s">
        <v>470</v>
      </c>
      <c r="I1895" t="s">
        <v>475</v>
      </c>
      <c r="J1895">
        <v>50575.54</v>
      </c>
    </row>
    <row r="1896" spans="1:10">
      <c r="A1896" s="90" t="s">
        <v>216</v>
      </c>
      <c r="B1896" s="87">
        <v>46031</v>
      </c>
      <c r="C1896" t="s">
        <v>3550</v>
      </c>
      <c r="D1896" t="s">
        <v>2110</v>
      </c>
      <c r="E1896" t="s">
        <v>3326</v>
      </c>
      <c r="F1896" t="s">
        <v>1097</v>
      </c>
      <c r="G1896" t="s">
        <v>2125</v>
      </c>
      <c r="H1896" t="s">
        <v>470</v>
      </c>
      <c r="I1896" t="s">
        <v>487</v>
      </c>
      <c r="J1896">
        <v>3784</v>
      </c>
    </row>
    <row r="1897" spans="1:10">
      <c r="A1897" s="90" t="s">
        <v>216</v>
      </c>
      <c r="B1897" s="87">
        <v>46031</v>
      </c>
      <c r="C1897" t="s">
        <v>3551</v>
      </c>
      <c r="D1897" t="s">
        <v>2110</v>
      </c>
      <c r="E1897" t="s">
        <v>3552</v>
      </c>
      <c r="F1897" t="s">
        <v>1099</v>
      </c>
      <c r="G1897" t="s">
        <v>2125</v>
      </c>
      <c r="H1897" t="s">
        <v>470</v>
      </c>
      <c r="I1897" t="s">
        <v>487</v>
      </c>
      <c r="J1897">
        <v>8457.1200000000008</v>
      </c>
    </row>
    <row r="1898" spans="1:10">
      <c r="A1898" s="90" t="s">
        <v>216</v>
      </c>
      <c r="B1898" s="87">
        <v>46031</v>
      </c>
      <c r="C1898" t="s">
        <v>3553</v>
      </c>
      <c r="D1898" t="s">
        <v>2110</v>
      </c>
      <c r="E1898" t="s">
        <v>3324</v>
      </c>
      <c r="F1898" t="s">
        <v>1099</v>
      </c>
      <c r="G1898" t="s">
        <v>2112</v>
      </c>
      <c r="H1898" t="s">
        <v>470</v>
      </c>
      <c r="I1898" t="s">
        <v>487</v>
      </c>
      <c r="J1898">
        <v>36362.26</v>
      </c>
    </row>
    <row r="1899" spans="1:10">
      <c r="A1899" s="90" t="s">
        <v>216</v>
      </c>
      <c r="B1899" s="87">
        <v>46031</v>
      </c>
      <c r="C1899" t="s">
        <v>3554</v>
      </c>
      <c r="D1899" t="s">
        <v>2110</v>
      </c>
      <c r="E1899" t="s">
        <v>3555</v>
      </c>
      <c r="F1899" t="s">
        <v>1101</v>
      </c>
      <c r="G1899" t="s">
        <v>2125</v>
      </c>
      <c r="H1899" t="s">
        <v>470</v>
      </c>
      <c r="I1899" t="s">
        <v>487</v>
      </c>
      <c r="J1899">
        <v>8769.6</v>
      </c>
    </row>
    <row r="1900" spans="1:10">
      <c r="A1900" s="90" t="s">
        <v>216</v>
      </c>
      <c r="B1900" s="87">
        <v>46031</v>
      </c>
      <c r="C1900" t="s">
        <v>3556</v>
      </c>
      <c r="D1900" t="s">
        <v>2110</v>
      </c>
      <c r="E1900" t="s">
        <v>3324</v>
      </c>
      <c r="F1900" t="s">
        <v>1101</v>
      </c>
      <c r="G1900" t="s">
        <v>2112</v>
      </c>
      <c r="H1900" t="s">
        <v>470</v>
      </c>
      <c r="I1900" t="s">
        <v>487</v>
      </c>
      <c r="J1900">
        <v>37705.800000000003</v>
      </c>
    </row>
    <row r="1901" spans="1:10">
      <c r="A1901" s="90" t="s">
        <v>216</v>
      </c>
      <c r="B1901" s="87">
        <v>46031</v>
      </c>
      <c r="C1901" t="s">
        <v>2364</v>
      </c>
      <c r="D1901" t="s">
        <v>2110</v>
      </c>
      <c r="E1901" t="s">
        <v>480</v>
      </c>
      <c r="F1901" t="s">
        <v>1093</v>
      </c>
      <c r="G1901" t="s">
        <v>71</v>
      </c>
      <c r="H1901" t="s">
        <v>470</v>
      </c>
      <c r="I1901" t="s">
        <v>487</v>
      </c>
      <c r="J1901">
        <v>6000</v>
      </c>
    </row>
    <row r="1902" spans="1:10">
      <c r="A1902" s="90" t="s">
        <v>216</v>
      </c>
      <c r="B1902" s="87">
        <v>46031</v>
      </c>
      <c r="C1902" t="s">
        <v>3557</v>
      </c>
      <c r="D1902" t="s">
        <v>2110</v>
      </c>
      <c r="E1902" t="s">
        <v>3558</v>
      </c>
      <c r="F1902" t="s">
        <v>1103</v>
      </c>
      <c r="G1902" t="s">
        <v>2125</v>
      </c>
      <c r="H1902" t="s">
        <v>470</v>
      </c>
      <c r="I1902" t="s">
        <v>475</v>
      </c>
      <c r="J1902">
        <v>8729.2800000000007</v>
      </c>
    </row>
    <row r="1903" spans="1:10">
      <c r="A1903" s="90" t="s">
        <v>216</v>
      </c>
      <c r="B1903" s="87">
        <v>46031</v>
      </c>
      <c r="C1903" t="s">
        <v>3559</v>
      </c>
      <c r="D1903" t="s">
        <v>2110</v>
      </c>
      <c r="E1903" t="s">
        <v>3324</v>
      </c>
      <c r="F1903" t="s">
        <v>1103</v>
      </c>
      <c r="G1903" t="s">
        <v>2112</v>
      </c>
      <c r="H1903" t="s">
        <v>470</v>
      </c>
      <c r="I1903" t="s">
        <v>487</v>
      </c>
      <c r="J1903">
        <v>37532.44</v>
      </c>
    </row>
    <row r="1904" spans="1:10">
      <c r="A1904" s="90" t="s">
        <v>216</v>
      </c>
      <c r="B1904" s="87">
        <v>46031</v>
      </c>
      <c r="C1904" t="s">
        <v>3560</v>
      </c>
      <c r="D1904" t="s">
        <v>2110</v>
      </c>
      <c r="E1904" t="s">
        <v>3561</v>
      </c>
      <c r="F1904" t="s">
        <v>1105</v>
      </c>
      <c r="G1904" t="s">
        <v>2125</v>
      </c>
      <c r="H1904" t="s">
        <v>470</v>
      </c>
      <c r="I1904" t="s">
        <v>487</v>
      </c>
      <c r="J1904">
        <v>8494.08</v>
      </c>
    </row>
    <row r="1905" spans="1:10">
      <c r="A1905" s="90" t="s">
        <v>216</v>
      </c>
      <c r="B1905" s="87">
        <v>46031</v>
      </c>
      <c r="C1905" t="s">
        <v>3562</v>
      </c>
      <c r="D1905" t="s">
        <v>2110</v>
      </c>
      <c r="E1905" t="s">
        <v>3324</v>
      </c>
      <c r="F1905" t="s">
        <v>1105</v>
      </c>
      <c r="G1905" t="s">
        <v>2112</v>
      </c>
      <c r="H1905" t="s">
        <v>470</v>
      </c>
      <c r="I1905" t="s">
        <v>487</v>
      </c>
      <c r="J1905">
        <v>36521.17</v>
      </c>
    </row>
    <row r="1906" spans="1:10">
      <c r="A1906" s="90" t="s">
        <v>216</v>
      </c>
      <c r="B1906" s="87">
        <v>46031</v>
      </c>
      <c r="C1906" t="s">
        <v>3563</v>
      </c>
      <c r="D1906" t="s">
        <v>2110</v>
      </c>
      <c r="E1906" t="s">
        <v>2702</v>
      </c>
      <c r="F1906" t="s">
        <v>3564</v>
      </c>
      <c r="G1906" t="s">
        <v>63</v>
      </c>
      <c r="H1906" t="s">
        <v>2264</v>
      </c>
      <c r="I1906" t="s">
        <v>796</v>
      </c>
      <c r="J1906">
        <v>896.95</v>
      </c>
    </row>
    <row r="1907" spans="1:10">
      <c r="A1907" s="90" t="s">
        <v>216</v>
      </c>
      <c r="B1907" s="87">
        <v>46031</v>
      </c>
      <c r="C1907" t="s">
        <v>3565</v>
      </c>
      <c r="D1907" t="s">
        <v>2110</v>
      </c>
      <c r="E1907" t="s">
        <v>480</v>
      </c>
      <c r="F1907" t="s">
        <v>1093</v>
      </c>
      <c r="G1907" t="s">
        <v>71</v>
      </c>
      <c r="H1907" t="s">
        <v>470</v>
      </c>
      <c r="I1907" t="s">
        <v>475</v>
      </c>
      <c r="J1907">
        <v>2550</v>
      </c>
    </row>
    <row r="1908" spans="1:10">
      <c r="A1908" s="90" t="s">
        <v>216</v>
      </c>
      <c r="B1908" s="87">
        <v>46031</v>
      </c>
      <c r="C1908" t="s">
        <v>3565</v>
      </c>
      <c r="D1908" t="s">
        <v>2110</v>
      </c>
      <c r="E1908" t="s">
        <v>480</v>
      </c>
      <c r="F1908" t="s">
        <v>1093</v>
      </c>
      <c r="G1908" t="s">
        <v>285</v>
      </c>
      <c r="H1908" t="s">
        <v>470</v>
      </c>
      <c r="I1908" t="s">
        <v>475</v>
      </c>
      <c r="J1908">
        <v>650</v>
      </c>
    </row>
    <row r="1909" spans="1:10">
      <c r="A1909" s="90" t="s">
        <v>216</v>
      </c>
      <c r="B1909" s="87">
        <v>46031</v>
      </c>
      <c r="C1909" t="s">
        <v>2275</v>
      </c>
      <c r="D1909" t="s">
        <v>2110</v>
      </c>
      <c r="E1909" t="s">
        <v>477</v>
      </c>
      <c r="F1909" t="s">
        <v>1093</v>
      </c>
      <c r="G1909" t="s">
        <v>74</v>
      </c>
      <c r="H1909" t="s">
        <v>470</v>
      </c>
      <c r="I1909" t="s">
        <v>471</v>
      </c>
      <c r="J1909">
        <v>50</v>
      </c>
    </row>
    <row r="1910" spans="1:10">
      <c r="A1910" s="90" t="s">
        <v>216</v>
      </c>
      <c r="B1910" s="87">
        <v>46031</v>
      </c>
      <c r="C1910" t="s">
        <v>511</v>
      </c>
      <c r="D1910" t="s">
        <v>2110</v>
      </c>
      <c r="E1910" t="s">
        <v>512</v>
      </c>
      <c r="F1910" t="s">
        <v>1093</v>
      </c>
      <c r="G1910" t="s">
        <v>474</v>
      </c>
      <c r="H1910" t="s">
        <v>470</v>
      </c>
      <c r="I1910" t="s">
        <v>475</v>
      </c>
      <c r="J1910">
        <v>196502.7</v>
      </c>
    </row>
    <row r="1911" spans="1:10">
      <c r="A1911" s="90" t="s">
        <v>216</v>
      </c>
      <c r="B1911" s="87">
        <v>46034</v>
      </c>
      <c r="C1911" t="s">
        <v>3566</v>
      </c>
      <c r="D1911" t="s">
        <v>2110</v>
      </c>
      <c r="E1911" t="s">
        <v>812</v>
      </c>
      <c r="F1911" t="s">
        <v>351</v>
      </c>
      <c r="G1911" t="s">
        <v>379</v>
      </c>
      <c r="H1911" t="s">
        <v>470</v>
      </c>
      <c r="I1911" t="s">
        <v>796</v>
      </c>
      <c r="J1911">
        <v>23408.85</v>
      </c>
    </row>
    <row r="1912" spans="1:10">
      <c r="A1912" s="90" t="s">
        <v>216</v>
      </c>
      <c r="B1912" s="87">
        <v>46034</v>
      </c>
      <c r="C1912" t="s">
        <v>3567</v>
      </c>
      <c r="D1912" t="s">
        <v>2110</v>
      </c>
      <c r="E1912" t="s">
        <v>535</v>
      </c>
      <c r="F1912" t="s">
        <v>1034</v>
      </c>
      <c r="G1912" t="s">
        <v>2112</v>
      </c>
      <c r="H1912" t="s">
        <v>470</v>
      </c>
      <c r="I1912" t="s">
        <v>475</v>
      </c>
      <c r="J1912">
        <v>37500</v>
      </c>
    </row>
    <row r="1913" spans="1:10">
      <c r="A1913" s="90" t="s">
        <v>216</v>
      </c>
      <c r="B1913" s="87">
        <v>46034</v>
      </c>
      <c r="C1913" t="s">
        <v>3568</v>
      </c>
      <c r="D1913" t="s">
        <v>2110</v>
      </c>
      <c r="E1913" t="s">
        <v>535</v>
      </c>
      <c r="F1913" t="s">
        <v>1043</v>
      </c>
      <c r="G1913" t="s">
        <v>2112</v>
      </c>
      <c r="H1913" t="s">
        <v>470</v>
      </c>
      <c r="I1913" t="s">
        <v>475</v>
      </c>
      <c r="J1913">
        <v>38780</v>
      </c>
    </row>
    <row r="1914" spans="1:10">
      <c r="A1914" s="90" t="s">
        <v>216</v>
      </c>
      <c r="B1914" s="87">
        <v>46034</v>
      </c>
      <c r="C1914" t="s">
        <v>3463</v>
      </c>
      <c r="D1914" t="s">
        <v>2110</v>
      </c>
      <c r="E1914" t="s">
        <v>1693</v>
      </c>
      <c r="F1914" t="s">
        <v>3464</v>
      </c>
      <c r="G1914" t="s">
        <v>2112</v>
      </c>
      <c r="H1914" t="s">
        <v>470</v>
      </c>
      <c r="I1914" t="s">
        <v>540</v>
      </c>
      <c r="J1914">
        <v>300000</v>
      </c>
    </row>
    <row r="1915" spans="1:10">
      <c r="A1915" s="90" t="s">
        <v>216</v>
      </c>
      <c r="B1915" s="87">
        <v>46034</v>
      </c>
      <c r="C1915" t="s">
        <v>3569</v>
      </c>
      <c r="D1915" t="s">
        <v>2110</v>
      </c>
      <c r="E1915" t="s">
        <v>2316</v>
      </c>
      <c r="F1915" t="s">
        <v>1093</v>
      </c>
      <c r="G1915" t="s">
        <v>217</v>
      </c>
      <c r="H1915" t="s">
        <v>2264</v>
      </c>
      <c r="I1915" t="s">
        <v>487</v>
      </c>
      <c r="J1915">
        <v>202.3</v>
      </c>
    </row>
    <row r="1916" spans="1:10">
      <c r="A1916" s="90" t="s">
        <v>216</v>
      </c>
      <c r="B1916" s="87">
        <v>46034</v>
      </c>
      <c r="C1916" t="s">
        <v>511</v>
      </c>
      <c r="D1916" t="s">
        <v>2110</v>
      </c>
      <c r="E1916" t="s">
        <v>512</v>
      </c>
      <c r="F1916" t="s">
        <v>1093</v>
      </c>
      <c r="G1916" t="s">
        <v>474</v>
      </c>
      <c r="H1916" t="s">
        <v>470</v>
      </c>
      <c r="I1916" t="s">
        <v>475</v>
      </c>
      <c r="J1916">
        <v>570000</v>
      </c>
    </row>
    <row r="1917" spans="1:10">
      <c r="A1917" s="90" t="s">
        <v>216</v>
      </c>
      <c r="B1917" s="87">
        <v>46034</v>
      </c>
      <c r="C1917" t="s">
        <v>2895</v>
      </c>
      <c r="D1917" t="s">
        <v>2110</v>
      </c>
      <c r="E1917" t="s">
        <v>477</v>
      </c>
      <c r="F1917" t="s">
        <v>514</v>
      </c>
      <c r="G1917" t="s">
        <v>515</v>
      </c>
      <c r="H1917" t="s">
        <v>3570</v>
      </c>
      <c r="I1917" t="s">
        <v>471</v>
      </c>
      <c r="J1917">
        <v>43571.43</v>
      </c>
    </row>
    <row r="1918" spans="1:10">
      <c r="A1918" s="90" t="s">
        <v>216</v>
      </c>
      <c r="B1918" s="87">
        <v>46034</v>
      </c>
      <c r="C1918" t="s">
        <v>2895</v>
      </c>
      <c r="D1918" t="s">
        <v>2110</v>
      </c>
      <c r="E1918" t="s">
        <v>477</v>
      </c>
      <c r="F1918" t="s">
        <v>514</v>
      </c>
      <c r="G1918" t="s">
        <v>69</v>
      </c>
      <c r="H1918" t="s">
        <v>3570</v>
      </c>
      <c r="I1918" t="s">
        <v>471</v>
      </c>
      <c r="J1918">
        <v>31984.91</v>
      </c>
    </row>
    <row r="1919" spans="1:10">
      <c r="A1919" s="90" t="s">
        <v>216</v>
      </c>
      <c r="B1919" s="87">
        <v>46034</v>
      </c>
      <c r="C1919" t="s">
        <v>2275</v>
      </c>
      <c r="D1919" t="s">
        <v>2110</v>
      </c>
      <c r="E1919" t="s">
        <v>477</v>
      </c>
      <c r="F1919" t="s">
        <v>1093</v>
      </c>
      <c r="G1919" t="s">
        <v>74</v>
      </c>
      <c r="H1919" t="s">
        <v>470</v>
      </c>
      <c r="I1919" t="s">
        <v>471</v>
      </c>
      <c r="J1919">
        <v>95</v>
      </c>
    </row>
    <row r="1920" spans="1:10">
      <c r="A1920" s="90" t="s">
        <v>216</v>
      </c>
      <c r="B1920" s="87">
        <v>46034</v>
      </c>
      <c r="C1920" t="s">
        <v>2295</v>
      </c>
      <c r="D1920" t="s">
        <v>2110</v>
      </c>
      <c r="E1920" t="s">
        <v>477</v>
      </c>
      <c r="F1920" t="s">
        <v>1093</v>
      </c>
      <c r="G1920" t="s">
        <v>2295</v>
      </c>
      <c r="H1920" t="s">
        <v>470</v>
      </c>
      <c r="I1920" t="s">
        <v>471</v>
      </c>
      <c r="J1920">
        <v>2566.38</v>
      </c>
    </row>
    <row r="1921" spans="1:10">
      <c r="A1921" s="90" t="s">
        <v>216</v>
      </c>
      <c r="B1921" s="87">
        <v>46034</v>
      </c>
      <c r="C1921" t="s">
        <v>3016</v>
      </c>
      <c r="D1921" t="s">
        <v>2110</v>
      </c>
      <c r="E1921" t="s">
        <v>2900</v>
      </c>
      <c r="F1921" t="s">
        <v>1093</v>
      </c>
      <c r="G1921" t="s">
        <v>302</v>
      </c>
      <c r="H1921" t="s">
        <v>3571</v>
      </c>
      <c r="I1921" t="s">
        <v>796</v>
      </c>
      <c r="J1921">
        <v>2500</v>
      </c>
    </row>
    <row r="1922" spans="1:10">
      <c r="A1922" s="90" t="s">
        <v>216</v>
      </c>
      <c r="B1922" s="87">
        <v>46034</v>
      </c>
      <c r="C1922" t="s">
        <v>511</v>
      </c>
      <c r="D1922" t="s">
        <v>2110</v>
      </c>
      <c r="E1922" t="s">
        <v>512</v>
      </c>
      <c r="F1922" t="s">
        <v>1093</v>
      </c>
      <c r="G1922" t="s">
        <v>474</v>
      </c>
      <c r="H1922" t="s">
        <v>470</v>
      </c>
      <c r="I1922" t="s">
        <v>475</v>
      </c>
      <c r="J1922">
        <v>6095.62</v>
      </c>
    </row>
    <row r="1923" spans="1:10">
      <c r="A1923" s="90" t="s">
        <v>216</v>
      </c>
      <c r="B1923" s="87">
        <v>46035</v>
      </c>
      <c r="C1923" t="s">
        <v>3572</v>
      </c>
      <c r="D1923" t="s">
        <v>2110</v>
      </c>
      <c r="E1923" t="s">
        <v>1667</v>
      </c>
      <c r="F1923" t="s">
        <v>3573</v>
      </c>
      <c r="G1923" t="s">
        <v>2115</v>
      </c>
      <c r="H1923" t="s">
        <v>470</v>
      </c>
      <c r="I1923" t="s">
        <v>475</v>
      </c>
      <c r="J1923">
        <v>1284.9000000000001</v>
      </c>
    </row>
    <row r="1924" spans="1:10">
      <c r="A1924" s="90" t="s">
        <v>216</v>
      </c>
      <c r="B1924" s="87">
        <v>46035</v>
      </c>
      <c r="C1924" t="s">
        <v>3572</v>
      </c>
      <c r="D1924" t="s">
        <v>2110</v>
      </c>
      <c r="E1924" t="s">
        <v>1667</v>
      </c>
      <c r="F1924" t="s">
        <v>3573</v>
      </c>
      <c r="G1924" t="s">
        <v>259</v>
      </c>
      <c r="H1924" t="s">
        <v>470</v>
      </c>
      <c r="I1924" t="s">
        <v>475</v>
      </c>
      <c r="J1924">
        <v>5970.66</v>
      </c>
    </row>
    <row r="1925" spans="1:10">
      <c r="A1925" s="90" t="s">
        <v>216</v>
      </c>
      <c r="B1925" s="87">
        <v>46035</v>
      </c>
      <c r="C1925" t="s">
        <v>3574</v>
      </c>
      <c r="D1925" t="s">
        <v>2110</v>
      </c>
      <c r="E1925" t="s">
        <v>1317</v>
      </c>
      <c r="F1925" t="s">
        <v>407</v>
      </c>
      <c r="G1925" t="s">
        <v>2112</v>
      </c>
      <c r="H1925" t="s">
        <v>470</v>
      </c>
      <c r="I1925" t="s">
        <v>487</v>
      </c>
      <c r="J1925">
        <v>80000</v>
      </c>
    </row>
    <row r="1926" spans="1:10">
      <c r="A1926" s="90" t="s">
        <v>216</v>
      </c>
      <c r="B1926" s="87">
        <v>46035</v>
      </c>
      <c r="C1926" t="s">
        <v>3575</v>
      </c>
      <c r="D1926" t="s">
        <v>2110</v>
      </c>
      <c r="E1926" t="s">
        <v>3576</v>
      </c>
      <c r="F1926" t="s">
        <v>2821</v>
      </c>
      <c r="G1926" t="s">
        <v>2213</v>
      </c>
      <c r="H1926" t="s">
        <v>470</v>
      </c>
      <c r="I1926" t="s">
        <v>475</v>
      </c>
      <c r="J1926">
        <v>5409.2</v>
      </c>
    </row>
    <row r="1927" spans="1:10">
      <c r="A1927" s="90" t="s">
        <v>216</v>
      </c>
      <c r="B1927" s="87">
        <v>46035</v>
      </c>
      <c r="C1927" t="s">
        <v>2275</v>
      </c>
      <c r="D1927" t="s">
        <v>2110</v>
      </c>
      <c r="E1927" t="s">
        <v>477</v>
      </c>
      <c r="F1927" t="s">
        <v>1093</v>
      </c>
      <c r="G1927" t="s">
        <v>74</v>
      </c>
      <c r="H1927" t="s">
        <v>470</v>
      </c>
      <c r="I1927" t="s">
        <v>471</v>
      </c>
      <c r="J1927">
        <v>10</v>
      </c>
    </row>
    <row r="1928" spans="1:10">
      <c r="A1928" s="90" t="s">
        <v>216</v>
      </c>
      <c r="B1928" s="87">
        <v>46035</v>
      </c>
      <c r="C1928" t="s">
        <v>517</v>
      </c>
      <c r="D1928" t="s">
        <v>2110</v>
      </c>
      <c r="E1928" t="s">
        <v>512</v>
      </c>
      <c r="F1928" t="s">
        <v>1093</v>
      </c>
      <c r="G1928" t="s">
        <v>474</v>
      </c>
      <c r="H1928" t="s">
        <v>470</v>
      </c>
      <c r="I1928" t="s">
        <v>475</v>
      </c>
      <c r="J1928">
        <v>76945.240000000005</v>
      </c>
    </row>
    <row r="1929" spans="1:10">
      <c r="A1929" s="90" t="s">
        <v>216</v>
      </c>
      <c r="B1929" s="87">
        <v>46036</v>
      </c>
      <c r="C1929" t="s">
        <v>3577</v>
      </c>
      <c r="D1929" t="s">
        <v>2110</v>
      </c>
      <c r="E1929" t="s">
        <v>3552</v>
      </c>
      <c r="F1929" t="s">
        <v>1099</v>
      </c>
      <c r="G1929" t="s">
        <v>2125</v>
      </c>
      <c r="H1929" t="s">
        <v>470</v>
      </c>
      <c r="I1929" t="s">
        <v>487</v>
      </c>
      <c r="J1929">
        <v>3534.48</v>
      </c>
    </row>
    <row r="1930" spans="1:10">
      <c r="A1930" s="90" t="s">
        <v>216</v>
      </c>
      <c r="B1930" s="87">
        <v>46036</v>
      </c>
      <c r="C1930" t="s">
        <v>3578</v>
      </c>
      <c r="D1930" t="s">
        <v>2110</v>
      </c>
      <c r="E1930" t="s">
        <v>3555</v>
      </c>
      <c r="F1930" t="s">
        <v>1101</v>
      </c>
      <c r="G1930" t="s">
        <v>2125</v>
      </c>
      <c r="H1930" t="s">
        <v>470</v>
      </c>
      <c r="I1930" t="s">
        <v>487</v>
      </c>
      <c r="J1930">
        <v>3668.4</v>
      </c>
    </row>
    <row r="1931" spans="1:10">
      <c r="A1931" s="90" t="s">
        <v>216</v>
      </c>
      <c r="B1931" s="87">
        <v>46036</v>
      </c>
      <c r="C1931" t="s">
        <v>3579</v>
      </c>
      <c r="D1931" t="s">
        <v>2110</v>
      </c>
      <c r="E1931" t="s">
        <v>3558</v>
      </c>
      <c r="F1931" t="s">
        <v>1103</v>
      </c>
      <c r="G1931" t="s">
        <v>2125</v>
      </c>
      <c r="H1931" t="s">
        <v>470</v>
      </c>
      <c r="I1931" t="s">
        <v>487</v>
      </c>
      <c r="J1931">
        <v>3473.12</v>
      </c>
    </row>
    <row r="1932" spans="1:10">
      <c r="A1932" s="90" t="s">
        <v>216</v>
      </c>
      <c r="B1932" s="87">
        <v>46036</v>
      </c>
      <c r="C1932" t="s">
        <v>3580</v>
      </c>
      <c r="D1932" t="s">
        <v>2110</v>
      </c>
      <c r="E1932" t="s">
        <v>3561</v>
      </c>
      <c r="F1932" t="s">
        <v>1105</v>
      </c>
      <c r="G1932" t="s">
        <v>2125</v>
      </c>
      <c r="H1932" t="s">
        <v>470</v>
      </c>
      <c r="I1932" t="s">
        <v>487</v>
      </c>
      <c r="J1932">
        <v>3318.72</v>
      </c>
    </row>
    <row r="1933" spans="1:10">
      <c r="A1933" s="90" t="s">
        <v>216</v>
      </c>
      <c r="B1933" s="87">
        <v>46036</v>
      </c>
      <c r="C1933" t="s">
        <v>3581</v>
      </c>
      <c r="D1933" t="s">
        <v>2110</v>
      </c>
      <c r="E1933" t="s">
        <v>3582</v>
      </c>
      <c r="F1933" t="s">
        <v>1114</v>
      </c>
      <c r="G1933" t="s">
        <v>2125</v>
      </c>
      <c r="H1933" t="s">
        <v>470</v>
      </c>
      <c r="I1933" t="s">
        <v>475</v>
      </c>
      <c r="J1933">
        <v>7227.5</v>
      </c>
    </row>
    <row r="1934" spans="1:10">
      <c r="A1934" s="90" t="s">
        <v>216</v>
      </c>
      <c r="B1934" s="87">
        <v>46036</v>
      </c>
      <c r="C1934" t="s">
        <v>3583</v>
      </c>
      <c r="D1934" t="s">
        <v>2110</v>
      </c>
      <c r="E1934" t="s">
        <v>3584</v>
      </c>
      <c r="F1934" t="s">
        <v>1107</v>
      </c>
      <c r="G1934" t="s">
        <v>2125</v>
      </c>
      <c r="H1934" t="s">
        <v>470</v>
      </c>
      <c r="I1934" t="s">
        <v>487</v>
      </c>
      <c r="J1934">
        <v>6993</v>
      </c>
    </row>
    <row r="1935" spans="1:10">
      <c r="A1935" s="90" t="s">
        <v>216</v>
      </c>
      <c r="B1935" s="87">
        <v>46036</v>
      </c>
      <c r="C1935" t="s">
        <v>2275</v>
      </c>
      <c r="D1935" t="s">
        <v>2110</v>
      </c>
      <c r="E1935" t="s">
        <v>477</v>
      </c>
      <c r="F1935" t="s">
        <v>1093</v>
      </c>
      <c r="G1935" t="s">
        <v>74</v>
      </c>
      <c r="H1935" t="s">
        <v>470</v>
      </c>
      <c r="I1935" t="s">
        <v>471</v>
      </c>
      <c r="J1935">
        <v>20</v>
      </c>
    </row>
    <row r="1936" spans="1:10">
      <c r="A1936" s="90" t="s">
        <v>216</v>
      </c>
      <c r="B1936" s="87">
        <v>46036</v>
      </c>
      <c r="C1936" t="s">
        <v>517</v>
      </c>
      <c r="D1936" t="s">
        <v>2110</v>
      </c>
      <c r="E1936" t="s">
        <v>512</v>
      </c>
      <c r="F1936" t="s">
        <v>1093</v>
      </c>
      <c r="G1936" t="s">
        <v>474</v>
      </c>
      <c r="H1936" t="s">
        <v>470</v>
      </c>
      <c r="I1936" t="s">
        <v>475</v>
      </c>
      <c r="J1936">
        <v>83474.78</v>
      </c>
    </row>
    <row r="1937" spans="1:10">
      <c r="A1937" s="90" t="s">
        <v>216</v>
      </c>
      <c r="B1937" s="87">
        <v>46037</v>
      </c>
      <c r="C1937" t="s">
        <v>2489</v>
      </c>
      <c r="D1937" t="s">
        <v>2110</v>
      </c>
      <c r="E1937" t="s">
        <v>2372</v>
      </c>
      <c r="F1937" t="s">
        <v>1093</v>
      </c>
      <c r="G1937" t="s">
        <v>219</v>
      </c>
      <c r="H1937" t="s">
        <v>3585</v>
      </c>
      <c r="I1937" t="s">
        <v>796</v>
      </c>
      <c r="J1937">
        <v>552.80999999999995</v>
      </c>
    </row>
    <row r="1938" spans="1:10">
      <c r="A1938" s="90" t="s">
        <v>216</v>
      </c>
      <c r="B1938" s="87">
        <v>46037</v>
      </c>
      <c r="C1938" t="s">
        <v>3586</v>
      </c>
      <c r="D1938" t="s">
        <v>2110</v>
      </c>
      <c r="E1938" t="s">
        <v>3451</v>
      </c>
      <c r="F1938" t="s">
        <v>1110</v>
      </c>
      <c r="G1938" t="s">
        <v>2125</v>
      </c>
      <c r="H1938" t="s">
        <v>470</v>
      </c>
      <c r="I1938" t="s">
        <v>487</v>
      </c>
      <c r="J1938">
        <v>8876</v>
      </c>
    </row>
    <row r="1939" spans="1:10">
      <c r="A1939" s="90" t="s">
        <v>216</v>
      </c>
      <c r="B1939" s="87">
        <v>46037</v>
      </c>
      <c r="C1939" t="s">
        <v>511</v>
      </c>
      <c r="D1939" t="s">
        <v>2110</v>
      </c>
      <c r="E1939" t="s">
        <v>512</v>
      </c>
      <c r="F1939" t="s">
        <v>1093</v>
      </c>
      <c r="G1939" t="s">
        <v>474</v>
      </c>
      <c r="H1939" t="s">
        <v>470</v>
      </c>
      <c r="I1939" t="s">
        <v>475</v>
      </c>
      <c r="J1939">
        <v>9785.83</v>
      </c>
    </row>
    <row r="1940" spans="1:10">
      <c r="A1940" s="90" t="s">
        <v>216</v>
      </c>
      <c r="B1940" s="87">
        <v>46037</v>
      </c>
      <c r="C1940" t="s">
        <v>2275</v>
      </c>
      <c r="D1940" t="s">
        <v>2110</v>
      </c>
      <c r="E1940" t="s">
        <v>477</v>
      </c>
      <c r="F1940" t="s">
        <v>1093</v>
      </c>
      <c r="G1940" t="s">
        <v>74</v>
      </c>
      <c r="H1940" t="s">
        <v>470</v>
      </c>
      <c r="I1940" t="s">
        <v>471</v>
      </c>
      <c r="J1940">
        <v>10</v>
      </c>
    </row>
    <row r="1941" spans="1:10">
      <c r="A1941" s="90" t="s">
        <v>216</v>
      </c>
      <c r="B1941" s="87">
        <v>46037</v>
      </c>
      <c r="C1941" t="s">
        <v>3587</v>
      </c>
      <c r="D1941" t="s">
        <v>2110</v>
      </c>
      <c r="E1941" t="s">
        <v>477</v>
      </c>
      <c r="F1941" t="s">
        <v>351</v>
      </c>
      <c r="G1941" t="s">
        <v>74</v>
      </c>
      <c r="H1941" t="s">
        <v>470</v>
      </c>
      <c r="I1941" t="s">
        <v>471</v>
      </c>
      <c r="J1941">
        <v>250</v>
      </c>
    </row>
    <row r="1942" spans="1:10">
      <c r="A1942" s="90" t="s">
        <v>216</v>
      </c>
      <c r="B1942" s="87">
        <v>46038</v>
      </c>
      <c r="C1942" t="s">
        <v>3588</v>
      </c>
      <c r="D1942" t="s">
        <v>2110</v>
      </c>
      <c r="E1942" t="s">
        <v>535</v>
      </c>
      <c r="F1942" t="s">
        <v>1040</v>
      </c>
      <c r="G1942" t="s">
        <v>2112</v>
      </c>
      <c r="H1942" t="s">
        <v>470</v>
      </c>
      <c r="I1942" t="s">
        <v>475</v>
      </c>
      <c r="J1942">
        <v>38260</v>
      </c>
    </row>
    <row r="1943" spans="1:10">
      <c r="A1943" s="90" t="s">
        <v>216</v>
      </c>
      <c r="B1943" s="87">
        <v>46038</v>
      </c>
      <c r="C1943" t="s">
        <v>3589</v>
      </c>
      <c r="D1943" t="s">
        <v>2110</v>
      </c>
      <c r="E1943" t="s">
        <v>535</v>
      </c>
      <c r="F1943" t="s">
        <v>1051</v>
      </c>
      <c r="G1943" t="s">
        <v>2112</v>
      </c>
      <c r="H1943" t="s">
        <v>470</v>
      </c>
      <c r="I1943" t="s">
        <v>475</v>
      </c>
      <c r="J1943">
        <v>18640</v>
      </c>
    </row>
    <row r="1944" spans="1:10">
      <c r="A1944" s="90" t="s">
        <v>216</v>
      </c>
      <c r="B1944" s="87">
        <v>46038</v>
      </c>
      <c r="C1944" t="s">
        <v>3590</v>
      </c>
      <c r="D1944" t="s">
        <v>2110</v>
      </c>
      <c r="E1944" t="s">
        <v>3584</v>
      </c>
      <c r="F1944" t="s">
        <v>1107</v>
      </c>
      <c r="G1944" t="s">
        <v>2125</v>
      </c>
      <c r="H1944" t="s">
        <v>470</v>
      </c>
      <c r="I1944" t="s">
        <v>487</v>
      </c>
      <c r="J1944">
        <v>2892</v>
      </c>
    </row>
    <row r="1945" spans="1:10">
      <c r="A1945" s="90" t="s">
        <v>216</v>
      </c>
      <c r="B1945" s="87">
        <v>46038</v>
      </c>
      <c r="C1945" t="s">
        <v>3591</v>
      </c>
      <c r="D1945" t="s">
        <v>2110</v>
      </c>
      <c r="E1945" t="s">
        <v>3324</v>
      </c>
      <c r="F1945" t="s">
        <v>1110</v>
      </c>
      <c r="G1945" t="s">
        <v>2112</v>
      </c>
      <c r="H1945" t="s">
        <v>470</v>
      </c>
      <c r="I1945" t="s">
        <v>487</v>
      </c>
      <c r="J1945">
        <v>36636.74</v>
      </c>
    </row>
    <row r="1946" spans="1:10">
      <c r="A1946" s="90" t="s">
        <v>216</v>
      </c>
      <c r="B1946" s="87">
        <v>46038</v>
      </c>
      <c r="C1946" t="s">
        <v>1108</v>
      </c>
      <c r="D1946" t="s">
        <v>2110</v>
      </c>
      <c r="E1946" t="s">
        <v>535</v>
      </c>
      <c r="F1946" t="s">
        <v>1093</v>
      </c>
      <c r="G1946" t="s">
        <v>537</v>
      </c>
      <c r="H1946" t="s">
        <v>470</v>
      </c>
      <c r="I1946" t="s">
        <v>475</v>
      </c>
      <c r="J1946">
        <v>60000</v>
      </c>
    </row>
    <row r="1947" spans="1:10">
      <c r="A1947" s="90" t="s">
        <v>216</v>
      </c>
      <c r="B1947" s="87">
        <v>46038</v>
      </c>
      <c r="C1947" t="s">
        <v>2275</v>
      </c>
      <c r="D1947" t="s">
        <v>2110</v>
      </c>
      <c r="E1947" t="s">
        <v>477</v>
      </c>
      <c r="F1947" t="s">
        <v>1093</v>
      </c>
      <c r="G1947" t="s">
        <v>74</v>
      </c>
      <c r="H1947" t="s">
        <v>470</v>
      </c>
      <c r="I1947" t="s">
        <v>471</v>
      </c>
      <c r="J1947">
        <v>20</v>
      </c>
    </row>
    <row r="1948" spans="1:10">
      <c r="A1948" s="90" t="s">
        <v>216</v>
      </c>
      <c r="B1948" s="87">
        <v>46038</v>
      </c>
      <c r="C1948" t="s">
        <v>511</v>
      </c>
      <c r="D1948" t="s">
        <v>2110</v>
      </c>
      <c r="E1948" t="s">
        <v>512</v>
      </c>
      <c r="F1948" t="s">
        <v>1093</v>
      </c>
      <c r="G1948" t="s">
        <v>474</v>
      </c>
      <c r="H1948" t="s">
        <v>470</v>
      </c>
      <c r="I1948" t="s">
        <v>475</v>
      </c>
      <c r="J1948">
        <v>162448.74</v>
      </c>
    </row>
    <row r="1949" spans="1:10">
      <c r="A1949" s="90" t="s">
        <v>216</v>
      </c>
      <c r="B1949" s="87">
        <v>46041</v>
      </c>
      <c r="C1949" t="s">
        <v>3273</v>
      </c>
      <c r="D1949" t="s">
        <v>2110</v>
      </c>
      <c r="E1949" t="s">
        <v>2366</v>
      </c>
      <c r="F1949" t="s">
        <v>509</v>
      </c>
      <c r="G1949" t="s">
        <v>219</v>
      </c>
      <c r="H1949" t="s">
        <v>470</v>
      </c>
      <c r="I1949" t="s">
        <v>796</v>
      </c>
      <c r="J1949">
        <v>42.52</v>
      </c>
    </row>
    <row r="1950" spans="1:10">
      <c r="A1950" s="90" t="s">
        <v>216</v>
      </c>
      <c r="B1950" s="87">
        <v>46041</v>
      </c>
      <c r="C1950" t="s">
        <v>3592</v>
      </c>
      <c r="D1950" t="s">
        <v>2110</v>
      </c>
      <c r="E1950" t="s">
        <v>3451</v>
      </c>
      <c r="F1950" t="s">
        <v>1110</v>
      </c>
      <c r="G1950" t="s">
        <v>2125</v>
      </c>
      <c r="H1950" t="s">
        <v>470</v>
      </c>
      <c r="I1950" t="s">
        <v>487</v>
      </c>
      <c r="J1950">
        <v>3714</v>
      </c>
    </row>
    <row r="1951" spans="1:10">
      <c r="A1951" s="90" t="s">
        <v>216</v>
      </c>
      <c r="B1951" s="87">
        <v>46041</v>
      </c>
      <c r="C1951" t="s">
        <v>3593</v>
      </c>
      <c r="D1951" t="s">
        <v>2110</v>
      </c>
      <c r="E1951" t="s">
        <v>3534</v>
      </c>
      <c r="F1951" t="s">
        <v>318</v>
      </c>
      <c r="G1951" t="s">
        <v>182</v>
      </c>
      <c r="H1951" t="s">
        <v>470</v>
      </c>
      <c r="I1951" t="s">
        <v>487</v>
      </c>
      <c r="J1951">
        <v>30</v>
      </c>
    </row>
    <row r="1952" spans="1:10">
      <c r="A1952" s="90" t="s">
        <v>216</v>
      </c>
      <c r="B1952" s="87">
        <v>46041</v>
      </c>
      <c r="C1952" t="s">
        <v>3593</v>
      </c>
      <c r="D1952" t="s">
        <v>2110</v>
      </c>
      <c r="E1952" t="s">
        <v>3534</v>
      </c>
      <c r="F1952" t="s">
        <v>318</v>
      </c>
      <c r="G1952" t="s">
        <v>378</v>
      </c>
      <c r="H1952" t="s">
        <v>470</v>
      </c>
      <c r="I1952" t="s">
        <v>487</v>
      </c>
      <c r="J1952">
        <v>106</v>
      </c>
    </row>
    <row r="1953" spans="1:10">
      <c r="A1953" s="90" t="s">
        <v>216</v>
      </c>
      <c r="B1953" s="87">
        <v>46041</v>
      </c>
      <c r="C1953" t="s">
        <v>3594</v>
      </c>
      <c r="D1953" t="s">
        <v>2110</v>
      </c>
      <c r="E1953" t="s">
        <v>3595</v>
      </c>
      <c r="F1953" t="s">
        <v>1116</v>
      </c>
      <c r="G1953" t="s">
        <v>2125</v>
      </c>
      <c r="H1953" t="s">
        <v>470</v>
      </c>
      <c r="I1953" t="s">
        <v>487</v>
      </c>
      <c r="J1953">
        <v>6405</v>
      </c>
    </row>
    <row r="1954" spans="1:10">
      <c r="A1954" s="90" t="s">
        <v>216</v>
      </c>
      <c r="B1954" s="87">
        <v>46041</v>
      </c>
      <c r="C1954" t="s">
        <v>3596</v>
      </c>
      <c r="D1954" t="s">
        <v>2110</v>
      </c>
      <c r="E1954" t="s">
        <v>3595</v>
      </c>
      <c r="F1954" t="s">
        <v>1116</v>
      </c>
      <c r="G1954" t="s">
        <v>2125</v>
      </c>
      <c r="H1954" t="s">
        <v>470</v>
      </c>
      <c r="I1954" t="s">
        <v>487</v>
      </c>
      <c r="J1954">
        <v>2655</v>
      </c>
    </row>
    <row r="1955" spans="1:10">
      <c r="A1955" s="90" t="s">
        <v>216</v>
      </c>
      <c r="B1955" s="87">
        <v>46041</v>
      </c>
      <c r="C1955" t="s">
        <v>3597</v>
      </c>
      <c r="D1955" t="s">
        <v>2110</v>
      </c>
      <c r="E1955" t="s">
        <v>2277</v>
      </c>
      <c r="F1955" t="s">
        <v>2305</v>
      </c>
      <c r="G1955" t="s">
        <v>226</v>
      </c>
      <c r="H1955" t="s">
        <v>2279</v>
      </c>
      <c r="I1955" t="s">
        <v>796</v>
      </c>
      <c r="J1955">
        <v>138.13999999999999</v>
      </c>
    </row>
    <row r="1956" spans="1:10">
      <c r="A1956" s="90" t="s">
        <v>216</v>
      </c>
      <c r="B1956" s="87">
        <v>46041</v>
      </c>
      <c r="C1956" t="s">
        <v>2454</v>
      </c>
      <c r="D1956" t="s">
        <v>2110</v>
      </c>
      <c r="E1956" t="s">
        <v>480</v>
      </c>
      <c r="F1956" t="s">
        <v>1093</v>
      </c>
      <c r="G1956" t="s">
        <v>71</v>
      </c>
      <c r="H1956" t="s">
        <v>470</v>
      </c>
      <c r="I1956" t="s">
        <v>475</v>
      </c>
      <c r="J1956">
        <v>15000</v>
      </c>
    </row>
    <row r="1957" spans="1:10">
      <c r="A1957" s="90" t="s">
        <v>216</v>
      </c>
      <c r="B1957" s="87">
        <v>46041</v>
      </c>
      <c r="C1957" t="s">
        <v>3598</v>
      </c>
      <c r="D1957" t="s">
        <v>2110</v>
      </c>
      <c r="E1957" t="s">
        <v>3599</v>
      </c>
      <c r="F1957" t="s">
        <v>3600</v>
      </c>
      <c r="G1957" t="s">
        <v>219</v>
      </c>
      <c r="H1957" t="s">
        <v>470</v>
      </c>
      <c r="I1957" t="s">
        <v>487</v>
      </c>
      <c r="J1957">
        <v>6715</v>
      </c>
    </row>
    <row r="1958" spans="1:10">
      <c r="A1958" s="90" t="s">
        <v>216</v>
      </c>
      <c r="B1958" s="87">
        <v>46041</v>
      </c>
      <c r="C1958" t="s">
        <v>3601</v>
      </c>
      <c r="D1958" t="s">
        <v>2110</v>
      </c>
      <c r="E1958" t="s">
        <v>3404</v>
      </c>
      <c r="F1958" t="s">
        <v>3600</v>
      </c>
      <c r="G1958" t="s">
        <v>219</v>
      </c>
      <c r="H1958" t="s">
        <v>470</v>
      </c>
      <c r="I1958" t="s">
        <v>487</v>
      </c>
      <c r="J1958">
        <v>840</v>
      </c>
    </row>
    <row r="1959" spans="1:10">
      <c r="A1959" s="90" t="s">
        <v>216</v>
      </c>
      <c r="B1959" s="87">
        <v>46041</v>
      </c>
      <c r="C1959" t="s">
        <v>2275</v>
      </c>
      <c r="D1959" t="s">
        <v>2110</v>
      </c>
      <c r="E1959" t="s">
        <v>477</v>
      </c>
      <c r="F1959" t="s">
        <v>1093</v>
      </c>
      <c r="G1959" t="s">
        <v>74</v>
      </c>
      <c r="H1959" t="s">
        <v>470</v>
      </c>
      <c r="I1959" t="s">
        <v>471</v>
      </c>
      <c r="J1959">
        <v>49.65</v>
      </c>
    </row>
    <row r="1960" spans="1:10">
      <c r="A1960" s="90" t="s">
        <v>216</v>
      </c>
      <c r="B1960" s="87">
        <v>46041</v>
      </c>
      <c r="C1960" t="s">
        <v>517</v>
      </c>
      <c r="D1960" t="s">
        <v>2110</v>
      </c>
      <c r="E1960" t="s">
        <v>512</v>
      </c>
      <c r="F1960" t="s">
        <v>1093</v>
      </c>
      <c r="G1960" t="s">
        <v>474</v>
      </c>
      <c r="H1960" t="s">
        <v>470</v>
      </c>
      <c r="I1960" t="s">
        <v>475</v>
      </c>
      <c r="J1960">
        <v>77451.490000000005</v>
      </c>
    </row>
    <row r="1961" spans="1:10">
      <c r="A1961" s="90" t="s">
        <v>216</v>
      </c>
      <c r="B1961" s="87">
        <v>46042</v>
      </c>
      <c r="C1961" t="s">
        <v>3602</v>
      </c>
      <c r="D1961" t="s">
        <v>2110</v>
      </c>
      <c r="E1961" t="s">
        <v>2318</v>
      </c>
      <c r="F1961" t="s">
        <v>1014</v>
      </c>
      <c r="G1961" t="s">
        <v>64</v>
      </c>
      <c r="H1961" t="s">
        <v>2279</v>
      </c>
      <c r="I1961" t="s">
        <v>796</v>
      </c>
      <c r="J1961">
        <v>806</v>
      </c>
    </row>
    <row r="1962" spans="1:10">
      <c r="A1962" s="90" t="s">
        <v>216</v>
      </c>
      <c r="B1962" s="87">
        <v>46042</v>
      </c>
      <c r="C1962" t="s">
        <v>3194</v>
      </c>
      <c r="D1962" t="s">
        <v>2110</v>
      </c>
      <c r="E1962" t="s">
        <v>1756</v>
      </c>
      <c r="F1962" t="s">
        <v>1014</v>
      </c>
      <c r="G1962" t="s">
        <v>67</v>
      </c>
      <c r="H1962" t="s">
        <v>470</v>
      </c>
      <c r="I1962" t="s">
        <v>796</v>
      </c>
      <c r="J1962">
        <v>239.36</v>
      </c>
    </row>
    <row r="1963" spans="1:10">
      <c r="A1963" s="90" t="s">
        <v>216</v>
      </c>
      <c r="B1963" s="87">
        <v>46042</v>
      </c>
      <c r="C1963" t="s">
        <v>3603</v>
      </c>
      <c r="D1963" t="s">
        <v>2110</v>
      </c>
      <c r="E1963" t="s">
        <v>2401</v>
      </c>
      <c r="F1963" t="s">
        <v>277</v>
      </c>
      <c r="G1963" t="s">
        <v>2381</v>
      </c>
      <c r="H1963" t="s">
        <v>470</v>
      </c>
      <c r="I1963" t="s">
        <v>796</v>
      </c>
      <c r="J1963">
        <v>164.46</v>
      </c>
    </row>
    <row r="1964" spans="1:10">
      <c r="A1964" s="90" t="s">
        <v>216</v>
      </c>
      <c r="B1964" s="87">
        <v>46042</v>
      </c>
      <c r="C1964" t="s">
        <v>3604</v>
      </c>
      <c r="D1964" t="s">
        <v>2110</v>
      </c>
      <c r="E1964" t="s">
        <v>3324</v>
      </c>
      <c r="F1964" t="s">
        <v>326</v>
      </c>
      <c r="G1964" t="s">
        <v>2381</v>
      </c>
      <c r="H1964" t="s">
        <v>470</v>
      </c>
      <c r="I1964" t="s">
        <v>796</v>
      </c>
      <c r="J1964">
        <v>5690.48</v>
      </c>
    </row>
    <row r="1965" spans="1:10">
      <c r="A1965" s="90" t="s">
        <v>216</v>
      </c>
      <c r="B1965" s="87">
        <v>46042</v>
      </c>
      <c r="C1965" t="s">
        <v>3605</v>
      </c>
      <c r="D1965" t="s">
        <v>2110</v>
      </c>
      <c r="E1965" t="s">
        <v>3478</v>
      </c>
      <c r="F1965" t="s">
        <v>3606</v>
      </c>
      <c r="G1965" t="s">
        <v>2381</v>
      </c>
      <c r="H1965" t="s">
        <v>470</v>
      </c>
      <c r="I1965" t="s">
        <v>796</v>
      </c>
      <c r="J1965">
        <v>652.05999999999995</v>
      </c>
    </row>
    <row r="1966" spans="1:10">
      <c r="A1966" s="90" t="s">
        <v>216</v>
      </c>
      <c r="B1966" s="87">
        <v>46042</v>
      </c>
      <c r="C1966" t="s">
        <v>3607</v>
      </c>
      <c r="D1966" t="s">
        <v>2110</v>
      </c>
      <c r="E1966" t="s">
        <v>3582</v>
      </c>
      <c r="F1966" t="s">
        <v>1114</v>
      </c>
      <c r="G1966" t="s">
        <v>2125</v>
      </c>
      <c r="H1966" t="s">
        <v>470</v>
      </c>
      <c r="I1966" t="s">
        <v>475</v>
      </c>
      <c r="J1966">
        <v>2982.5</v>
      </c>
    </row>
    <row r="1967" spans="1:10">
      <c r="A1967" s="90" t="s">
        <v>216</v>
      </c>
      <c r="B1967" s="87">
        <v>46042</v>
      </c>
      <c r="C1967" t="s">
        <v>517</v>
      </c>
      <c r="D1967" t="s">
        <v>2110</v>
      </c>
      <c r="E1967" t="s">
        <v>512</v>
      </c>
      <c r="F1967" t="s">
        <v>1093</v>
      </c>
      <c r="G1967" t="s">
        <v>474</v>
      </c>
      <c r="H1967" t="s">
        <v>470</v>
      </c>
      <c r="I1967" t="s">
        <v>475</v>
      </c>
      <c r="J1967">
        <v>51072.14</v>
      </c>
    </row>
    <row r="1968" spans="1:10">
      <c r="A1968" s="90" t="s">
        <v>216</v>
      </c>
      <c r="B1968" s="87">
        <v>46043</v>
      </c>
      <c r="C1968" t="s">
        <v>3608</v>
      </c>
      <c r="D1968" t="s">
        <v>2110</v>
      </c>
      <c r="E1968" t="s">
        <v>2387</v>
      </c>
      <c r="F1968" t="s">
        <v>1057</v>
      </c>
      <c r="G1968" t="s">
        <v>2213</v>
      </c>
      <c r="H1968" t="s">
        <v>470</v>
      </c>
      <c r="I1968" t="s">
        <v>475</v>
      </c>
      <c r="J1968">
        <v>264.8</v>
      </c>
    </row>
    <row r="1969" spans="1:10">
      <c r="A1969" s="90" t="s">
        <v>216</v>
      </c>
      <c r="B1969" s="87">
        <v>46043</v>
      </c>
      <c r="C1969" t="s">
        <v>3609</v>
      </c>
      <c r="D1969" t="s">
        <v>2110</v>
      </c>
      <c r="E1969" t="s">
        <v>2564</v>
      </c>
      <c r="F1969" t="s">
        <v>3610</v>
      </c>
      <c r="G1969" t="s">
        <v>2115</v>
      </c>
      <c r="H1969" t="s">
        <v>470</v>
      </c>
      <c r="I1969" t="s">
        <v>796</v>
      </c>
      <c r="J1969">
        <v>1049.28</v>
      </c>
    </row>
    <row r="1970" spans="1:10">
      <c r="A1970" s="90" t="s">
        <v>216</v>
      </c>
      <c r="B1970" s="87">
        <v>46043</v>
      </c>
      <c r="C1970" t="s">
        <v>3611</v>
      </c>
      <c r="D1970" t="s">
        <v>2110</v>
      </c>
      <c r="E1970" t="s">
        <v>1667</v>
      </c>
      <c r="F1970" t="s">
        <v>3612</v>
      </c>
      <c r="G1970" t="s">
        <v>2115</v>
      </c>
      <c r="H1970" t="s">
        <v>470</v>
      </c>
      <c r="I1970" t="s">
        <v>475</v>
      </c>
      <c r="J1970">
        <v>842.9</v>
      </c>
    </row>
    <row r="1971" spans="1:10">
      <c r="A1971" s="90" t="s">
        <v>216</v>
      </c>
      <c r="B1971" s="87">
        <v>46043</v>
      </c>
      <c r="C1971" t="s">
        <v>3611</v>
      </c>
      <c r="D1971" t="s">
        <v>2110</v>
      </c>
      <c r="E1971" t="s">
        <v>1667</v>
      </c>
      <c r="F1971" t="s">
        <v>3612</v>
      </c>
      <c r="G1971" t="s">
        <v>259</v>
      </c>
      <c r="H1971" t="s">
        <v>470</v>
      </c>
      <c r="I1971" t="s">
        <v>475</v>
      </c>
      <c r="J1971">
        <v>4045.92</v>
      </c>
    </row>
    <row r="1972" spans="1:10">
      <c r="A1972" s="90" t="s">
        <v>216</v>
      </c>
      <c r="B1972" s="87">
        <v>46043</v>
      </c>
      <c r="C1972" t="s">
        <v>3613</v>
      </c>
      <c r="D1972" t="s">
        <v>2110</v>
      </c>
      <c r="E1972" t="s">
        <v>3614</v>
      </c>
      <c r="F1972" t="s">
        <v>410</v>
      </c>
      <c r="G1972" t="s">
        <v>2112</v>
      </c>
      <c r="H1972" t="s">
        <v>470</v>
      </c>
      <c r="I1972" t="s">
        <v>487</v>
      </c>
      <c r="J1972">
        <v>78918.05</v>
      </c>
    </row>
    <row r="1973" spans="1:10">
      <c r="A1973" s="90" t="s">
        <v>216</v>
      </c>
      <c r="B1973" s="87">
        <v>46043</v>
      </c>
      <c r="C1973" t="s">
        <v>3613</v>
      </c>
      <c r="D1973" t="s">
        <v>2110</v>
      </c>
      <c r="E1973" t="s">
        <v>3614</v>
      </c>
      <c r="F1973" t="s">
        <v>410</v>
      </c>
      <c r="G1973" t="s">
        <v>2112</v>
      </c>
      <c r="H1973" t="s">
        <v>470</v>
      </c>
      <c r="I1973" t="s">
        <v>487</v>
      </c>
      <c r="J1973">
        <v>1081.95</v>
      </c>
    </row>
    <row r="1974" spans="1:10">
      <c r="A1974" s="90" t="s">
        <v>216</v>
      </c>
      <c r="B1974" s="87">
        <v>46043</v>
      </c>
      <c r="C1974" t="s">
        <v>3615</v>
      </c>
      <c r="D1974" t="s">
        <v>2110</v>
      </c>
      <c r="E1974" t="s">
        <v>2387</v>
      </c>
      <c r="F1974" t="s">
        <v>325</v>
      </c>
      <c r="G1974" t="s">
        <v>2213</v>
      </c>
      <c r="H1974" t="s">
        <v>470</v>
      </c>
      <c r="I1974" t="s">
        <v>475</v>
      </c>
      <c r="J1974">
        <v>4613.5</v>
      </c>
    </row>
    <row r="1975" spans="1:10">
      <c r="A1975" s="90" t="s">
        <v>216</v>
      </c>
      <c r="B1975" s="87">
        <v>46043</v>
      </c>
      <c r="C1975" t="s">
        <v>3616</v>
      </c>
      <c r="D1975" t="s">
        <v>2110</v>
      </c>
      <c r="E1975" t="s">
        <v>477</v>
      </c>
      <c r="F1975" t="s">
        <v>353</v>
      </c>
      <c r="G1975" t="s">
        <v>74</v>
      </c>
      <c r="H1975" t="s">
        <v>470</v>
      </c>
      <c r="I1975" t="s">
        <v>471</v>
      </c>
      <c r="J1975">
        <v>250</v>
      </c>
    </row>
    <row r="1976" spans="1:10">
      <c r="A1976" s="90" t="s">
        <v>216</v>
      </c>
      <c r="B1976" s="87">
        <v>46043</v>
      </c>
      <c r="C1976" t="s">
        <v>2275</v>
      </c>
      <c r="D1976" t="s">
        <v>2110</v>
      </c>
      <c r="E1976" t="s">
        <v>477</v>
      </c>
      <c r="F1976" t="s">
        <v>1093</v>
      </c>
      <c r="G1976" t="s">
        <v>74</v>
      </c>
      <c r="H1976" t="s">
        <v>470</v>
      </c>
      <c r="I1976" t="s">
        <v>471</v>
      </c>
      <c r="J1976">
        <v>10</v>
      </c>
    </row>
    <row r="1977" spans="1:10">
      <c r="A1977" s="90" t="s">
        <v>216</v>
      </c>
      <c r="B1977" s="87">
        <v>46043</v>
      </c>
      <c r="C1977" t="s">
        <v>563</v>
      </c>
      <c r="D1977" t="s">
        <v>2110</v>
      </c>
      <c r="E1977" t="s">
        <v>512</v>
      </c>
      <c r="F1977" t="s">
        <v>1093</v>
      </c>
      <c r="G1977" t="s">
        <v>474</v>
      </c>
      <c r="H1977" t="s">
        <v>470</v>
      </c>
      <c r="I1977" t="s">
        <v>475</v>
      </c>
      <c r="J1977">
        <v>86198.1</v>
      </c>
    </row>
    <row r="1978" spans="1:10">
      <c r="A1978" s="90" t="s">
        <v>216</v>
      </c>
      <c r="B1978" s="87">
        <v>46044</v>
      </c>
      <c r="C1978" t="s">
        <v>3617</v>
      </c>
      <c r="D1978" t="s">
        <v>2110</v>
      </c>
      <c r="E1978" t="s">
        <v>477</v>
      </c>
      <c r="F1978" t="s">
        <v>347</v>
      </c>
      <c r="G1978" t="s">
        <v>74</v>
      </c>
      <c r="H1978" t="s">
        <v>470</v>
      </c>
      <c r="I1978" t="s">
        <v>471</v>
      </c>
      <c r="J1978">
        <v>250</v>
      </c>
    </row>
    <row r="1979" spans="1:10">
      <c r="A1979" s="90" t="s">
        <v>216</v>
      </c>
      <c r="B1979" s="87">
        <v>46044</v>
      </c>
      <c r="C1979" t="s">
        <v>517</v>
      </c>
      <c r="D1979" t="s">
        <v>2110</v>
      </c>
      <c r="E1979" t="s">
        <v>512</v>
      </c>
      <c r="F1979" t="s">
        <v>1093</v>
      </c>
      <c r="G1979" t="s">
        <v>474</v>
      </c>
      <c r="H1979" t="s">
        <v>470</v>
      </c>
      <c r="I1979" t="s">
        <v>475</v>
      </c>
      <c r="J1979">
        <v>103357</v>
      </c>
    </row>
    <row r="1980" spans="1:10">
      <c r="A1980" s="90" t="s">
        <v>216</v>
      </c>
      <c r="B1980" s="87">
        <v>46045</v>
      </c>
      <c r="C1980" t="s">
        <v>3618</v>
      </c>
      <c r="D1980" t="s">
        <v>2110</v>
      </c>
      <c r="E1980" t="s">
        <v>2316</v>
      </c>
      <c r="F1980" t="s">
        <v>1093</v>
      </c>
      <c r="G1980" t="s">
        <v>217</v>
      </c>
      <c r="H1980" t="s">
        <v>2264</v>
      </c>
      <c r="I1980" t="s">
        <v>796</v>
      </c>
      <c r="J1980">
        <v>112.4</v>
      </c>
    </row>
    <row r="1981" spans="1:10">
      <c r="A1981" s="90" t="s">
        <v>216</v>
      </c>
      <c r="B1981" s="87">
        <v>46045</v>
      </c>
      <c r="C1981" t="s">
        <v>1108</v>
      </c>
      <c r="D1981" t="s">
        <v>2110</v>
      </c>
      <c r="E1981" t="s">
        <v>477</v>
      </c>
      <c r="F1981" t="s">
        <v>1093</v>
      </c>
      <c r="G1981" t="s">
        <v>537</v>
      </c>
      <c r="H1981" t="s">
        <v>470</v>
      </c>
      <c r="I1981" t="s">
        <v>475</v>
      </c>
      <c r="J1981">
        <v>50000</v>
      </c>
    </row>
    <row r="1982" spans="1:10">
      <c r="A1982" s="90" t="s">
        <v>216</v>
      </c>
      <c r="B1982" s="87">
        <v>46045</v>
      </c>
      <c r="C1982" t="s">
        <v>511</v>
      </c>
      <c r="D1982" t="s">
        <v>2110</v>
      </c>
      <c r="E1982" t="s">
        <v>512</v>
      </c>
      <c r="F1982" t="s">
        <v>1093</v>
      </c>
      <c r="G1982" t="s">
        <v>474</v>
      </c>
      <c r="H1982" t="s">
        <v>470</v>
      </c>
      <c r="I1982" t="s">
        <v>475</v>
      </c>
      <c r="J1982">
        <v>50112.4</v>
      </c>
    </row>
    <row r="1983" spans="1:10">
      <c r="A1983" s="90" t="s">
        <v>216</v>
      </c>
      <c r="B1983" s="87">
        <v>46048</v>
      </c>
      <c r="C1983" t="s">
        <v>3619</v>
      </c>
      <c r="D1983" t="s">
        <v>2110</v>
      </c>
      <c r="E1983" t="s">
        <v>1002</v>
      </c>
      <c r="F1983" t="s">
        <v>968</v>
      </c>
      <c r="G1983" t="s">
        <v>2115</v>
      </c>
      <c r="H1983" t="s">
        <v>470</v>
      </c>
      <c r="I1983" t="s">
        <v>796</v>
      </c>
      <c r="J1983">
        <v>1530</v>
      </c>
    </row>
    <row r="1984" spans="1:10">
      <c r="A1984" s="90" t="s">
        <v>216</v>
      </c>
      <c r="B1984" s="87">
        <v>46048</v>
      </c>
      <c r="C1984" t="s">
        <v>3619</v>
      </c>
      <c r="D1984" t="s">
        <v>2110</v>
      </c>
      <c r="E1984" t="s">
        <v>1002</v>
      </c>
      <c r="F1984" t="s">
        <v>968</v>
      </c>
      <c r="G1984" t="s">
        <v>223</v>
      </c>
      <c r="H1984" t="s">
        <v>470</v>
      </c>
      <c r="I1984" t="s">
        <v>796</v>
      </c>
      <c r="J1984">
        <v>437.6</v>
      </c>
    </row>
    <row r="1985" spans="1:10">
      <c r="A1985" s="90" t="s">
        <v>216</v>
      </c>
      <c r="B1985" s="87">
        <v>46048</v>
      </c>
      <c r="C1985" t="s">
        <v>3620</v>
      </c>
      <c r="D1985" t="s">
        <v>2110</v>
      </c>
      <c r="E1985" t="s">
        <v>477</v>
      </c>
      <c r="F1985" t="s">
        <v>2325</v>
      </c>
      <c r="G1985" t="s">
        <v>515</v>
      </c>
      <c r="H1985" t="s">
        <v>3621</v>
      </c>
      <c r="I1985" t="s">
        <v>471</v>
      </c>
      <c r="J1985">
        <v>33666.57</v>
      </c>
    </row>
    <row r="1986" spans="1:10">
      <c r="A1986" s="90" t="s">
        <v>216</v>
      </c>
      <c r="B1986" s="87">
        <v>46048</v>
      </c>
      <c r="C1986" t="s">
        <v>3620</v>
      </c>
      <c r="D1986" t="s">
        <v>2110</v>
      </c>
      <c r="E1986" t="s">
        <v>477</v>
      </c>
      <c r="F1986" t="s">
        <v>2325</v>
      </c>
      <c r="G1986" t="s">
        <v>69</v>
      </c>
      <c r="H1986" t="s">
        <v>3621</v>
      </c>
      <c r="I1986" t="s">
        <v>471</v>
      </c>
      <c r="J1986">
        <v>3409.41</v>
      </c>
    </row>
    <row r="1987" spans="1:10">
      <c r="A1987" s="90" t="s">
        <v>216</v>
      </c>
      <c r="B1987" s="87">
        <v>46048</v>
      </c>
      <c r="C1987" t="s">
        <v>2275</v>
      </c>
      <c r="D1987" t="s">
        <v>2110</v>
      </c>
      <c r="E1987" t="s">
        <v>477</v>
      </c>
      <c r="F1987" t="s">
        <v>1093</v>
      </c>
      <c r="G1987" t="s">
        <v>74</v>
      </c>
      <c r="H1987" t="s">
        <v>470</v>
      </c>
      <c r="I1987" t="s">
        <v>471</v>
      </c>
      <c r="J1987">
        <v>6.5</v>
      </c>
    </row>
    <row r="1988" spans="1:10">
      <c r="A1988" s="90" t="s">
        <v>216</v>
      </c>
      <c r="B1988" s="87">
        <v>46048</v>
      </c>
      <c r="C1988" t="s">
        <v>511</v>
      </c>
      <c r="D1988" t="s">
        <v>2110</v>
      </c>
      <c r="E1988" t="s">
        <v>512</v>
      </c>
      <c r="F1988" t="s">
        <v>1093</v>
      </c>
      <c r="G1988" t="s">
        <v>474</v>
      </c>
      <c r="H1988" t="s">
        <v>470</v>
      </c>
      <c r="I1988" t="s">
        <v>475</v>
      </c>
      <c r="J1988">
        <v>39230.080000000002</v>
      </c>
    </row>
    <row r="1989" spans="1:10">
      <c r="A1989" s="90" t="s">
        <v>216</v>
      </c>
      <c r="B1989" s="87">
        <v>46049</v>
      </c>
      <c r="C1989" t="s">
        <v>3622</v>
      </c>
      <c r="D1989" t="s">
        <v>2110</v>
      </c>
      <c r="E1989" t="s">
        <v>477</v>
      </c>
      <c r="F1989" t="s">
        <v>1093</v>
      </c>
      <c r="G1989" t="s">
        <v>333</v>
      </c>
      <c r="H1989" t="s">
        <v>470</v>
      </c>
      <c r="I1989" t="s">
        <v>471</v>
      </c>
      <c r="J1989">
        <v>9009.6</v>
      </c>
    </row>
    <row r="1990" spans="1:10">
      <c r="A1990" s="90" t="s">
        <v>216</v>
      </c>
      <c r="B1990" s="87">
        <v>46049</v>
      </c>
      <c r="C1990" t="s">
        <v>511</v>
      </c>
      <c r="D1990" t="s">
        <v>2110</v>
      </c>
      <c r="E1990" t="s">
        <v>512</v>
      </c>
      <c r="F1990" t="s">
        <v>1093</v>
      </c>
      <c r="G1990" t="s">
        <v>474</v>
      </c>
      <c r="H1990" t="s">
        <v>470</v>
      </c>
      <c r="I1990" t="s">
        <v>475</v>
      </c>
      <c r="J1990">
        <v>9009.6</v>
      </c>
    </row>
    <row r="1991" spans="1:10">
      <c r="A1991" s="90" t="s">
        <v>216</v>
      </c>
      <c r="B1991" s="87">
        <v>46050</v>
      </c>
      <c r="C1991" t="s">
        <v>3623</v>
      </c>
      <c r="D1991" t="s">
        <v>2110</v>
      </c>
      <c r="E1991" t="s">
        <v>2338</v>
      </c>
      <c r="F1991" t="s">
        <v>3624</v>
      </c>
      <c r="G1991" t="s">
        <v>70</v>
      </c>
      <c r="H1991" t="s">
        <v>470</v>
      </c>
      <c r="I1991" t="s">
        <v>796</v>
      </c>
      <c r="J1991">
        <v>279.27999999999997</v>
      </c>
    </row>
    <row r="1992" spans="1:10">
      <c r="A1992" s="90" t="s">
        <v>216</v>
      </c>
      <c r="B1992" s="87">
        <v>46050</v>
      </c>
      <c r="C1992" t="s">
        <v>517</v>
      </c>
      <c r="D1992" t="s">
        <v>2110</v>
      </c>
      <c r="E1992" t="s">
        <v>512</v>
      </c>
      <c r="F1992" t="s">
        <v>1093</v>
      </c>
      <c r="G1992" t="s">
        <v>474</v>
      </c>
      <c r="H1992" t="s">
        <v>470</v>
      </c>
      <c r="I1992" t="s">
        <v>475</v>
      </c>
      <c r="J1992">
        <v>46871.519999999997</v>
      </c>
    </row>
    <row r="1993" spans="1:10">
      <c r="A1993" s="90" t="s">
        <v>216</v>
      </c>
      <c r="B1993" s="87">
        <v>46050</v>
      </c>
      <c r="C1993" t="s">
        <v>3625</v>
      </c>
      <c r="D1993" t="s">
        <v>2110</v>
      </c>
      <c r="E1993" t="s">
        <v>477</v>
      </c>
      <c r="F1993" t="s">
        <v>1093</v>
      </c>
      <c r="G1993" t="s">
        <v>194</v>
      </c>
      <c r="H1993" t="s">
        <v>470</v>
      </c>
      <c r="I1993" t="s">
        <v>471</v>
      </c>
      <c r="J1993">
        <v>475</v>
      </c>
    </row>
    <row r="1994" spans="1:10">
      <c r="A1994" s="90" t="s">
        <v>216</v>
      </c>
      <c r="B1994" s="87">
        <v>46050</v>
      </c>
      <c r="C1994" t="s">
        <v>3625</v>
      </c>
      <c r="D1994" t="s">
        <v>2110</v>
      </c>
      <c r="E1994" t="s">
        <v>477</v>
      </c>
      <c r="F1994" t="s">
        <v>1093</v>
      </c>
      <c r="G1994" t="s">
        <v>285</v>
      </c>
      <c r="H1994" t="s">
        <v>470</v>
      </c>
      <c r="I1994" t="s">
        <v>471</v>
      </c>
      <c r="J1994">
        <v>1371.2</v>
      </c>
    </row>
    <row r="1995" spans="1:10">
      <c r="A1995" s="90" t="s">
        <v>216</v>
      </c>
      <c r="B1995" s="87">
        <v>46050</v>
      </c>
      <c r="C1995" t="s">
        <v>3625</v>
      </c>
      <c r="D1995" t="s">
        <v>2110</v>
      </c>
      <c r="E1995" t="s">
        <v>477</v>
      </c>
      <c r="F1995" t="s">
        <v>1093</v>
      </c>
      <c r="G1995" t="s">
        <v>232</v>
      </c>
      <c r="H1995" t="s">
        <v>470</v>
      </c>
      <c r="I1995" t="s">
        <v>471</v>
      </c>
      <c r="J1995">
        <v>500</v>
      </c>
    </row>
    <row r="1996" spans="1:10">
      <c r="A1996" s="90" t="s">
        <v>216</v>
      </c>
      <c r="B1996" s="87">
        <v>46050</v>
      </c>
      <c r="C1996" t="s">
        <v>3625</v>
      </c>
      <c r="D1996" t="s">
        <v>2110</v>
      </c>
      <c r="E1996" t="s">
        <v>477</v>
      </c>
      <c r="F1996" t="s">
        <v>1093</v>
      </c>
      <c r="G1996" t="s">
        <v>219</v>
      </c>
      <c r="H1996" t="s">
        <v>470</v>
      </c>
      <c r="I1996" t="s">
        <v>471</v>
      </c>
      <c r="J1996">
        <v>500</v>
      </c>
    </row>
    <row r="1997" spans="1:10">
      <c r="A1997" s="90" t="s">
        <v>216</v>
      </c>
      <c r="B1997" s="87">
        <v>46050</v>
      </c>
      <c r="C1997" t="s">
        <v>3625</v>
      </c>
      <c r="D1997" t="s">
        <v>2110</v>
      </c>
      <c r="E1997" t="s">
        <v>477</v>
      </c>
      <c r="F1997" t="s">
        <v>1093</v>
      </c>
      <c r="G1997" t="s">
        <v>74</v>
      </c>
      <c r="H1997" t="s">
        <v>470</v>
      </c>
      <c r="I1997" t="s">
        <v>471</v>
      </c>
      <c r="J1997">
        <v>3</v>
      </c>
    </row>
    <row r="1998" spans="1:10">
      <c r="A1998" s="90" t="s">
        <v>216</v>
      </c>
      <c r="B1998" s="87">
        <v>46052</v>
      </c>
      <c r="C1998" t="s">
        <v>2336</v>
      </c>
      <c r="D1998" t="s">
        <v>2110</v>
      </c>
      <c r="E1998" t="s">
        <v>480</v>
      </c>
      <c r="F1998" t="s">
        <v>1093</v>
      </c>
      <c r="G1998" t="s">
        <v>71</v>
      </c>
      <c r="H1998" t="s">
        <v>2264</v>
      </c>
      <c r="I1998" t="s">
        <v>475</v>
      </c>
      <c r="J1998">
        <v>2314</v>
      </c>
    </row>
    <row r="1999" spans="1:10">
      <c r="A1999" s="90" t="s">
        <v>216</v>
      </c>
      <c r="B1999" s="87">
        <v>46052</v>
      </c>
      <c r="C1999" t="s">
        <v>3626</v>
      </c>
      <c r="D1999" t="s">
        <v>2110</v>
      </c>
      <c r="E1999" t="s">
        <v>1137</v>
      </c>
      <c r="F1999" t="s">
        <v>3627</v>
      </c>
      <c r="G1999" t="s">
        <v>61</v>
      </c>
      <c r="H1999" t="s">
        <v>2264</v>
      </c>
      <c r="I1999" t="s">
        <v>487</v>
      </c>
      <c r="J1999">
        <v>1621</v>
      </c>
    </row>
    <row r="2000" spans="1:10">
      <c r="A2000" s="90" t="s">
        <v>216</v>
      </c>
      <c r="B2000" s="87">
        <v>46052</v>
      </c>
      <c r="C2000" t="s">
        <v>3628</v>
      </c>
      <c r="D2000" t="s">
        <v>2110</v>
      </c>
      <c r="E2000" t="s">
        <v>1756</v>
      </c>
      <c r="F2000" t="s">
        <v>1014</v>
      </c>
      <c r="G2000" t="s">
        <v>67</v>
      </c>
      <c r="H2000" t="s">
        <v>470</v>
      </c>
      <c r="I2000" t="s">
        <v>796</v>
      </c>
      <c r="J2000">
        <v>862.73</v>
      </c>
    </row>
    <row r="2001" spans="1:10">
      <c r="A2001" s="90" t="s">
        <v>216</v>
      </c>
      <c r="B2001" s="87">
        <v>46052</v>
      </c>
      <c r="C2001" t="s">
        <v>3628</v>
      </c>
      <c r="D2001" t="s">
        <v>2110</v>
      </c>
      <c r="E2001" t="s">
        <v>1756</v>
      </c>
      <c r="F2001" t="s">
        <v>1014</v>
      </c>
      <c r="G2001" t="s">
        <v>59</v>
      </c>
      <c r="H2001" t="s">
        <v>470</v>
      </c>
      <c r="I2001" t="s">
        <v>796</v>
      </c>
      <c r="J2001">
        <v>615.52</v>
      </c>
    </row>
    <row r="2002" spans="1:10">
      <c r="A2002" s="90" t="s">
        <v>216</v>
      </c>
      <c r="B2002" s="87">
        <v>46052</v>
      </c>
      <c r="C2002" t="s">
        <v>3629</v>
      </c>
      <c r="D2002" t="s">
        <v>2110</v>
      </c>
      <c r="E2002" t="s">
        <v>2300</v>
      </c>
      <c r="F2002" t="s">
        <v>1093</v>
      </c>
      <c r="G2002" t="s">
        <v>220</v>
      </c>
      <c r="H2002" t="s">
        <v>3630</v>
      </c>
      <c r="I2002" t="s">
        <v>796</v>
      </c>
      <c r="J2002">
        <v>3080.1</v>
      </c>
    </row>
    <row r="2003" spans="1:10">
      <c r="A2003" s="90" t="s">
        <v>216</v>
      </c>
      <c r="B2003" s="87">
        <v>46052</v>
      </c>
      <c r="C2003" t="s">
        <v>3631</v>
      </c>
      <c r="D2003" t="s">
        <v>2110</v>
      </c>
      <c r="E2003" t="s">
        <v>1137</v>
      </c>
      <c r="F2003" t="s">
        <v>3632</v>
      </c>
      <c r="G2003" t="s">
        <v>486</v>
      </c>
      <c r="H2003" t="s">
        <v>470</v>
      </c>
      <c r="I2003" t="s">
        <v>487</v>
      </c>
      <c r="J2003">
        <v>693</v>
      </c>
    </row>
    <row r="2004" spans="1:10">
      <c r="A2004" s="90" t="s">
        <v>216</v>
      </c>
      <c r="B2004" s="87">
        <v>46052</v>
      </c>
      <c r="C2004" t="s">
        <v>3633</v>
      </c>
      <c r="D2004" t="s">
        <v>2110</v>
      </c>
      <c r="E2004" t="s">
        <v>480</v>
      </c>
      <c r="F2004" t="s">
        <v>1093</v>
      </c>
      <c r="G2004" t="s">
        <v>180</v>
      </c>
      <c r="H2004" t="s">
        <v>2264</v>
      </c>
      <c r="I2004" t="s">
        <v>475</v>
      </c>
      <c r="J2004">
        <v>2874.69</v>
      </c>
    </row>
    <row r="2005" spans="1:10">
      <c r="A2005" s="90" t="s">
        <v>216</v>
      </c>
      <c r="B2005" s="87">
        <v>46052</v>
      </c>
      <c r="C2005" t="s">
        <v>511</v>
      </c>
      <c r="D2005" t="s">
        <v>2110</v>
      </c>
      <c r="E2005" t="s">
        <v>512</v>
      </c>
      <c r="F2005" t="s">
        <v>1093</v>
      </c>
      <c r="G2005" t="s">
        <v>474</v>
      </c>
      <c r="H2005" t="s">
        <v>470</v>
      </c>
      <c r="I2005" t="s">
        <v>475</v>
      </c>
      <c r="J2005">
        <v>12071.04</v>
      </c>
    </row>
    <row r="2006" spans="1:10">
      <c r="A2006" s="90" t="s">
        <v>216</v>
      </c>
      <c r="B2006" s="87">
        <v>46052</v>
      </c>
      <c r="C2006" t="s">
        <v>2275</v>
      </c>
      <c r="D2006" t="s">
        <v>2110</v>
      </c>
      <c r="E2006" t="s">
        <v>477</v>
      </c>
      <c r="F2006" t="s">
        <v>1093</v>
      </c>
      <c r="G2006" t="s">
        <v>74</v>
      </c>
      <c r="H2006" t="s">
        <v>470</v>
      </c>
      <c r="I2006" t="s">
        <v>471</v>
      </c>
      <c r="J2006">
        <v>10</v>
      </c>
    </row>
    <row r="2007" spans="1:10">
      <c r="A2007" s="90" t="s">
        <v>216</v>
      </c>
      <c r="B2007" s="87">
        <v>46052</v>
      </c>
      <c r="C2007" t="s">
        <v>2347</v>
      </c>
      <c r="D2007" t="s">
        <v>2110</v>
      </c>
      <c r="E2007" t="s">
        <v>477</v>
      </c>
      <c r="F2007" t="s">
        <v>1093</v>
      </c>
      <c r="G2007" t="s">
        <v>68</v>
      </c>
      <c r="H2007" t="s">
        <v>470</v>
      </c>
      <c r="I2007" t="s">
        <v>471</v>
      </c>
      <c r="J2007">
        <v>2726.87</v>
      </c>
    </row>
    <row r="2008" spans="1:10">
      <c r="A2008" s="90" t="s">
        <v>216</v>
      </c>
      <c r="B2008" s="87">
        <v>46052</v>
      </c>
      <c r="C2008" t="s">
        <v>2348</v>
      </c>
      <c r="D2008" t="s">
        <v>2110</v>
      </c>
      <c r="E2008" t="s">
        <v>477</v>
      </c>
      <c r="F2008" t="s">
        <v>1093</v>
      </c>
      <c r="G2008" t="s">
        <v>66</v>
      </c>
      <c r="H2008" t="s">
        <v>470</v>
      </c>
      <c r="I2008" t="s">
        <v>471</v>
      </c>
      <c r="J2008">
        <v>205.51</v>
      </c>
    </row>
    <row r="2009" spans="1:10">
      <c r="A2009" s="90" t="s">
        <v>216</v>
      </c>
      <c r="B2009" s="87">
        <v>46052</v>
      </c>
      <c r="C2009" t="s">
        <v>2347</v>
      </c>
      <c r="D2009" t="s">
        <v>2110</v>
      </c>
      <c r="E2009" t="s">
        <v>477</v>
      </c>
      <c r="F2009" t="s">
        <v>1093</v>
      </c>
      <c r="G2009" t="s">
        <v>68</v>
      </c>
      <c r="H2009" t="s">
        <v>470</v>
      </c>
      <c r="I2009" t="s">
        <v>471</v>
      </c>
      <c r="J2009">
        <v>60.52</v>
      </c>
    </row>
    <row r="2010" spans="1:10">
      <c r="A2010" s="90" t="s">
        <v>216</v>
      </c>
      <c r="B2010" s="87">
        <v>46055</v>
      </c>
      <c r="C2010" t="s">
        <v>3634</v>
      </c>
      <c r="D2010" t="s">
        <v>2110</v>
      </c>
      <c r="E2010" t="s">
        <v>2456</v>
      </c>
      <c r="F2010" t="s">
        <v>1121</v>
      </c>
      <c r="G2010" t="s">
        <v>233</v>
      </c>
      <c r="H2010" t="s">
        <v>470</v>
      </c>
      <c r="I2010" t="s">
        <v>796</v>
      </c>
      <c r="J2010">
        <v>1419.44</v>
      </c>
    </row>
    <row r="2011" spans="1:10">
      <c r="A2011" s="90" t="s">
        <v>216</v>
      </c>
      <c r="B2011" s="87">
        <v>46055</v>
      </c>
      <c r="C2011" t="s">
        <v>3635</v>
      </c>
      <c r="D2011" t="s">
        <v>2110</v>
      </c>
      <c r="E2011" t="s">
        <v>3636</v>
      </c>
      <c r="F2011" t="s">
        <v>1289</v>
      </c>
      <c r="G2011" t="s">
        <v>2112</v>
      </c>
      <c r="H2011" t="s">
        <v>470</v>
      </c>
      <c r="I2011" t="s">
        <v>487</v>
      </c>
      <c r="J2011">
        <v>93156.21</v>
      </c>
    </row>
    <row r="2012" spans="1:10">
      <c r="A2012" s="90" t="s">
        <v>216</v>
      </c>
      <c r="B2012" s="87">
        <v>46055</v>
      </c>
      <c r="C2012" t="s">
        <v>3637</v>
      </c>
      <c r="D2012" t="s">
        <v>2110</v>
      </c>
      <c r="E2012" t="s">
        <v>480</v>
      </c>
      <c r="F2012" t="s">
        <v>1121</v>
      </c>
      <c r="G2012" t="s">
        <v>72</v>
      </c>
      <c r="H2012" t="s">
        <v>470</v>
      </c>
      <c r="I2012" t="s">
        <v>475</v>
      </c>
      <c r="J2012">
        <v>151.97999999999999</v>
      </c>
    </row>
    <row r="2013" spans="1:10">
      <c r="A2013" s="90" t="s">
        <v>216</v>
      </c>
      <c r="B2013" s="87">
        <v>46055</v>
      </c>
      <c r="C2013" t="s">
        <v>3637</v>
      </c>
      <c r="D2013" t="s">
        <v>2110</v>
      </c>
      <c r="E2013" t="s">
        <v>480</v>
      </c>
      <c r="F2013" t="s">
        <v>1121</v>
      </c>
      <c r="G2013" t="s">
        <v>58</v>
      </c>
      <c r="H2013" t="s">
        <v>470</v>
      </c>
      <c r="I2013" t="s">
        <v>475</v>
      </c>
      <c r="J2013">
        <v>810.76</v>
      </c>
    </row>
    <row r="2014" spans="1:10">
      <c r="A2014" s="90" t="s">
        <v>216</v>
      </c>
      <c r="B2014" s="87">
        <v>46055</v>
      </c>
      <c r="C2014" t="s">
        <v>3637</v>
      </c>
      <c r="D2014" t="s">
        <v>2110</v>
      </c>
      <c r="E2014" t="s">
        <v>480</v>
      </c>
      <c r="F2014" t="s">
        <v>1121</v>
      </c>
      <c r="G2014" t="s">
        <v>198</v>
      </c>
      <c r="H2014" t="s">
        <v>470</v>
      </c>
      <c r="I2014" t="s">
        <v>475</v>
      </c>
      <c r="J2014">
        <v>618.97</v>
      </c>
    </row>
    <row r="2015" spans="1:10">
      <c r="A2015" s="90" t="s">
        <v>216</v>
      </c>
      <c r="B2015" s="87">
        <v>46055</v>
      </c>
      <c r="C2015" t="s">
        <v>3637</v>
      </c>
      <c r="D2015" t="s">
        <v>2110</v>
      </c>
      <c r="E2015" t="s">
        <v>480</v>
      </c>
      <c r="F2015" t="s">
        <v>1121</v>
      </c>
      <c r="G2015" t="s">
        <v>198</v>
      </c>
      <c r="H2015" t="s">
        <v>470</v>
      </c>
      <c r="I2015" t="s">
        <v>475</v>
      </c>
      <c r="J2015">
        <v>583.20000000000005</v>
      </c>
    </row>
    <row r="2016" spans="1:10">
      <c r="A2016" s="90" t="s">
        <v>216</v>
      </c>
      <c r="B2016" s="87">
        <v>46055</v>
      </c>
      <c r="C2016" t="s">
        <v>3637</v>
      </c>
      <c r="D2016" t="s">
        <v>2110</v>
      </c>
      <c r="E2016" t="s">
        <v>480</v>
      </c>
      <c r="F2016" t="s">
        <v>1121</v>
      </c>
      <c r="G2016" t="s">
        <v>198</v>
      </c>
      <c r="H2016" t="s">
        <v>470</v>
      </c>
      <c r="I2016" t="s">
        <v>475</v>
      </c>
      <c r="J2016">
        <v>608.28</v>
      </c>
    </row>
    <row r="2017" spans="1:10">
      <c r="A2017" s="90" t="s">
        <v>216</v>
      </c>
      <c r="B2017" s="87">
        <v>46055</v>
      </c>
      <c r="C2017" t="s">
        <v>3637</v>
      </c>
      <c r="D2017" t="s">
        <v>2110</v>
      </c>
      <c r="E2017" t="s">
        <v>480</v>
      </c>
      <c r="F2017" t="s">
        <v>1121</v>
      </c>
      <c r="G2017" t="s">
        <v>62</v>
      </c>
      <c r="H2017" t="s">
        <v>470</v>
      </c>
      <c r="I2017" t="s">
        <v>475</v>
      </c>
      <c r="J2017">
        <v>680</v>
      </c>
    </row>
    <row r="2018" spans="1:10">
      <c r="A2018" s="90" t="s">
        <v>216</v>
      </c>
      <c r="B2018" s="87">
        <v>46055</v>
      </c>
      <c r="C2018" t="s">
        <v>3637</v>
      </c>
      <c r="D2018" t="s">
        <v>2110</v>
      </c>
      <c r="E2018" t="s">
        <v>480</v>
      </c>
      <c r="F2018" t="s">
        <v>1121</v>
      </c>
      <c r="G2018" t="s">
        <v>75</v>
      </c>
      <c r="H2018" t="s">
        <v>470</v>
      </c>
      <c r="I2018" t="s">
        <v>475</v>
      </c>
      <c r="J2018">
        <v>190</v>
      </c>
    </row>
    <row r="2019" spans="1:10">
      <c r="A2019" s="90" t="s">
        <v>216</v>
      </c>
      <c r="B2019" s="87">
        <v>46055</v>
      </c>
      <c r="C2019" t="s">
        <v>3638</v>
      </c>
      <c r="D2019" t="s">
        <v>2110</v>
      </c>
      <c r="E2019" t="s">
        <v>3639</v>
      </c>
      <c r="F2019" t="s">
        <v>1093</v>
      </c>
      <c r="G2019" t="s">
        <v>60</v>
      </c>
      <c r="H2019" t="s">
        <v>2264</v>
      </c>
      <c r="I2019" t="s">
        <v>796</v>
      </c>
      <c r="J2019">
        <v>186.64</v>
      </c>
    </row>
    <row r="2020" spans="1:10">
      <c r="A2020" s="90" t="s">
        <v>216</v>
      </c>
      <c r="B2020" s="87">
        <v>46055</v>
      </c>
      <c r="C2020" t="s">
        <v>3640</v>
      </c>
      <c r="D2020" t="s">
        <v>2110</v>
      </c>
      <c r="E2020" t="s">
        <v>477</v>
      </c>
      <c r="F2020" t="s">
        <v>1000</v>
      </c>
      <c r="G2020" t="s">
        <v>515</v>
      </c>
      <c r="H2020" t="s">
        <v>2351</v>
      </c>
      <c r="I2020" t="s">
        <v>471</v>
      </c>
      <c r="J2020">
        <v>125000</v>
      </c>
    </row>
    <row r="2021" spans="1:10">
      <c r="A2021" s="90" t="s">
        <v>216</v>
      </c>
      <c r="B2021" s="87">
        <v>46055</v>
      </c>
      <c r="C2021" t="s">
        <v>3640</v>
      </c>
      <c r="D2021" t="s">
        <v>2110</v>
      </c>
      <c r="E2021" t="s">
        <v>477</v>
      </c>
      <c r="F2021" t="s">
        <v>1000</v>
      </c>
      <c r="G2021" t="s">
        <v>69</v>
      </c>
      <c r="H2021" t="s">
        <v>2351</v>
      </c>
      <c r="I2021" t="s">
        <v>471</v>
      </c>
      <c r="J2021">
        <v>18899.36</v>
      </c>
    </row>
    <row r="2022" spans="1:10">
      <c r="A2022" s="90" t="s">
        <v>216</v>
      </c>
      <c r="B2022" s="87">
        <v>46055</v>
      </c>
      <c r="C2022" t="s">
        <v>3641</v>
      </c>
      <c r="D2022" t="s">
        <v>2110</v>
      </c>
      <c r="E2022" t="s">
        <v>477</v>
      </c>
      <c r="F2022" t="s">
        <v>2273</v>
      </c>
      <c r="G2022" t="s">
        <v>2269</v>
      </c>
      <c r="H2022" t="s">
        <v>2352</v>
      </c>
      <c r="I2022" t="s">
        <v>471</v>
      </c>
      <c r="J2022">
        <v>10125</v>
      </c>
    </row>
    <row r="2023" spans="1:10">
      <c r="A2023" s="90" t="s">
        <v>216</v>
      </c>
      <c r="B2023" s="87">
        <v>46055</v>
      </c>
      <c r="C2023" t="s">
        <v>3641</v>
      </c>
      <c r="D2023" t="s">
        <v>2110</v>
      </c>
      <c r="E2023" t="s">
        <v>477</v>
      </c>
      <c r="F2023" t="s">
        <v>2273</v>
      </c>
      <c r="G2023" t="s">
        <v>2271</v>
      </c>
      <c r="H2023" t="s">
        <v>2352</v>
      </c>
      <c r="I2023" t="s">
        <v>471</v>
      </c>
      <c r="J2023">
        <v>253.31</v>
      </c>
    </row>
    <row r="2024" spans="1:10">
      <c r="A2024" s="90" t="s">
        <v>216</v>
      </c>
      <c r="B2024" s="87">
        <v>46055</v>
      </c>
      <c r="C2024" t="s">
        <v>1119</v>
      </c>
      <c r="D2024" t="s">
        <v>2110</v>
      </c>
      <c r="E2024" t="s">
        <v>1120</v>
      </c>
      <c r="F2024" t="s">
        <v>527</v>
      </c>
      <c r="G2024" t="s">
        <v>285</v>
      </c>
      <c r="H2024" t="s">
        <v>470</v>
      </c>
      <c r="I2024" t="s">
        <v>487</v>
      </c>
      <c r="J2024">
        <v>765</v>
      </c>
    </row>
    <row r="2025" spans="1:10">
      <c r="A2025" s="90" t="s">
        <v>216</v>
      </c>
      <c r="B2025" s="87">
        <v>46055</v>
      </c>
      <c r="C2025" t="s">
        <v>511</v>
      </c>
      <c r="D2025" t="s">
        <v>2110</v>
      </c>
      <c r="E2025" t="s">
        <v>512</v>
      </c>
      <c r="F2025" t="s">
        <v>1121</v>
      </c>
      <c r="G2025" t="s">
        <v>474</v>
      </c>
      <c r="H2025" t="s">
        <v>470</v>
      </c>
      <c r="I2025" t="s">
        <v>475</v>
      </c>
      <c r="J2025">
        <v>93000</v>
      </c>
    </row>
    <row r="2026" spans="1:10">
      <c r="A2026" s="90" t="s">
        <v>216</v>
      </c>
      <c r="B2026" s="87">
        <v>46055</v>
      </c>
      <c r="C2026" t="s">
        <v>3642</v>
      </c>
      <c r="D2026" t="s">
        <v>2110</v>
      </c>
      <c r="E2026" t="s">
        <v>2262</v>
      </c>
      <c r="F2026" t="s">
        <v>3643</v>
      </c>
      <c r="G2026" t="s">
        <v>73</v>
      </c>
      <c r="H2026" t="s">
        <v>2351</v>
      </c>
      <c r="I2026" t="s">
        <v>796</v>
      </c>
      <c r="J2026">
        <v>675.96</v>
      </c>
    </row>
    <row r="2027" spans="1:10">
      <c r="A2027" s="90" t="s">
        <v>216</v>
      </c>
      <c r="B2027" s="87">
        <v>46055</v>
      </c>
      <c r="C2027" t="s">
        <v>3644</v>
      </c>
      <c r="D2027" t="s">
        <v>2110</v>
      </c>
      <c r="E2027" t="s">
        <v>477</v>
      </c>
      <c r="F2027" t="s">
        <v>1121</v>
      </c>
      <c r="G2027" t="s">
        <v>334</v>
      </c>
      <c r="H2027" t="s">
        <v>470</v>
      </c>
      <c r="I2027" t="s">
        <v>471</v>
      </c>
      <c r="J2027">
        <v>2547.5700000000002</v>
      </c>
    </row>
    <row r="2028" spans="1:10">
      <c r="A2028" s="90" t="s">
        <v>216</v>
      </c>
      <c r="B2028" s="87">
        <v>46055</v>
      </c>
      <c r="C2028" t="s">
        <v>2275</v>
      </c>
      <c r="D2028" t="s">
        <v>2110</v>
      </c>
      <c r="E2028" t="s">
        <v>477</v>
      </c>
      <c r="F2028" t="s">
        <v>1121</v>
      </c>
      <c r="G2028" t="s">
        <v>74</v>
      </c>
      <c r="H2028" t="s">
        <v>470</v>
      </c>
      <c r="I2028" t="s">
        <v>471</v>
      </c>
      <c r="J2028">
        <v>15</v>
      </c>
    </row>
    <row r="2029" spans="1:10">
      <c r="A2029" s="90" t="s">
        <v>216</v>
      </c>
      <c r="B2029" s="87">
        <v>46055</v>
      </c>
      <c r="C2029" t="s">
        <v>2275</v>
      </c>
      <c r="D2029" t="s">
        <v>2110</v>
      </c>
      <c r="E2029" t="s">
        <v>477</v>
      </c>
      <c r="F2029" t="s">
        <v>1121</v>
      </c>
      <c r="G2029" t="s">
        <v>74</v>
      </c>
      <c r="H2029" t="s">
        <v>470</v>
      </c>
      <c r="I2029" t="s">
        <v>471</v>
      </c>
      <c r="J2029">
        <v>10</v>
      </c>
    </row>
    <row r="2030" spans="1:10">
      <c r="A2030" s="90" t="s">
        <v>216</v>
      </c>
      <c r="B2030" s="87">
        <v>46055</v>
      </c>
      <c r="C2030" t="s">
        <v>511</v>
      </c>
      <c r="D2030" t="s">
        <v>2110</v>
      </c>
      <c r="E2030" t="s">
        <v>512</v>
      </c>
      <c r="F2030" t="s">
        <v>1122</v>
      </c>
      <c r="G2030" t="s">
        <v>474</v>
      </c>
      <c r="H2030" t="s">
        <v>470</v>
      </c>
      <c r="I2030" t="s">
        <v>475</v>
      </c>
      <c r="J2030">
        <v>108962.9</v>
      </c>
    </row>
    <row r="2031" spans="1:10">
      <c r="A2031" s="90" t="s">
        <v>216</v>
      </c>
      <c r="B2031" s="87">
        <v>46055</v>
      </c>
      <c r="C2031" t="s">
        <v>511</v>
      </c>
      <c r="D2031" t="s">
        <v>2110</v>
      </c>
      <c r="E2031" t="s">
        <v>512</v>
      </c>
      <c r="F2031" t="s">
        <v>1122</v>
      </c>
      <c r="G2031" t="s">
        <v>474</v>
      </c>
      <c r="H2031" t="s">
        <v>470</v>
      </c>
      <c r="I2031" t="s">
        <v>475</v>
      </c>
      <c r="J2031">
        <v>152553.37</v>
      </c>
    </row>
    <row r="2032" spans="1:10">
      <c r="A2032" s="90" t="s">
        <v>216</v>
      </c>
      <c r="B2032" s="87">
        <v>46056</v>
      </c>
      <c r="C2032" t="s">
        <v>3645</v>
      </c>
      <c r="D2032" t="s">
        <v>2110</v>
      </c>
      <c r="E2032" t="s">
        <v>1120</v>
      </c>
      <c r="F2032" t="s">
        <v>527</v>
      </c>
      <c r="G2032" t="s">
        <v>285</v>
      </c>
      <c r="H2032" t="s">
        <v>470</v>
      </c>
      <c r="I2032" t="s">
        <v>487</v>
      </c>
      <c r="J2032">
        <v>765</v>
      </c>
    </row>
    <row r="2033" spans="1:10">
      <c r="A2033" s="90" t="s">
        <v>216</v>
      </c>
      <c r="B2033" s="87">
        <v>46056</v>
      </c>
      <c r="C2033" t="s">
        <v>511</v>
      </c>
      <c r="D2033" t="s">
        <v>2110</v>
      </c>
      <c r="E2033" t="s">
        <v>512</v>
      </c>
      <c r="F2033" t="s">
        <v>1123</v>
      </c>
      <c r="G2033" t="s">
        <v>474</v>
      </c>
      <c r="H2033" t="s">
        <v>470</v>
      </c>
      <c r="I2033" t="s">
        <v>475</v>
      </c>
      <c r="J2033">
        <v>10076.629999999999</v>
      </c>
    </row>
    <row r="2034" spans="1:10">
      <c r="A2034" s="90" t="s">
        <v>216</v>
      </c>
      <c r="B2034" s="87">
        <v>46056</v>
      </c>
      <c r="C2034" t="s">
        <v>3646</v>
      </c>
      <c r="D2034" t="s">
        <v>2110</v>
      </c>
      <c r="E2034" t="s">
        <v>477</v>
      </c>
      <c r="F2034" t="s">
        <v>1121</v>
      </c>
      <c r="G2034" t="s">
        <v>74</v>
      </c>
      <c r="H2034" t="s">
        <v>470</v>
      </c>
      <c r="I2034" t="s">
        <v>471</v>
      </c>
      <c r="J2034">
        <v>17.57</v>
      </c>
    </row>
    <row r="2035" spans="1:10">
      <c r="A2035" s="90" t="s">
        <v>216</v>
      </c>
      <c r="B2035" s="87">
        <v>46057</v>
      </c>
      <c r="C2035" t="s">
        <v>2876</v>
      </c>
      <c r="D2035" t="s">
        <v>2110</v>
      </c>
      <c r="E2035" t="s">
        <v>1756</v>
      </c>
      <c r="F2035" t="s">
        <v>1093</v>
      </c>
      <c r="G2035" t="s">
        <v>67</v>
      </c>
      <c r="H2035" t="s">
        <v>2264</v>
      </c>
      <c r="I2035" t="s">
        <v>796</v>
      </c>
      <c r="J2035">
        <v>507.3</v>
      </c>
    </row>
    <row r="2036" spans="1:10">
      <c r="A2036" s="90" t="s">
        <v>216</v>
      </c>
      <c r="B2036" s="87">
        <v>46057</v>
      </c>
      <c r="C2036" t="s">
        <v>3647</v>
      </c>
      <c r="D2036" t="s">
        <v>2110</v>
      </c>
      <c r="E2036" t="s">
        <v>3547</v>
      </c>
      <c r="F2036" t="s">
        <v>372</v>
      </c>
      <c r="G2036" t="s">
        <v>2112</v>
      </c>
      <c r="H2036" t="s">
        <v>470</v>
      </c>
      <c r="I2036" t="s">
        <v>487</v>
      </c>
      <c r="J2036">
        <v>4784.41</v>
      </c>
    </row>
    <row r="2037" spans="1:10">
      <c r="A2037" s="90" t="s">
        <v>216</v>
      </c>
      <c r="B2037" s="87">
        <v>46057</v>
      </c>
      <c r="C2037" t="s">
        <v>3648</v>
      </c>
      <c r="D2037" t="s">
        <v>2110</v>
      </c>
      <c r="E2037" t="s">
        <v>3649</v>
      </c>
      <c r="F2037" t="s">
        <v>1126</v>
      </c>
      <c r="G2037" t="s">
        <v>2125</v>
      </c>
      <c r="H2037" t="s">
        <v>470</v>
      </c>
      <c r="I2037" t="s">
        <v>475</v>
      </c>
      <c r="J2037">
        <v>6517</v>
      </c>
    </row>
    <row r="2038" spans="1:10">
      <c r="A2038" s="90" t="s">
        <v>216</v>
      </c>
      <c r="B2038" s="87">
        <v>46057</v>
      </c>
      <c r="C2038" t="s">
        <v>3650</v>
      </c>
      <c r="D2038" t="s">
        <v>2110</v>
      </c>
      <c r="E2038" t="s">
        <v>3651</v>
      </c>
      <c r="F2038" t="s">
        <v>1093</v>
      </c>
      <c r="G2038" t="s">
        <v>431</v>
      </c>
      <c r="H2038" t="s">
        <v>470</v>
      </c>
      <c r="I2038" t="s">
        <v>487</v>
      </c>
      <c r="J2038">
        <v>740</v>
      </c>
    </row>
    <row r="2039" spans="1:10">
      <c r="A2039" s="90" t="s">
        <v>216</v>
      </c>
      <c r="B2039" s="87">
        <v>46057</v>
      </c>
      <c r="C2039" t="s">
        <v>511</v>
      </c>
      <c r="D2039" t="s">
        <v>2110</v>
      </c>
      <c r="E2039" t="s">
        <v>512</v>
      </c>
      <c r="F2039" t="s">
        <v>1122</v>
      </c>
      <c r="G2039" t="s">
        <v>474</v>
      </c>
      <c r="H2039" t="s">
        <v>470</v>
      </c>
      <c r="I2039" t="s">
        <v>475</v>
      </c>
      <c r="J2039">
        <v>12591.03</v>
      </c>
    </row>
    <row r="2040" spans="1:10">
      <c r="A2040" s="90" t="s">
        <v>216</v>
      </c>
      <c r="B2040" s="87">
        <v>46057</v>
      </c>
      <c r="C2040" t="s">
        <v>3652</v>
      </c>
      <c r="D2040" t="s">
        <v>2110</v>
      </c>
      <c r="E2040" t="s">
        <v>477</v>
      </c>
      <c r="F2040" t="s">
        <v>1121</v>
      </c>
      <c r="G2040" t="s">
        <v>74</v>
      </c>
      <c r="H2040" t="s">
        <v>470</v>
      </c>
      <c r="I2040" t="s">
        <v>471</v>
      </c>
      <c r="J2040">
        <v>37.32</v>
      </c>
    </row>
    <row r="2041" spans="1:10">
      <c r="A2041" s="90" t="s">
        <v>216</v>
      </c>
      <c r="B2041" s="87">
        <v>46057</v>
      </c>
      <c r="C2041" t="s">
        <v>2275</v>
      </c>
      <c r="D2041" t="s">
        <v>2110</v>
      </c>
      <c r="E2041" t="s">
        <v>477</v>
      </c>
      <c r="F2041" t="s">
        <v>1121</v>
      </c>
      <c r="G2041" t="s">
        <v>74</v>
      </c>
      <c r="H2041" t="s">
        <v>470</v>
      </c>
      <c r="I2041" t="s">
        <v>471</v>
      </c>
      <c r="J2041">
        <v>5</v>
      </c>
    </row>
    <row r="2042" spans="1:10">
      <c r="A2042" s="90" t="s">
        <v>216</v>
      </c>
      <c r="B2042" s="87">
        <v>46057</v>
      </c>
      <c r="C2042" t="s">
        <v>511</v>
      </c>
      <c r="D2042" t="s">
        <v>2110</v>
      </c>
      <c r="E2042" t="s">
        <v>512</v>
      </c>
      <c r="F2042" t="s">
        <v>1122</v>
      </c>
      <c r="G2042" t="s">
        <v>474</v>
      </c>
      <c r="H2042" t="s">
        <v>470</v>
      </c>
      <c r="I2042" t="s">
        <v>475</v>
      </c>
      <c r="J2042">
        <v>60000</v>
      </c>
    </row>
    <row r="2043" spans="1:10">
      <c r="A2043" s="90" t="s">
        <v>216</v>
      </c>
      <c r="B2043" s="87">
        <v>46057</v>
      </c>
      <c r="C2043" t="s">
        <v>511</v>
      </c>
      <c r="D2043" t="s">
        <v>2110</v>
      </c>
      <c r="E2043" t="s">
        <v>512</v>
      </c>
      <c r="F2043" t="s">
        <v>1122</v>
      </c>
      <c r="G2043" t="s">
        <v>474</v>
      </c>
      <c r="H2043" t="s">
        <v>470</v>
      </c>
      <c r="I2043" t="s">
        <v>475</v>
      </c>
      <c r="J2043">
        <v>392.37</v>
      </c>
    </row>
    <row r="2044" spans="1:10">
      <c r="A2044" s="90" t="s">
        <v>216</v>
      </c>
      <c r="B2044" s="87">
        <v>46057</v>
      </c>
      <c r="C2044" t="s">
        <v>3653</v>
      </c>
      <c r="D2044" t="s">
        <v>2110</v>
      </c>
      <c r="E2044" t="s">
        <v>3636</v>
      </c>
      <c r="F2044" t="s">
        <v>1295</v>
      </c>
      <c r="G2044" t="s">
        <v>2112</v>
      </c>
      <c r="H2044" t="s">
        <v>470</v>
      </c>
      <c r="I2044" t="s">
        <v>487</v>
      </c>
      <c r="J2044">
        <v>60000</v>
      </c>
    </row>
    <row r="2045" spans="1:10">
      <c r="A2045" s="90" t="s">
        <v>216</v>
      </c>
      <c r="B2045" s="87">
        <v>46058</v>
      </c>
      <c r="C2045" t="s">
        <v>3654</v>
      </c>
      <c r="D2045" t="s">
        <v>2110</v>
      </c>
      <c r="E2045" t="s">
        <v>3655</v>
      </c>
      <c r="F2045" t="s">
        <v>3656</v>
      </c>
      <c r="G2045" t="s">
        <v>430</v>
      </c>
      <c r="H2045" t="s">
        <v>470</v>
      </c>
      <c r="I2045" t="s">
        <v>487</v>
      </c>
      <c r="J2045">
        <v>1000</v>
      </c>
    </row>
    <row r="2046" spans="1:10">
      <c r="A2046" s="90" t="s">
        <v>216</v>
      </c>
      <c r="B2046" s="87">
        <v>46058</v>
      </c>
      <c r="C2046" t="s">
        <v>3657</v>
      </c>
      <c r="D2046" t="s">
        <v>2110</v>
      </c>
      <c r="E2046" t="s">
        <v>2277</v>
      </c>
      <c r="F2046" t="s">
        <v>3658</v>
      </c>
      <c r="G2046" t="s">
        <v>65</v>
      </c>
      <c r="H2046" t="s">
        <v>2264</v>
      </c>
      <c r="I2046" t="s">
        <v>796</v>
      </c>
      <c r="J2046">
        <v>183</v>
      </c>
    </row>
    <row r="2047" spans="1:10">
      <c r="A2047" s="90" t="s">
        <v>216</v>
      </c>
      <c r="B2047" s="87">
        <v>46058</v>
      </c>
      <c r="C2047" t="s">
        <v>511</v>
      </c>
      <c r="D2047" t="s">
        <v>2110</v>
      </c>
      <c r="E2047" t="s">
        <v>512</v>
      </c>
      <c r="F2047" t="s">
        <v>1122</v>
      </c>
      <c r="G2047" t="s">
        <v>474</v>
      </c>
      <c r="H2047" t="s">
        <v>470</v>
      </c>
      <c r="I2047" t="s">
        <v>475</v>
      </c>
      <c r="J2047">
        <v>368.7</v>
      </c>
    </row>
    <row r="2048" spans="1:10">
      <c r="A2048" s="90" t="s">
        <v>216</v>
      </c>
      <c r="B2048" s="87">
        <v>46058</v>
      </c>
      <c r="C2048" t="s">
        <v>2275</v>
      </c>
      <c r="D2048" t="s">
        <v>2110</v>
      </c>
      <c r="E2048" t="s">
        <v>477</v>
      </c>
      <c r="F2048" t="s">
        <v>1121</v>
      </c>
      <c r="G2048" t="s">
        <v>74</v>
      </c>
      <c r="H2048" t="s">
        <v>470</v>
      </c>
      <c r="I2048" t="s">
        <v>471</v>
      </c>
      <c r="J2048">
        <v>9.9</v>
      </c>
    </row>
    <row r="2049" spans="1:10">
      <c r="A2049" s="90" t="s">
        <v>216</v>
      </c>
      <c r="B2049" s="87">
        <v>46058</v>
      </c>
      <c r="C2049" t="s">
        <v>1124</v>
      </c>
      <c r="D2049" t="s">
        <v>2110</v>
      </c>
      <c r="E2049" t="s">
        <v>512</v>
      </c>
      <c r="F2049" t="s">
        <v>1122</v>
      </c>
      <c r="G2049" t="s">
        <v>474</v>
      </c>
      <c r="H2049" t="s">
        <v>470</v>
      </c>
      <c r="I2049" t="s">
        <v>475</v>
      </c>
      <c r="J2049">
        <v>186307.1</v>
      </c>
    </row>
    <row r="2050" spans="1:10">
      <c r="A2050" s="90" t="s">
        <v>216</v>
      </c>
      <c r="B2050" s="87">
        <v>46058</v>
      </c>
      <c r="C2050" t="s">
        <v>2275</v>
      </c>
      <c r="D2050" t="s">
        <v>2110</v>
      </c>
      <c r="E2050" t="s">
        <v>2393</v>
      </c>
      <c r="F2050" t="s">
        <v>1121</v>
      </c>
      <c r="G2050" t="s">
        <v>74</v>
      </c>
      <c r="H2050" t="s">
        <v>470</v>
      </c>
      <c r="I2050" t="s">
        <v>471</v>
      </c>
      <c r="J2050">
        <v>40</v>
      </c>
    </row>
    <row r="2051" spans="1:10">
      <c r="A2051" s="90" t="s">
        <v>216</v>
      </c>
      <c r="B2051" s="87">
        <v>46059</v>
      </c>
      <c r="C2051" t="s">
        <v>3659</v>
      </c>
      <c r="D2051" t="s">
        <v>2110</v>
      </c>
      <c r="E2051" t="s">
        <v>3660</v>
      </c>
      <c r="F2051" t="s">
        <v>405</v>
      </c>
      <c r="G2051" t="s">
        <v>2112</v>
      </c>
      <c r="H2051" t="s">
        <v>470</v>
      </c>
      <c r="I2051" t="s">
        <v>540</v>
      </c>
      <c r="J2051">
        <v>967100</v>
      </c>
    </row>
    <row r="2052" spans="1:10">
      <c r="A2052" s="90" t="s">
        <v>216</v>
      </c>
      <c r="B2052" s="87">
        <v>46059</v>
      </c>
      <c r="C2052" t="s">
        <v>3653</v>
      </c>
      <c r="D2052" t="s">
        <v>2110</v>
      </c>
      <c r="E2052" t="s">
        <v>3636</v>
      </c>
      <c r="F2052" t="s">
        <v>1295</v>
      </c>
      <c r="G2052" t="s">
        <v>2112</v>
      </c>
      <c r="H2052" t="s">
        <v>470</v>
      </c>
      <c r="I2052" t="s">
        <v>487</v>
      </c>
      <c r="J2052">
        <v>35339.279999999999</v>
      </c>
    </row>
    <row r="2053" spans="1:10">
      <c r="A2053" s="90" t="s">
        <v>216</v>
      </c>
      <c r="B2053" s="87">
        <v>46059</v>
      </c>
      <c r="C2053" t="s">
        <v>511</v>
      </c>
      <c r="D2053" t="s">
        <v>2110</v>
      </c>
      <c r="E2053" t="s">
        <v>512</v>
      </c>
      <c r="F2053" t="s">
        <v>1122</v>
      </c>
      <c r="G2053" t="s">
        <v>474</v>
      </c>
      <c r="H2053" t="s">
        <v>470</v>
      </c>
      <c r="I2053" t="s">
        <v>475</v>
      </c>
      <c r="J2053">
        <v>1000000</v>
      </c>
    </row>
    <row r="2054" spans="1:10">
      <c r="A2054" s="90" t="s">
        <v>216</v>
      </c>
      <c r="B2054" s="87">
        <v>46059</v>
      </c>
      <c r="C2054" t="s">
        <v>2454</v>
      </c>
      <c r="D2054" t="s">
        <v>2110</v>
      </c>
      <c r="E2054" t="s">
        <v>480</v>
      </c>
      <c r="F2054" t="s">
        <v>1121</v>
      </c>
      <c r="G2054" t="s">
        <v>71</v>
      </c>
      <c r="H2054" t="s">
        <v>470</v>
      </c>
      <c r="I2054" t="s">
        <v>487</v>
      </c>
      <c r="J2054">
        <v>27000</v>
      </c>
    </row>
    <row r="2055" spans="1:10">
      <c r="A2055" s="90" t="s">
        <v>216</v>
      </c>
      <c r="B2055" s="87">
        <v>46059</v>
      </c>
      <c r="C2055" t="s">
        <v>2275</v>
      </c>
      <c r="D2055" t="s">
        <v>2110</v>
      </c>
      <c r="E2055" t="s">
        <v>477</v>
      </c>
      <c r="F2055" t="s">
        <v>1121</v>
      </c>
      <c r="G2055" t="s">
        <v>74</v>
      </c>
      <c r="H2055" t="s">
        <v>470</v>
      </c>
      <c r="I2055" t="s">
        <v>471</v>
      </c>
      <c r="J2055">
        <v>10</v>
      </c>
    </row>
    <row r="2056" spans="1:10">
      <c r="A2056" s="90" t="s">
        <v>216</v>
      </c>
      <c r="B2056" s="87">
        <v>46059</v>
      </c>
      <c r="C2056" t="s">
        <v>511</v>
      </c>
      <c r="D2056" t="s">
        <v>2110</v>
      </c>
      <c r="E2056" t="s">
        <v>512</v>
      </c>
      <c r="F2056" t="s">
        <v>1122</v>
      </c>
      <c r="G2056" t="s">
        <v>474</v>
      </c>
      <c r="H2056" t="s">
        <v>470</v>
      </c>
      <c r="I2056" t="s">
        <v>475</v>
      </c>
      <c r="J2056">
        <v>29449.279999999999</v>
      </c>
    </row>
    <row r="2057" spans="1:10">
      <c r="A2057" s="90" t="s">
        <v>216</v>
      </c>
      <c r="B2057" s="87">
        <v>46062</v>
      </c>
      <c r="C2057" t="s">
        <v>3661</v>
      </c>
      <c r="D2057" t="s">
        <v>2110</v>
      </c>
      <c r="E2057" t="s">
        <v>3649</v>
      </c>
      <c r="F2057" t="s">
        <v>1126</v>
      </c>
      <c r="G2057" t="s">
        <v>2125</v>
      </c>
      <c r="H2057" t="s">
        <v>470</v>
      </c>
      <c r="I2057" t="s">
        <v>475</v>
      </c>
      <c r="J2057">
        <v>2718</v>
      </c>
    </row>
    <row r="2058" spans="1:10">
      <c r="A2058" s="90" t="s">
        <v>216</v>
      </c>
      <c r="B2058" s="87">
        <v>46062</v>
      </c>
      <c r="C2058" t="s">
        <v>3300</v>
      </c>
      <c r="D2058" t="s">
        <v>2110</v>
      </c>
      <c r="E2058" t="s">
        <v>484</v>
      </c>
      <c r="F2058" t="s">
        <v>3662</v>
      </c>
      <c r="G2058" t="s">
        <v>486</v>
      </c>
      <c r="H2058" t="s">
        <v>470</v>
      </c>
      <c r="I2058" t="s">
        <v>487</v>
      </c>
      <c r="J2058">
        <v>678</v>
      </c>
    </row>
    <row r="2059" spans="1:10">
      <c r="A2059" s="90" t="s">
        <v>216</v>
      </c>
      <c r="B2059" s="87">
        <v>46062</v>
      </c>
      <c r="C2059" t="s">
        <v>2275</v>
      </c>
      <c r="D2059" t="s">
        <v>2110</v>
      </c>
      <c r="E2059" t="s">
        <v>477</v>
      </c>
      <c r="F2059" t="s">
        <v>1121</v>
      </c>
      <c r="G2059" t="s">
        <v>74</v>
      </c>
      <c r="H2059" t="s">
        <v>470</v>
      </c>
      <c r="I2059" t="s">
        <v>471</v>
      </c>
      <c r="J2059">
        <v>20</v>
      </c>
    </row>
    <row r="2060" spans="1:10">
      <c r="A2060" s="90" t="s">
        <v>216</v>
      </c>
      <c r="B2060" s="87">
        <v>46062</v>
      </c>
      <c r="C2060" t="s">
        <v>511</v>
      </c>
      <c r="D2060" t="s">
        <v>2110</v>
      </c>
      <c r="E2060" t="s">
        <v>512</v>
      </c>
      <c r="F2060" t="s">
        <v>1122</v>
      </c>
      <c r="G2060" t="s">
        <v>474</v>
      </c>
      <c r="H2060" t="s">
        <v>470</v>
      </c>
      <c r="I2060" t="s">
        <v>475</v>
      </c>
      <c r="J2060">
        <v>19030.939999999999</v>
      </c>
    </row>
    <row r="2061" spans="1:10">
      <c r="A2061" s="90" t="s">
        <v>216</v>
      </c>
      <c r="B2061" s="87">
        <v>46062</v>
      </c>
      <c r="C2061" t="s">
        <v>3663</v>
      </c>
      <c r="D2061" t="s">
        <v>2110</v>
      </c>
      <c r="E2061" t="s">
        <v>3664</v>
      </c>
      <c r="F2061" t="s">
        <v>1173</v>
      </c>
      <c r="G2061" t="s">
        <v>2112</v>
      </c>
      <c r="H2061" t="s">
        <v>470</v>
      </c>
      <c r="I2061" t="s">
        <v>475</v>
      </c>
      <c r="J2061">
        <v>69864.94</v>
      </c>
    </row>
    <row r="2062" spans="1:10">
      <c r="A2062" s="90" t="s">
        <v>216</v>
      </c>
      <c r="B2062" s="87">
        <v>46062</v>
      </c>
      <c r="C2062" t="s">
        <v>511</v>
      </c>
      <c r="D2062" t="s">
        <v>2110</v>
      </c>
      <c r="E2062" t="s">
        <v>512</v>
      </c>
      <c r="F2062" t="s">
        <v>1121</v>
      </c>
      <c r="G2062" t="s">
        <v>474</v>
      </c>
      <c r="H2062" t="s">
        <v>470</v>
      </c>
      <c r="I2062" t="s">
        <v>475</v>
      </c>
      <c r="J2062">
        <v>196</v>
      </c>
    </row>
    <row r="2063" spans="1:10">
      <c r="A2063" s="90" t="s">
        <v>216</v>
      </c>
      <c r="B2063" s="87">
        <v>46063</v>
      </c>
      <c r="C2063" t="s">
        <v>3665</v>
      </c>
      <c r="D2063" t="s">
        <v>2110</v>
      </c>
      <c r="E2063" t="s">
        <v>1667</v>
      </c>
      <c r="F2063" t="s">
        <v>1126</v>
      </c>
      <c r="G2063" t="s">
        <v>2115</v>
      </c>
      <c r="H2063" t="s">
        <v>470</v>
      </c>
      <c r="I2063" t="s">
        <v>475</v>
      </c>
      <c r="J2063">
        <v>186.2</v>
      </c>
    </row>
    <row r="2064" spans="1:10">
      <c r="A2064" s="90" t="s">
        <v>216</v>
      </c>
      <c r="B2064" s="87">
        <v>46063</v>
      </c>
      <c r="C2064" t="s">
        <v>3665</v>
      </c>
      <c r="D2064" t="s">
        <v>2110</v>
      </c>
      <c r="E2064" t="s">
        <v>1667</v>
      </c>
      <c r="F2064" t="s">
        <v>1126</v>
      </c>
      <c r="G2064" t="s">
        <v>259</v>
      </c>
      <c r="H2064" t="s">
        <v>470</v>
      </c>
      <c r="I2064" t="s">
        <v>475</v>
      </c>
      <c r="J2064">
        <v>893.76</v>
      </c>
    </row>
    <row r="2065" spans="1:10">
      <c r="A2065" s="90" t="s">
        <v>216</v>
      </c>
      <c r="B2065" s="87">
        <v>46063</v>
      </c>
      <c r="C2065" t="s">
        <v>3666</v>
      </c>
      <c r="D2065" t="s">
        <v>2110</v>
      </c>
      <c r="E2065" t="s">
        <v>3636</v>
      </c>
      <c r="F2065" t="s">
        <v>1297</v>
      </c>
      <c r="G2065" t="s">
        <v>2112</v>
      </c>
      <c r="H2065" t="s">
        <v>470</v>
      </c>
      <c r="I2065" t="s">
        <v>475</v>
      </c>
      <c r="J2065">
        <v>84144.87</v>
      </c>
    </row>
    <row r="2066" spans="1:10">
      <c r="A2066" s="90" t="s">
        <v>216</v>
      </c>
      <c r="B2066" s="87">
        <v>46063</v>
      </c>
      <c r="C2066" t="s">
        <v>3016</v>
      </c>
      <c r="D2066" t="s">
        <v>2110</v>
      </c>
      <c r="E2066" t="s">
        <v>2900</v>
      </c>
      <c r="F2066" t="s">
        <v>1121</v>
      </c>
      <c r="G2066" t="s">
        <v>302</v>
      </c>
      <c r="H2066" t="s">
        <v>3667</v>
      </c>
      <c r="I2066" t="s">
        <v>796</v>
      </c>
      <c r="J2066">
        <v>2500</v>
      </c>
    </row>
    <row r="2067" spans="1:10">
      <c r="A2067" s="90" t="s">
        <v>216</v>
      </c>
      <c r="B2067" s="87">
        <v>46063</v>
      </c>
      <c r="C2067" t="s">
        <v>3668</v>
      </c>
      <c r="D2067" t="s">
        <v>2110</v>
      </c>
      <c r="E2067" t="s">
        <v>2702</v>
      </c>
      <c r="F2067" t="s">
        <v>3669</v>
      </c>
      <c r="G2067" t="s">
        <v>63</v>
      </c>
      <c r="H2067" t="s">
        <v>2351</v>
      </c>
      <c r="I2067" t="s">
        <v>796</v>
      </c>
      <c r="J2067">
        <v>896.95</v>
      </c>
    </row>
    <row r="2068" spans="1:10">
      <c r="A2068" s="90" t="s">
        <v>216</v>
      </c>
      <c r="B2068" s="87">
        <v>46063</v>
      </c>
      <c r="C2068" t="s">
        <v>3670</v>
      </c>
      <c r="D2068" t="s">
        <v>2110</v>
      </c>
      <c r="E2068" t="s">
        <v>2372</v>
      </c>
      <c r="F2068" t="s">
        <v>1121</v>
      </c>
      <c r="G2068" t="s">
        <v>219</v>
      </c>
      <c r="H2068" t="s">
        <v>3671</v>
      </c>
      <c r="I2068" t="s">
        <v>796</v>
      </c>
      <c r="J2068">
        <v>1360</v>
      </c>
    </row>
    <row r="2069" spans="1:10">
      <c r="A2069" s="90" t="s">
        <v>216</v>
      </c>
      <c r="B2069" s="87">
        <v>46063</v>
      </c>
      <c r="C2069" t="s">
        <v>511</v>
      </c>
      <c r="D2069" t="s">
        <v>2110</v>
      </c>
      <c r="E2069" t="s">
        <v>512</v>
      </c>
      <c r="F2069" t="s">
        <v>1121</v>
      </c>
      <c r="G2069" t="s">
        <v>474</v>
      </c>
      <c r="H2069" t="s">
        <v>470</v>
      </c>
      <c r="I2069" t="s">
        <v>475</v>
      </c>
      <c r="J2069">
        <v>84144.87</v>
      </c>
    </row>
    <row r="2070" spans="1:10">
      <c r="A2070" s="90" t="s">
        <v>216</v>
      </c>
      <c r="B2070" s="87">
        <v>46063</v>
      </c>
      <c r="C2070" t="s">
        <v>511</v>
      </c>
      <c r="D2070" t="s">
        <v>2110</v>
      </c>
      <c r="E2070" t="s">
        <v>512</v>
      </c>
      <c r="F2070" t="s">
        <v>1121</v>
      </c>
      <c r="G2070" t="s">
        <v>474</v>
      </c>
      <c r="H2070" t="s">
        <v>470</v>
      </c>
      <c r="I2070" t="s">
        <v>475</v>
      </c>
      <c r="J2070">
        <v>35640.239999999998</v>
      </c>
    </row>
    <row r="2071" spans="1:10">
      <c r="A2071" s="90" t="s">
        <v>216</v>
      </c>
      <c r="B2071" s="87">
        <v>46063</v>
      </c>
      <c r="C2071" t="s">
        <v>3672</v>
      </c>
      <c r="D2071" t="s">
        <v>2110</v>
      </c>
      <c r="E2071" t="s">
        <v>477</v>
      </c>
      <c r="F2071" t="s">
        <v>514</v>
      </c>
      <c r="G2071" t="s">
        <v>515</v>
      </c>
      <c r="H2071" t="s">
        <v>3673</v>
      </c>
      <c r="I2071" t="s">
        <v>471</v>
      </c>
      <c r="J2071">
        <v>43571.43</v>
      </c>
    </row>
    <row r="2072" spans="1:10">
      <c r="A2072" s="90" t="s">
        <v>216</v>
      </c>
      <c r="B2072" s="87">
        <v>46063</v>
      </c>
      <c r="C2072" t="s">
        <v>3672</v>
      </c>
      <c r="D2072" t="s">
        <v>2110</v>
      </c>
      <c r="E2072" t="s">
        <v>477</v>
      </c>
      <c r="F2072" t="s">
        <v>514</v>
      </c>
      <c r="G2072" t="s">
        <v>69</v>
      </c>
      <c r="H2072" t="s">
        <v>3673</v>
      </c>
      <c r="I2072" t="s">
        <v>471</v>
      </c>
      <c r="J2072">
        <v>31120.46</v>
      </c>
    </row>
    <row r="2073" spans="1:10">
      <c r="A2073" s="90" t="s">
        <v>216</v>
      </c>
      <c r="B2073" s="87">
        <v>46063</v>
      </c>
      <c r="C2073" t="s">
        <v>2275</v>
      </c>
      <c r="D2073" t="s">
        <v>2110</v>
      </c>
      <c r="E2073" t="s">
        <v>477</v>
      </c>
      <c r="F2073" t="s">
        <v>1121</v>
      </c>
      <c r="G2073" t="s">
        <v>74</v>
      </c>
      <c r="H2073" t="s">
        <v>470</v>
      </c>
      <c r="I2073" t="s">
        <v>471</v>
      </c>
      <c r="J2073">
        <v>95</v>
      </c>
    </row>
    <row r="2074" spans="1:10">
      <c r="A2074" s="90" t="s">
        <v>216</v>
      </c>
      <c r="B2074" s="87">
        <v>46063</v>
      </c>
      <c r="C2074" t="s">
        <v>2275</v>
      </c>
      <c r="D2074" t="s">
        <v>2110</v>
      </c>
      <c r="E2074" t="s">
        <v>477</v>
      </c>
      <c r="F2074" t="s">
        <v>1121</v>
      </c>
      <c r="G2074" t="s">
        <v>74</v>
      </c>
      <c r="H2074" t="s">
        <v>470</v>
      </c>
      <c r="I2074" t="s">
        <v>471</v>
      </c>
      <c r="J2074">
        <v>10</v>
      </c>
    </row>
    <row r="2075" spans="1:10">
      <c r="A2075" s="90" t="s">
        <v>216</v>
      </c>
      <c r="B2075" s="87">
        <v>46063</v>
      </c>
      <c r="C2075" t="s">
        <v>3674</v>
      </c>
      <c r="D2075" t="s">
        <v>2110</v>
      </c>
      <c r="E2075" t="s">
        <v>2878</v>
      </c>
      <c r="F2075" t="s">
        <v>1121</v>
      </c>
      <c r="G2075" t="s">
        <v>70</v>
      </c>
      <c r="H2075" t="s">
        <v>470</v>
      </c>
      <c r="I2075" t="s">
        <v>796</v>
      </c>
      <c r="J2075">
        <v>1093.3800000000001</v>
      </c>
    </row>
    <row r="2076" spans="1:10">
      <c r="A2076" s="90" t="s">
        <v>216</v>
      </c>
      <c r="B2076" s="87">
        <v>46063</v>
      </c>
      <c r="C2076" t="s">
        <v>3675</v>
      </c>
      <c r="D2076" t="s">
        <v>2110</v>
      </c>
      <c r="E2076" t="s">
        <v>2878</v>
      </c>
      <c r="F2076" t="s">
        <v>1121</v>
      </c>
      <c r="G2076" t="s">
        <v>70</v>
      </c>
      <c r="H2076" t="s">
        <v>470</v>
      </c>
      <c r="I2076" t="s">
        <v>796</v>
      </c>
      <c r="J2076">
        <v>804.74</v>
      </c>
    </row>
    <row r="2077" spans="1:10">
      <c r="A2077" s="90" t="s">
        <v>216</v>
      </c>
      <c r="B2077" s="87">
        <v>46063</v>
      </c>
      <c r="C2077" t="s">
        <v>3676</v>
      </c>
      <c r="D2077" t="s">
        <v>2110</v>
      </c>
      <c r="E2077" t="s">
        <v>477</v>
      </c>
      <c r="F2077" t="s">
        <v>1121</v>
      </c>
      <c r="G2077" t="s">
        <v>2295</v>
      </c>
      <c r="H2077" t="s">
        <v>470</v>
      </c>
      <c r="I2077" t="s">
        <v>471</v>
      </c>
      <c r="J2077">
        <v>2637.52</v>
      </c>
    </row>
    <row r="2078" spans="1:10">
      <c r="A2078" s="90" t="s">
        <v>216</v>
      </c>
      <c r="B2078" s="87">
        <v>46063</v>
      </c>
      <c r="C2078" t="s">
        <v>511</v>
      </c>
      <c r="D2078" t="s">
        <v>2110</v>
      </c>
      <c r="E2078" t="s">
        <v>512</v>
      </c>
      <c r="F2078" t="s">
        <v>1121</v>
      </c>
      <c r="G2078" t="s">
        <v>474</v>
      </c>
      <c r="H2078" t="s">
        <v>470</v>
      </c>
      <c r="I2078" t="s">
        <v>475</v>
      </c>
      <c r="J2078">
        <v>1083.8900000000001</v>
      </c>
    </row>
    <row r="2079" spans="1:10">
      <c r="A2079" s="90" t="s">
        <v>216</v>
      </c>
      <c r="B2079" s="87">
        <v>46064</v>
      </c>
      <c r="C2079" t="s">
        <v>3677</v>
      </c>
      <c r="D2079" t="s">
        <v>2110</v>
      </c>
      <c r="E2079" t="s">
        <v>3547</v>
      </c>
      <c r="F2079" t="s">
        <v>400</v>
      </c>
      <c r="G2079" t="s">
        <v>2112</v>
      </c>
      <c r="H2079" t="s">
        <v>470</v>
      </c>
      <c r="I2079" t="s">
        <v>487</v>
      </c>
      <c r="J2079">
        <v>46906</v>
      </c>
    </row>
    <row r="2080" spans="1:10">
      <c r="A2080" s="90" t="s">
        <v>216</v>
      </c>
      <c r="B2080" s="87">
        <v>46064</v>
      </c>
      <c r="C2080" t="s">
        <v>2275</v>
      </c>
      <c r="D2080" t="s">
        <v>2110</v>
      </c>
      <c r="E2080" t="s">
        <v>477</v>
      </c>
      <c r="F2080" t="s">
        <v>1121</v>
      </c>
      <c r="G2080" t="s">
        <v>74</v>
      </c>
      <c r="H2080" t="s">
        <v>470</v>
      </c>
      <c r="I2080" t="s">
        <v>471</v>
      </c>
      <c r="J2080">
        <v>10</v>
      </c>
    </row>
    <row r="2081" spans="1:10">
      <c r="A2081" s="90" t="s">
        <v>216</v>
      </c>
      <c r="B2081" s="87">
        <v>46064</v>
      </c>
      <c r="C2081" t="s">
        <v>511</v>
      </c>
      <c r="D2081" t="s">
        <v>2110</v>
      </c>
      <c r="E2081" t="s">
        <v>512</v>
      </c>
      <c r="F2081" t="s">
        <v>1121</v>
      </c>
      <c r="G2081" t="s">
        <v>474</v>
      </c>
      <c r="H2081" t="s">
        <v>470</v>
      </c>
      <c r="I2081" t="s">
        <v>475</v>
      </c>
      <c r="J2081">
        <v>46916</v>
      </c>
    </row>
    <row r="2082" spans="1:10">
      <c r="A2082" s="90" t="s">
        <v>216</v>
      </c>
      <c r="B2082" s="87">
        <v>46065</v>
      </c>
      <c r="C2082" t="s">
        <v>3678</v>
      </c>
      <c r="D2082" t="s">
        <v>2110</v>
      </c>
      <c r="E2082" t="s">
        <v>3614</v>
      </c>
      <c r="F2082" t="s">
        <v>1143</v>
      </c>
      <c r="G2082" t="s">
        <v>2112</v>
      </c>
      <c r="H2082" t="s">
        <v>470</v>
      </c>
      <c r="I2082" t="s">
        <v>475</v>
      </c>
      <c r="J2082">
        <v>37500.85</v>
      </c>
    </row>
    <row r="2083" spans="1:10">
      <c r="A2083" s="90" t="s">
        <v>216</v>
      </c>
      <c r="B2083" s="87">
        <v>46065</v>
      </c>
      <c r="C2083" t="s">
        <v>511</v>
      </c>
      <c r="D2083" t="s">
        <v>2110</v>
      </c>
      <c r="E2083" t="s">
        <v>512</v>
      </c>
      <c r="F2083" t="s">
        <v>1121</v>
      </c>
      <c r="G2083" t="s">
        <v>474</v>
      </c>
      <c r="H2083" t="s">
        <v>470</v>
      </c>
      <c r="I2083" t="s">
        <v>475</v>
      </c>
      <c r="J2083">
        <v>38520.75</v>
      </c>
    </row>
    <row r="2084" spans="1:10">
      <c r="A2084" s="90" t="s">
        <v>216</v>
      </c>
      <c r="B2084" s="87">
        <v>46065</v>
      </c>
      <c r="C2084" t="s">
        <v>2275</v>
      </c>
      <c r="D2084" t="s">
        <v>2110</v>
      </c>
      <c r="E2084" t="s">
        <v>477</v>
      </c>
      <c r="F2084" t="s">
        <v>1121</v>
      </c>
      <c r="G2084" t="s">
        <v>74</v>
      </c>
      <c r="H2084" t="s">
        <v>470</v>
      </c>
      <c r="I2084" t="s">
        <v>471</v>
      </c>
      <c r="J2084">
        <v>19.899999999999999</v>
      </c>
    </row>
    <row r="2085" spans="1:10">
      <c r="A2085" s="90" t="s">
        <v>216</v>
      </c>
      <c r="B2085" s="87">
        <v>46065</v>
      </c>
      <c r="C2085" t="s">
        <v>3679</v>
      </c>
      <c r="D2085" t="s">
        <v>2110</v>
      </c>
      <c r="E2085" t="s">
        <v>3404</v>
      </c>
      <c r="F2085" t="s">
        <v>3680</v>
      </c>
      <c r="G2085" t="s">
        <v>219</v>
      </c>
      <c r="H2085" t="s">
        <v>470</v>
      </c>
      <c r="I2085" t="s">
        <v>487</v>
      </c>
      <c r="J2085">
        <v>1000</v>
      </c>
    </row>
    <row r="2086" spans="1:10">
      <c r="A2086" s="90" t="s">
        <v>216</v>
      </c>
      <c r="B2086" s="87">
        <v>46066</v>
      </c>
      <c r="C2086" t="s">
        <v>3681</v>
      </c>
      <c r="D2086" t="s">
        <v>2110</v>
      </c>
      <c r="E2086" t="s">
        <v>3682</v>
      </c>
      <c r="F2086" t="s">
        <v>1121</v>
      </c>
      <c r="G2086" t="s">
        <v>219</v>
      </c>
      <c r="H2086" t="s">
        <v>2264</v>
      </c>
      <c r="I2086" t="s">
        <v>487</v>
      </c>
      <c r="J2086">
        <v>580</v>
      </c>
    </row>
    <row r="2087" spans="1:10">
      <c r="A2087" s="90" t="s">
        <v>216</v>
      </c>
      <c r="B2087" s="87">
        <v>46066</v>
      </c>
      <c r="C2087" t="s">
        <v>3683</v>
      </c>
      <c r="D2087" t="s">
        <v>2110</v>
      </c>
      <c r="E2087" t="s">
        <v>477</v>
      </c>
      <c r="F2087" t="s">
        <v>281</v>
      </c>
      <c r="G2087" t="s">
        <v>224</v>
      </c>
      <c r="H2087" t="s">
        <v>470</v>
      </c>
      <c r="I2087" t="s">
        <v>471</v>
      </c>
      <c r="J2087">
        <v>550</v>
      </c>
    </row>
    <row r="2088" spans="1:10">
      <c r="A2088" s="90" t="s">
        <v>216</v>
      </c>
      <c r="B2088" s="87">
        <v>46066</v>
      </c>
      <c r="C2088" t="s">
        <v>2275</v>
      </c>
      <c r="D2088" t="s">
        <v>2110</v>
      </c>
      <c r="E2088" t="s">
        <v>477</v>
      </c>
      <c r="F2088" t="s">
        <v>1121</v>
      </c>
      <c r="G2088" t="s">
        <v>74</v>
      </c>
      <c r="H2088" t="s">
        <v>470</v>
      </c>
      <c r="I2088" t="s">
        <v>471</v>
      </c>
      <c r="J2088">
        <v>15.74</v>
      </c>
    </row>
    <row r="2089" spans="1:10">
      <c r="A2089" s="90" t="s">
        <v>216</v>
      </c>
      <c r="B2089" s="87">
        <v>46066</v>
      </c>
      <c r="C2089" t="s">
        <v>1124</v>
      </c>
      <c r="D2089" t="s">
        <v>2110</v>
      </c>
      <c r="E2089" t="s">
        <v>512</v>
      </c>
      <c r="F2089" t="s">
        <v>1121</v>
      </c>
      <c r="G2089" t="s">
        <v>474</v>
      </c>
      <c r="H2089" t="s">
        <v>470</v>
      </c>
      <c r="I2089" t="s">
        <v>475</v>
      </c>
      <c r="J2089">
        <v>815260.66</v>
      </c>
    </row>
    <row r="2090" spans="1:10">
      <c r="A2090" s="90" t="s">
        <v>216</v>
      </c>
      <c r="B2090" s="87">
        <v>46066</v>
      </c>
      <c r="C2090" t="s">
        <v>511</v>
      </c>
      <c r="D2090" t="s">
        <v>2110</v>
      </c>
      <c r="E2090" t="s">
        <v>512</v>
      </c>
      <c r="F2090" t="s">
        <v>1121</v>
      </c>
      <c r="G2090" t="s">
        <v>474</v>
      </c>
      <c r="H2090" t="s">
        <v>470</v>
      </c>
      <c r="I2090" t="s">
        <v>475</v>
      </c>
      <c r="J2090">
        <v>400000</v>
      </c>
    </row>
    <row r="2091" spans="1:10">
      <c r="A2091" s="90" t="s">
        <v>216</v>
      </c>
      <c r="B2091" s="87">
        <v>46066</v>
      </c>
      <c r="C2091" t="s">
        <v>1124</v>
      </c>
      <c r="D2091" t="s">
        <v>2110</v>
      </c>
      <c r="E2091" t="s">
        <v>512</v>
      </c>
      <c r="F2091" t="s">
        <v>1121</v>
      </c>
      <c r="G2091" t="s">
        <v>474</v>
      </c>
      <c r="H2091" t="s">
        <v>470</v>
      </c>
      <c r="I2091" t="s">
        <v>475</v>
      </c>
      <c r="J2091">
        <v>100</v>
      </c>
    </row>
    <row r="2092" spans="1:10">
      <c r="A2092" s="90" t="s">
        <v>216</v>
      </c>
      <c r="B2092" s="87">
        <v>46066</v>
      </c>
      <c r="C2092" t="s">
        <v>1124</v>
      </c>
      <c r="D2092" t="s">
        <v>2110</v>
      </c>
      <c r="E2092" t="s">
        <v>512</v>
      </c>
      <c r="F2092" t="s">
        <v>1121</v>
      </c>
      <c r="G2092" t="s">
        <v>474</v>
      </c>
      <c r="H2092" t="s">
        <v>470</v>
      </c>
      <c r="I2092" t="s">
        <v>475</v>
      </c>
      <c r="J2092">
        <v>423000</v>
      </c>
    </row>
    <row r="2093" spans="1:10">
      <c r="A2093" s="90" t="s">
        <v>216</v>
      </c>
      <c r="B2093" s="87">
        <v>46066</v>
      </c>
      <c r="C2093" t="s">
        <v>3684</v>
      </c>
      <c r="D2093" t="s">
        <v>2110</v>
      </c>
      <c r="E2093" t="s">
        <v>3664</v>
      </c>
      <c r="F2093" t="s">
        <v>1183</v>
      </c>
      <c r="G2093" t="s">
        <v>2112</v>
      </c>
      <c r="H2093" t="s">
        <v>470</v>
      </c>
      <c r="I2093" t="s">
        <v>487</v>
      </c>
      <c r="J2093">
        <v>63054.06</v>
      </c>
    </row>
    <row r="2094" spans="1:10">
      <c r="A2094" s="90" t="s">
        <v>216</v>
      </c>
      <c r="B2094" s="87">
        <v>46071</v>
      </c>
      <c r="C2094" t="s">
        <v>3685</v>
      </c>
      <c r="D2094" t="s">
        <v>2110</v>
      </c>
      <c r="E2094" t="s">
        <v>2564</v>
      </c>
      <c r="F2094" t="s">
        <v>1093</v>
      </c>
      <c r="G2094" t="s">
        <v>2115</v>
      </c>
      <c r="H2094" t="s">
        <v>470</v>
      </c>
      <c r="I2094" t="s">
        <v>796</v>
      </c>
      <c r="J2094">
        <v>24.93</v>
      </c>
    </row>
    <row r="2095" spans="1:10">
      <c r="A2095" s="90" t="s">
        <v>216</v>
      </c>
      <c r="B2095" s="87">
        <v>46071</v>
      </c>
      <c r="C2095" t="s">
        <v>3685</v>
      </c>
      <c r="D2095" t="s">
        <v>2110</v>
      </c>
      <c r="E2095" t="s">
        <v>2564</v>
      </c>
      <c r="F2095" t="s">
        <v>1093</v>
      </c>
      <c r="G2095" t="s">
        <v>2115</v>
      </c>
      <c r="H2095" t="s">
        <v>470</v>
      </c>
      <c r="I2095" t="s">
        <v>796</v>
      </c>
      <c r="J2095">
        <v>584.24</v>
      </c>
    </row>
    <row r="2096" spans="1:10">
      <c r="A2096" s="90" t="s">
        <v>216</v>
      </c>
      <c r="B2096" s="87">
        <v>46071</v>
      </c>
      <c r="C2096" t="s">
        <v>3273</v>
      </c>
      <c r="D2096" t="s">
        <v>2110</v>
      </c>
      <c r="E2096" t="s">
        <v>2366</v>
      </c>
      <c r="F2096" t="s">
        <v>527</v>
      </c>
      <c r="G2096" t="s">
        <v>219</v>
      </c>
      <c r="H2096" t="s">
        <v>470</v>
      </c>
      <c r="I2096" t="s">
        <v>796</v>
      </c>
      <c r="J2096">
        <v>42.52</v>
      </c>
    </row>
    <row r="2097" spans="1:10">
      <c r="A2097" s="90" t="s">
        <v>216</v>
      </c>
      <c r="B2097" s="87">
        <v>46071</v>
      </c>
      <c r="C2097" t="s">
        <v>3686</v>
      </c>
      <c r="D2097" t="s">
        <v>2110</v>
      </c>
      <c r="E2097" t="s">
        <v>2322</v>
      </c>
      <c r="F2097" t="s">
        <v>3687</v>
      </c>
      <c r="G2097" t="s">
        <v>191</v>
      </c>
      <c r="H2097" t="s">
        <v>470</v>
      </c>
      <c r="I2097" t="s">
        <v>796</v>
      </c>
      <c r="J2097">
        <v>547.98</v>
      </c>
    </row>
    <row r="2098" spans="1:10">
      <c r="A2098" s="90" t="s">
        <v>216</v>
      </c>
      <c r="B2098" s="87">
        <v>46071</v>
      </c>
      <c r="C2098" t="s">
        <v>3686</v>
      </c>
      <c r="D2098" t="s">
        <v>2110</v>
      </c>
      <c r="E2098" t="s">
        <v>2322</v>
      </c>
      <c r="F2098" t="s">
        <v>3687</v>
      </c>
      <c r="G2098" t="s">
        <v>191</v>
      </c>
      <c r="H2098" t="s">
        <v>470</v>
      </c>
      <c r="I2098" t="s">
        <v>796</v>
      </c>
      <c r="J2098">
        <v>0</v>
      </c>
    </row>
    <row r="2099" spans="1:10">
      <c r="A2099" s="90" t="s">
        <v>216</v>
      </c>
      <c r="B2099" s="87">
        <v>46071</v>
      </c>
      <c r="C2099" t="s">
        <v>3688</v>
      </c>
      <c r="D2099" t="s">
        <v>2110</v>
      </c>
      <c r="E2099" t="s">
        <v>2334</v>
      </c>
      <c r="F2099" t="s">
        <v>1121</v>
      </c>
      <c r="G2099" t="s">
        <v>219</v>
      </c>
      <c r="H2099" t="s">
        <v>470</v>
      </c>
      <c r="I2099" t="s">
        <v>487</v>
      </c>
      <c r="J2099">
        <v>364</v>
      </c>
    </row>
    <row r="2100" spans="1:10">
      <c r="A2100" s="90" t="s">
        <v>216</v>
      </c>
      <c r="B2100" s="87">
        <v>46071</v>
      </c>
      <c r="C2100" t="s">
        <v>3689</v>
      </c>
      <c r="D2100" t="s">
        <v>2110</v>
      </c>
      <c r="E2100" t="s">
        <v>3365</v>
      </c>
      <c r="F2100" t="s">
        <v>1179</v>
      </c>
      <c r="G2100" t="s">
        <v>2112</v>
      </c>
      <c r="H2100" t="s">
        <v>470</v>
      </c>
      <c r="I2100" t="s">
        <v>475</v>
      </c>
      <c r="J2100">
        <v>10000</v>
      </c>
    </row>
    <row r="2101" spans="1:10">
      <c r="A2101" s="90" t="s">
        <v>216</v>
      </c>
      <c r="B2101" s="87">
        <v>46071</v>
      </c>
      <c r="C2101" t="s">
        <v>3690</v>
      </c>
      <c r="D2101" t="s">
        <v>2110</v>
      </c>
      <c r="E2101" t="s">
        <v>3636</v>
      </c>
      <c r="F2101" t="s">
        <v>1131</v>
      </c>
      <c r="G2101" t="s">
        <v>2112</v>
      </c>
      <c r="H2101" t="s">
        <v>470</v>
      </c>
      <c r="I2101" t="s">
        <v>475</v>
      </c>
      <c r="J2101">
        <v>93300</v>
      </c>
    </row>
    <row r="2102" spans="1:10">
      <c r="A2102" s="90" t="s">
        <v>216</v>
      </c>
      <c r="B2102" s="87">
        <v>46071</v>
      </c>
      <c r="C2102" t="s">
        <v>3691</v>
      </c>
      <c r="D2102" t="s">
        <v>2110</v>
      </c>
      <c r="E2102" t="s">
        <v>3636</v>
      </c>
      <c r="F2102" t="s">
        <v>1255</v>
      </c>
      <c r="G2102" t="s">
        <v>2112</v>
      </c>
      <c r="H2102" t="s">
        <v>470</v>
      </c>
      <c r="I2102" t="s">
        <v>475</v>
      </c>
      <c r="J2102">
        <v>8848.0499999999993</v>
      </c>
    </row>
    <row r="2103" spans="1:10">
      <c r="A2103" s="90" t="s">
        <v>216</v>
      </c>
      <c r="B2103" s="87">
        <v>46071</v>
      </c>
      <c r="C2103" t="s">
        <v>3692</v>
      </c>
      <c r="D2103" t="s">
        <v>2110</v>
      </c>
      <c r="E2103" t="s">
        <v>3664</v>
      </c>
      <c r="F2103" t="s">
        <v>1185</v>
      </c>
      <c r="G2103" t="s">
        <v>2112</v>
      </c>
      <c r="H2103" t="s">
        <v>470</v>
      </c>
      <c r="I2103" t="s">
        <v>475</v>
      </c>
      <c r="J2103">
        <v>67223.56</v>
      </c>
    </row>
    <row r="2104" spans="1:10">
      <c r="A2104" s="90" t="s">
        <v>216</v>
      </c>
      <c r="B2104" s="87">
        <v>46071</v>
      </c>
      <c r="C2104" t="s">
        <v>3693</v>
      </c>
      <c r="D2104" t="s">
        <v>2110</v>
      </c>
      <c r="E2104" t="s">
        <v>477</v>
      </c>
      <c r="F2104" t="s">
        <v>304</v>
      </c>
      <c r="G2104" t="s">
        <v>224</v>
      </c>
      <c r="H2104" t="s">
        <v>470</v>
      </c>
      <c r="I2104" t="s">
        <v>471</v>
      </c>
      <c r="J2104">
        <v>550</v>
      </c>
    </row>
    <row r="2105" spans="1:10">
      <c r="A2105" s="90" t="s">
        <v>216</v>
      </c>
      <c r="B2105" s="87">
        <v>46071</v>
      </c>
      <c r="C2105" t="s">
        <v>3689</v>
      </c>
      <c r="D2105" t="s">
        <v>2110</v>
      </c>
      <c r="E2105" t="s">
        <v>3365</v>
      </c>
      <c r="F2105" t="s">
        <v>1179</v>
      </c>
      <c r="G2105" t="s">
        <v>2112</v>
      </c>
      <c r="H2105" t="s">
        <v>470</v>
      </c>
      <c r="I2105" t="s">
        <v>475</v>
      </c>
      <c r="J2105">
        <v>26884.44</v>
      </c>
    </row>
    <row r="2106" spans="1:10">
      <c r="A2106" s="90" t="s">
        <v>216</v>
      </c>
      <c r="B2106" s="87">
        <v>46071</v>
      </c>
      <c r="C2106" t="s">
        <v>3694</v>
      </c>
      <c r="D2106" t="s">
        <v>2110</v>
      </c>
      <c r="E2106" t="s">
        <v>2277</v>
      </c>
      <c r="F2106" t="s">
        <v>3695</v>
      </c>
      <c r="G2106" t="s">
        <v>226</v>
      </c>
      <c r="H2106" t="s">
        <v>2264</v>
      </c>
      <c r="I2106" t="s">
        <v>796</v>
      </c>
      <c r="J2106">
        <v>137.47999999999999</v>
      </c>
    </row>
    <row r="2107" spans="1:10">
      <c r="A2107" s="90" t="s">
        <v>216</v>
      </c>
      <c r="B2107" s="87">
        <v>46071</v>
      </c>
      <c r="C2107" t="s">
        <v>3696</v>
      </c>
      <c r="D2107" t="s">
        <v>2110</v>
      </c>
      <c r="E2107" t="s">
        <v>3660</v>
      </c>
      <c r="F2107" t="s">
        <v>421</v>
      </c>
      <c r="G2107" t="s">
        <v>2112</v>
      </c>
      <c r="H2107" t="s">
        <v>470</v>
      </c>
      <c r="I2107" t="s">
        <v>487</v>
      </c>
      <c r="J2107">
        <v>580260</v>
      </c>
    </row>
    <row r="2108" spans="1:10">
      <c r="A2108" s="90" t="s">
        <v>216</v>
      </c>
      <c r="B2108" s="87">
        <v>46071</v>
      </c>
      <c r="C2108" t="s">
        <v>3693</v>
      </c>
      <c r="D2108" t="s">
        <v>2110</v>
      </c>
      <c r="E2108" t="s">
        <v>477</v>
      </c>
      <c r="F2108" t="s">
        <v>304</v>
      </c>
      <c r="G2108" t="s">
        <v>224</v>
      </c>
      <c r="H2108" t="s">
        <v>470</v>
      </c>
      <c r="I2108" t="s">
        <v>471</v>
      </c>
      <c r="J2108">
        <v>100</v>
      </c>
    </row>
    <row r="2109" spans="1:10">
      <c r="A2109" s="90" t="s">
        <v>216</v>
      </c>
      <c r="B2109" s="87">
        <v>46071</v>
      </c>
      <c r="C2109" t="s">
        <v>3697</v>
      </c>
      <c r="D2109" t="s">
        <v>2110</v>
      </c>
      <c r="E2109" t="s">
        <v>477</v>
      </c>
      <c r="F2109" t="s">
        <v>318</v>
      </c>
      <c r="G2109" t="s">
        <v>224</v>
      </c>
      <c r="H2109" t="s">
        <v>470</v>
      </c>
      <c r="I2109" t="s">
        <v>471</v>
      </c>
      <c r="J2109">
        <v>550</v>
      </c>
    </row>
    <row r="2110" spans="1:10">
      <c r="A2110" s="90" t="s">
        <v>216</v>
      </c>
      <c r="B2110" s="87">
        <v>46071</v>
      </c>
      <c r="C2110" t="s">
        <v>3698</v>
      </c>
      <c r="D2110" t="s">
        <v>2110</v>
      </c>
      <c r="E2110" t="s">
        <v>493</v>
      </c>
      <c r="F2110" t="s">
        <v>3699</v>
      </c>
      <c r="G2110" t="s">
        <v>486</v>
      </c>
      <c r="H2110" t="s">
        <v>470</v>
      </c>
      <c r="I2110" t="s">
        <v>487</v>
      </c>
      <c r="J2110">
        <v>38851.4</v>
      </c>
    </row>
    <row r="2111" spans="1:10">
      <c r="A2111" s="90" t="s">
        <v>216</v>
      </c>
      <c r="B2111" s="87">
        <v>46071</v>
      </c>
      <c r="C2111" t="s">
        <v>511</v>
      </c>
      <c r="D2111" t="s">
        <v>2110</v>
      </c>
      <c r="E2111" t="s">
        <v>512</v>
      </c>
      <c r="F2111" t="s">
        <v>1121</v>
      </c>
      <c r="G2111" t="s">
        <v>474</v>
      </c>
      <c r="H2111" t="s">
        <v>470</v>
      </c>
      <c r="I2111" t="s">
        <v>475</v>
      </c>
      <c r="J2111">
        <v>54911.02</v>
      </c>
    </row>
    <row r="2112" spans="1:10">
      <c r="A2112" s="90" t="s">
        <v>216</v>
      </c>
      <c r="B2112" s="87">
        <v>46071</v>
      </c>
      <c r="C2112" t="s">
        <v>1127</v>
      </c>
      <c r="D2112" t="s">
        <v>2110</v>
      </c>
      <c r="E2112" t="s">
        <v>493</v>
      </c>
      <c r="F2112" t="s">
        <v>318</v>
      </c>
      <c r="G2112" t="s">
        <v>192</v>
      </c>
      <c r="H2112" t="s">
        <v>470</v>
      </c>
      <c r="I2112" t="s">
        <v>475</v>
      </c>
      <c r="J2112">
        <v>19571.97</v>
      </c>
    </row>
    <row r="2113" spans="1:10">
      <c r="A2113" s="90" t="s">
        <v>216</v>
      </c>
      <c r="B2113" s="87">
        <v>46071</v>
      </c>
      <c r="C2113" t="s">
        <v>3700</v>
      </c>
      <c r="D2113" t="s">
        <v>2110</v>
      </c>
      <c r="E2113" t="s">
        <v>2878</v>
      </c>
      <c r="F2113" t="s">
        <v>3701</v>
      </c>
      <c r="G2113" t="s">
        <v>70</v>
      </c>
      <c r="H2113" t="s">
        <v>470</v>
      </c>
      <c r="I2113" t="s">
        <v>796</v>
      </c>
      <c r="J2113">
        <v>57.96</v>
      </c>
    </row>
    <row r="2114" spans="1:10">
      <c r="A2114" s="90" t="s">
        <v>216</v>
      </c>
      <c r="B2114" s="87">
        <v>46071</v>
      </c>
      <c r="C2114" t="s">
        <v>511</v>
      </c>
      <c r="D2114" t="s">
        <v>2110</v>
      </c>
      <c r="E2114" t="s">
        <v>512</v>
      </c>
      <c r="F2114" t="s">
        <v>1121</v>
      </c>
      <c r="G2114" t="s">
        <v>474</v>
      </c>
      <c r="H2114" t="s">
        <v>470</v>
      </c>
      <c r="I2114" t="s">
        <v>475</v>
      </c>
      <c r="J2114">
        <v>370976.41</v>
      </c>
    </row>
    <row r="2115" spans="1:10">
      <c r="A2115" s="90" t="s">
        <v>216</v>
      </c>
      <c r="B2115" s="87">
        <v>46071</v>
      </c>
      <c r="C2115" t="s">
        <v>3702</v>
      </c>
      <c r="D2115" t="s">
        <v>2110</v>
      </c>
      <c r="E2115" t="s">
        <v>477</v>
      </c>
      <c r="F2115" t="s">
        <v>1121</v>
      </c>
      <c r="G2115" t="s">
        <v>74</v>
      </c>
      <c r="H2115" t="s">
        <v>470</v>
      </c>
      <c r="I2115" t="s">
        <v>471</v>
      </c>
      <c r="J2115">
        <v>60</v>
      </c>
    </row>
    <row r="2116" spans="1:10">
      <c r="A2116" s="90" t="s">
        <v>216</v>
      </c>
      <c r="B2116" s="87">
        <v>46071</v>
      </c>
      <c r="C2116" t="s">
        <v>3703</v>
      </c>
      <c r="D2116" t="s">
        <v>2110</v>
      </c>
      <c r="E2116" t="s">
        <v>2628</v>
      </c>
      <c r="F2116" t="s">
        <v>3704</v>
      </c>
      <c r="G2116" t="s">
        <v>76</v>
      </c>
      <c r="H2116" t="s">
        <v>470</v>
      </c>
      <c r="I2116" t="s">
        <v>796</v>
      </c>
      <c r="J2116">
        <v>200</v>
      </c>
    </row>
    <row r="2117" spans="1:10">
      <c r="A2117" s="90" t="s">
        <v>216</v>
      </c>
      <c r="B2117" s="87">
        <v>46072</v>
      </c>
      <c r="C2117" t="s">
        <v>3705</v>
      </c>
      <c r="D2117" t="s">
        <v>2110</v>
      </c>
      <c r="E2117" t="s">
        <v>3706</v>
      </c>
      <c r="F2117" t="s">
        <v>1133</v>
      </c>
      <c r="G2117" t="s">
        <v>2125</v>
      </c>
      <c r="H2117" t="s">
        <v>470</v>
      </c>
      <c r="I2117" t="s">
        <v>487</v>
      </c>
      <c r="J2117">
        <v>6894.72</v>
      </c>
    </row>
    <row r="2118" spans="1:10">
      <c r="A2118" s="90" t="s">
        <v>216</v>
      </c>
      <c r="B2118" s="87">
        <v>46072</v>
      </c>
      <c r="C2118" t="s">
        <v>3707</v>
      </c>
      <c r="D2118" t="s">
        <v>2110</v>
      </c>
      <c r="E2118" t="s">
        <v>3649</v>
      </c>
      <c r="F2118" t="s">
        <v>1135</v>
      </c>
      <c r="G2118" t="s">
        <v>2125</v>
      </c>
      <c r="H2118" t="s">
        <v>470</v>
      </c>
      <c r="I2118" t="s">
        <v>487</v>
      </c>
      <c r="J2118">
        <v>6800.22</v>
      </c>
    </row>
    <row r="2119" spans="1:10">
      <c r="A2119" s="90" t="s">
        <v>216</v>
      </c>
      <c r="B2119" s="87">
        <v>46072</v>
      </c>
      <c r="C2119" t="s">
        <v>3708</v>
      </c>
      <c r="D2119" t="s">
        <v>2110</v>
      </c>
      <c r="E2119" t="s">
        <v>3547</v>
      </c>
      <c r="F2119" t="s">
        <v>400</v>
      </c>
      <c r="G2119" t="s">
        <v>2112</v>
      </c>
      <c r="H2119" t="s">
        <v>470</v>
      </c>
      <c r="I2119" t="s">
        <v>487</v>
      </c>
      <c r="J2119">
        <v>21073.18</v>
      </c>
    </row>
    <row r="2120" spans="1:10">
      <c r="A2120" s="90" t="s">
        <v>216</v>
      </c>
      <c r="B2120" s="87">
        <v>46072</v>
      </c>
      <c r="C2120" t="s">
        <v>3697</v>
      </c>
      <c r="D2120" t="s">
        <v>2110</v>
      </c>
      <c r="E2120" t="s">
        <v>477</v>
      </c>
      <c r="F2120" t="s">
        <v>318</v>
      </c>
      <c r="G2120" t="s">
        <v>224</v>
      </c>
      <c r="H2120" t="s">
        <v>470</v>
      </c>
      <c r="I2120" t="s">
        <v>471</v>
      </c>
      <c r="J2120">
        <v>183.01</v>
      </c>
    </row>
    <row r="2121" spans="1:10">
      <c r="A2121" s="90" t="s">
        <v>216</v>
      </c>
      <c r="B2121" s="87">
        <v>46072</v>
      </c>
      <c r="C2121" t="s">
        <v>3697</v>
      </c>
      <c r="D2121" t="s">
        <v>2110</v>
      </c>
      <c r="E2121" t="s">
        <v>477</v>
      </c>
      <c r="F2121" t="s">
        <v>318</v>
      </c>
      <c r="G2121" t="s">
        <v>224</v>
      </c>
      <c r="H2121" t="s">
        <v>470</v>
      </c>
      <c r="I2121" t="s">
        <v>471</v>
      </c>
      <c r="J2121">
        <v>61.02</v>
      </c>
    </row>
    <row r="2122" spans="1:10">
      <c r="A2122" s="90" t="s">
        <v>216</v>
      </c>
      <c r="B2122" s="87">
        <v>46072</v>
      </c>
      <c r="C2122" t="s">
        <v>3709</v>
      </c>
      <c r="D2122" t="s">
        <v>2110</v>
      </c>
      <c r="E2122" t="s">
        <v>477</v>
      </c>
      <c r="F2122" t="s">
        <v>1121</v>
      </c>
      <c r="G2122" t="s">
        <v>66</v>
      </c>
      <c r="H2122" t="s">
        <v>470</v>
      </c>
      <c r="I2122" t="s">
        <v>471</v>
      </c>
      <c r="J2122">
        <v>0.7</v>
      </c>
    </row>
    <row r="2123" spans="1:10">
      <c r="A2123" s="90" t="s">
        <v>216</v>
      </c>
      <c r="B2123" s="87">
        <v>46072</v>
      </c>
      <c r="C2123" t="s">
        <v>2275</v>
      </c>
      <c r="D2123" t="s">
        <v>2110</v>
      </c>
      <c r="E2123" t="s">
        <v>477</v>
      </c>
      <c r="F2123" t="s">
        <v>1121</v>
      </c>
      <c r="G2123" t="s">
        <v>74</v>
      </c>
      <c r="H2123" t="s">
        <v>470</v>
      </c>
      <c r="I2123" t="s">
        <v>471</v>
      </c>
      <c r="J2123">
        <v>40</v>
      </c>
    </row>
    <row r="2124" spans="1:10">
      <c r="A2124" s="90" t="s">
        <v>216</v>
      </c>
      <c r="B2124" s="87">
        <v>46072</v>
      </c>
      <c r="C2124" t="s">
        <v>1124</v>
      </c>
      <c r="D2124" t="s">
        <v>2110</v>
      </c>
      <c r="E2124" t="s">
        <v>512</v>
      </c>
      <c r="F2124" t="s">
        <v>1121</v>
      </c>
      <c r="G2124" t="s">
        <v>474</v>
      </c>
      <c r="H2124" t="s">
        <v>470</v>
      </c>
      <c r="I2124" t="s">
        <v>471</v>
      </c>
      <c r="J2124">
        <v>1671.37</v>
      </c>
    </row>
    <row r="2125" spans="1:10">
      <c r="A2125" s="90" t="s">
        <v>216</v>
      </c>
      <c r="B2125" s="87">
        <v>46072</v>
      </c>
      <c r="C2125" t="s">
        <v>1124</v>
      </c>
      <c r="D2125" t="s">
        <v>2110</v>
      </c>
      <c r="E2125" t="s">
        <v>512</v>
      </c>
      <c r="F2125" t="s">
        <v>1121</v>
      </c>
      <c r="G2125" t="s">
        <v>474</v>
      </c>
      <c r="H2125" t="s">
        <v>470</v>
      </c>
      <c r="I2125" t="s">
        <v>475</v>
      </c>
      <c r="J2125">
        <v>400000</v>
      </c>
    </row>
    <row r="2126" spans="1:10">
      <c r="A2126" s="90" t="s">
        <v>216</v>
      </c>
      <c r="B2126" s="87">
        <v>46072</v>
      </c>
      <c r="C2126" t="s">
        <v>1124</v>
      </c>
      <c r="D2126" t="s">
        <v>2110</v>
      </c>
      <c r="E2126" t="s">
        <v>512</v>
      </c>
      <c r="F2126" t="s">
        <v>1121</v>
      </c>
      <c r="G2126" t="s">
        <v>474</v>
      </c>
      <c r="H2126" t="s">
        <v>470</v>
      </c>
      <c r="I2126" t="s">
        <v>475</v>
      </c>
      <c r="J2126">
        <v>51144.54</v>
      </c>
    </row>
    <row r="2127" spans="1:10">
      <c r="A2127" s="90" t="s">
        <v>216</v>
      </c>
      <c r="B2127" s="87">
        <v>46073</v>
      </c>
      <c r="C2127" t="s">
        <v>3710</v>
      </c>
      <c r="D2127" t="s">
        <v>2110</v>
      </c>
      <c r="E2127" t="s">
        <v>3324</v>
      </c>
      <c r="F2127" t="s">
        <v>326</v>
      </c>
      <c r="G2127" t="s">
        <v>2381</v>
      </c>
      <c r="H2127" t="s">
        <v>470</v>
      </c>
      <c r="I2127" t="s">
        <v>796</v>
      </c>
      <c r="J2127">
        <v>3384.68</v>
      </c>
    </row>
    <row r="2128" spans="1:10">
      <c r="A2128" s="90" t="s">
        <v>216</v>
      </c>
      <c r="B2128" s="87">
        <v>46073</v>
      </c>
      <c r="C2128" t="s">
        <v>3711</v>
      </c>
      <c r="D2128" t="s">
        <v>2110</v>
      </c>
      <c r="E2128" t="s">
        <v>3547</v>
      </c>
      <c r="F2128" t="s">
        <v>372</v>
      </c>
      <c r="G2128" t="s">
        <v>2381</v>
      </c>
      <c r="H2128" t="s">
        <v>470</v>
      </c>
      <c r="I2128" t="s">
        <v>796</v>
      </c>
      <c r="J2128">
        <v>221.57</v>
      </c>
    </row>
    <row r="2129" spans="1:10">
      <c r="A2129" s="90" t="s">
        <v>216</v>
      </c>
      <c r="B2129" s="87">
        <v>46073</v>
      </c>
      <c r="C2129" t="s">
        <v>3712</v>
      </c>
      <c r="D2129" t="s">
        <v>2110</v>
      </c>
      <c r="E2129" t="s">
        <v>2318</v>
      </c>
      <c r="F2129" t="s">
        <v>1093</v>
      </c>
      <c r="G2129" t="s">
        <v>64</v>
      </c>
      <c r="H2129" t="s">
        <v>470</v>
      </c>
      <c r="I2129" t="s">
        <v>796</v>
      </c>
      <c r="J2129">
        <v>806</v>
      </c>
    </row>
    <row r="2130" spans="1:10">
      <c r="A2130" s="90" t="s">
        <v>216</v>
      </c>
      <c r="B2130" s="87">
        <v>46073</v>
      </c>
      <c r="C2130" t="s">
        <v>3713</v>
      </c>
      <c r="D2130" t="s">
        <v>2110</v>
      </c>
      <c r="E2130" t="s">
        <v>2318</v>
      </c>
      <c r="F2130" t="s">
        <v>1093</v>
      </c>
      <c r="G2130" t="s">
        <v>64</v>
      </c>
      <c r="H2130" t="s">
        <v>470</v>
      </c>
      <c r="I2130" t="s">
        <v>796</v>
      </c>
      <c r="J2130">
        <v>290.39999999999998</v>
      </c>
    </row>
    <row r="2131" spans="1:10">
      <c r="A2131" s="90" t="s">
        <v>216</v>
      </c>
      <c r="B2131" s="87">
        <v>46073</v>
      </c>
      <c r="C2131" t="s">
        <v>3194</v>
      </c>
      <c r="D2131" t="s">
        <v>2110</v>
      </c>
      <c r="E2131" t="s">
        <v>1756</v>
      </c>
      <c r="F2131" t="s">
        <v>1093</v>
      </c>
      <c r="G2131" t="s">
        <v>67</v>
      </c>
      <c r="H2131" t="s">
        <v>470</v>
      </c>
      <c r="I2131" t="s">
        <v>796</v>
      </c>
      <c r="J2131">
        <v>590.4</v>
      </c>
    </row>
    <row r="2132" spans="1:10">
      <c r="A2132" s="90" t="s">
        <v>216</v>
      </c>
      <c r="B2132" s="87">
        <v>46073</v>
      </c>
      <c r="C2132" t="s">
        <v>3194</v>
      </c>
      <c r="D2132" t="s">
        <v>2110</v>
      </c>
      <c r="E2132" t="s">
        <v>1756</v>
      </c>
      <c r="F2132" t="s">
        <v>1093</v>
      </c>
      <c r="G2132" t="s">
        <v>67</v>
      </c>
      <c r="H2132" t="s">
        <v>470</v>
      </c>
      <c r="I2132" t="s">
        <v>796</v>
      </c>
      <c r="J2132">
        <v>68.760000000000005</v>
      </c>
    </row>
    <row r="2133" spans="1:10">
      <c r="A2133" s="90" t="s">
        <v>216</v>
      </c>
      <c r="B2133" s="87">
        <v>46073</v>
      </c>
      <c r="C2133" t="s">
        <v>511</v>
      </c>
      <c r="D2133" t="s">
        <v>2110</v>
      </c>
      <c r="E2133" t="s">
        <v>512</v>
      </c>
      <c r="F2133" t="s">
        <v>1121</v>
      </c>
      <c r="G2133" t="s">
        <v>474</v>
      </c>
      <c r="H2133" t="s">
        <v>470</v>
      </c>
      <c r="I2133" t="s">
        <v>475</v>
      </c>
      <c r="J2133">
        <v>7072.85</v>
      </c>
    </row>
    <row r="2134" spans="1:10">
      <c r="A2134" s="90" t="s">
        <v>216</v>
      </c>
      <c r="B2134" s="87">
        <v>46073</v>
      </c>
      <c r="C2134" t="s">
        <v>3714</v>
      </c>
      <c r="D2134" t="s">
        <v>2110</v>
      </c>
      <c r="E2134" t="s">
        <v>2403</v>
      </c>
      <c r="F2134" t="s">
        <v>3715</v>
      </c>
      <c r="G2134" t="s">
        <v>232</v>
      </c>
      <c r="H2134" t="s">
        <v>2123</v>
      </c>
      <c r="I2134" t="s">
        <v>487</v>
      </c>
      <c r="J2134">
        <v>1381.04</v>
      </c>
    </row>
    <row r="2135" spans="1:10">
      <c r="A2135" s="90" t="s">
        <v>216</v>
      </c>
      <c r="B2135" s="87">
        <v>46073</v>
      </c>
      <c r="C2135" t="s">
        <v>3716</v>
      </c>
      <c r="D2135" t="s">
        <v>2110</v>
      </c>
      <c r="E2135" t="s">
        <v>2403</v>
      </c>
      <c r="F2135" t="s">
        <v>3717</v>
      </c>
      <c r="G2135" t="s">
        <v>232</v>
      </c>
      <c r="H2135" t="s">
        <v>2123</v>
      </c>
      <c r="I2135" t="s">
        <v>487</v>
      </c>
      <c r="J2135">
        <v>330</v>
      </c>
    </row>
    <row r="2136" spans="1:10">
      <c r="A2136" s="90" t="s">
        <v>216</v>
      </c>
      <c r="B2136" s="87">
        <v>46073</v>
      </c>
      <c r="C2136" t="s">
        <v>511</v>
      </c>
      <c r="D2136" t="s">
        <v>2110</v>
      </c>
      <c r="E2136" t="s">
        <v>512</v>
      </c>
      <c r="F2136" t="s">
        <v>1121</v>
      </c>
      <c r="G2136" t="s">
        <v>474</v>
      </c>
      <c r="H2136" t="s">
        <v>470</v>
      </c>
      <c r="I2136" t="s">
        <v>475</v>
      </c>
      <c r="J2136">
        <v>3701.88</v>
      </c>
    </row>
    <row r="2137" spans="1:10">
      <c r="A2137" s="90" t="s">
        <v>216</v>
      </c>
      <c r="B2137" s="87">
        <v>46076</v>
      </c>
      <c r="C2137" t="s">
        <v>3718</v>
      </c>
      <c r="D2137" t="s">
        <v>2110</v>
      </c>
      <c r="E2137" t="s">
        <v>2316</v>
      </c>
      <c r="F2137" t="s">
        <v>1121</v>
      </c>
      <c r="G2137" t="s">
        <v>217</v>
      </c>
      <c r="H2137" t="s">
        <v>470</v>
      </c>
      <c r="I2137" t="s">
        <v>796</v>
      </c>
      <c r="J2137">
        <v>202.3</v>
      </c>
    </row>
    <row r="2138" spans="1:10">
      <c r="A2138" s="90" t="s">
        <v>216</v>
      </c>
      <c r="B2138" s="87">
        <v>46076</v>
      </c>
      <c r="C2138" t="s">
        <v>3719</v>
      </c>
      <c r="D2138" t="s">
        <v>2110</v>
      </c>
      <c r="E2138" t="s">
        <v>1667</v>
      </c>
      <c r="F2138" t="s">
        <v>3720</v>
      </c>
      <c r="G2138" t="s">
        <v>2115</v>
      </c>
      <c r="H2138" t="s">
        <v>470</v>
      </c>
      <c r="I2138" t="s">
        <v>475</v>
      </c>
      <c r="J2138">
        <v>362.3</v>
      </c>
    </row>
    <row r="2139" spans="1:10">
      <c r="A2139" s="90" t="s">
        <v>216</v>
      </c>
      <c r="B2139" s="87">
        <v>46076</v>
      </c>
      <c r="C2139" t="s">
        <v>3719</v>
      </c>
      <c r="D2139" t="s">
        <v>2110</v>
      </c>
      <c r="E2139" t="s">
        <v>1667</v>
      </c>
      <c r="F2139" t="s">
        <v>3720</v>
      </c>
      <c r="G2139" t="s">
        <v>259</v>
      </c>
      <c r="H2139" t="s">
        <v>470</v>
      </c>
      <c r="I2139" t="s">
        <v>475</v>
      </c>
      <c r="J2139">
        <v>1878.16</v>
      </c>
    </row>
    <row r="2140" spans="1:10">
      <c r="A2140" s="90" t="s">
        <v>216</v>
      </c>
      <c r="B2140" s="87">
        <v>46076</v>
      </c>
      <c r="C2140" t="s">
        <v>3721</v>
      </c>
      <c r="D2140" t="s">
        <v>2110</v>
      </c>
      <c r="E2140" t="s">
        <v>2316</v>
      </c>
      <c r="F2140" t="s">
        <v>1121</v>
      </c>
      <c r="G2140" t="s">
        <v>217</v>
      </c>
      <c r="H2140" t="s">
        <v>470</v>
      </c>
      <c r="I2140" t="s">
        <v>796</v>
      </c>
      <c r="J2140">
        <v>112.4</v>
      </c>
    </row>
    <row r="2141" spans="1:10">
      <c r="A2141" s="90" t="s">
        <v>216</v>
      </c>
      <c r="B2141" s="87">
        <v>46076</v>
      </c>
      <c r="C2141" t="s">
        <v>3722</v>
      </c>
      <c r="D2141" t="s">
        <v>2110</v>
      </c>
      <c r="E2141" t="s">
        <v>3229</v>
      </c>
      <c r="F2141" t="s">
        <v>1301</v>
      </c>
      <c r="G2141" t="s">
        <v>2112</v>
      </c>
      <c r="H2141" t="s">
        <v>470</v>
      </c>
      <c r="I2141" t="s">
        <v>475</v>
      </c>
      <c r="J2141">
        <v>10819.31</v>
      </c>
    </row>
    <row r="2142" spans="1:10">
      <c r="A2142" s="90" t="s">
        <v>216</v>
      </c>
      <c r="B2142" s="87">
        <v>46076</v>
      </c>
      <c r="C2142" t="s">
        <v>3723</v>
      </c>
      <c r="D2142" t="s">
        <v>2110</v>
      </c>
      <c r="E2142" t="s">
        <v>3599</v>
      </c>
      <c r="F2142" t="s">
        <v>3724</v>
      </c>
      <c r="G2142" t="s">
        <v>219</v>
      </c>
      <c r="H2142" t="s">
        <v>470</v>
      </c>
      <c r="I2142" t="s">
        <v>487</v>
      </c>
      <c r="J2142">
        <v>516</v>
      </c>
    </row>
    <row r="2143" spans="1:10">
      <c r="A2143" s="90" t="s">
        <v>216</v>
      </c>
      <c r="B2143" s="87">
        <v>46076</v>
      </c>
      <c r="C2143" t="s">
        <v>2275</v>
      </c>
      <c r="D2143" t="s">
        <v>2110</v>
      </c>
      <c r="E2143" t="s">
        <v>477</v>
      </c>
      <c r="F2143" t="s">
        <v>1121</v>
      </c>
      <c r="G2143" t="s">
        <v>74</v>
      </c>
      <c r="H2143" t="s">
        <v>470</v>
      </c>
      <c r="I2143" t="s">
        <v>471</v>
      </c>
      <c r="J2143">
        <v>5.0999999999999996</v>
      </c>
    </row>
    <row r="2144" spans="1:10">
      <c r="A2144" s="90" t="s">
        <v>216</v>
      </c>
      <c r="B2144" s="87">
        <v>46076</v>
      </c>
      <c r="C2144" t="s">
        <v>511</v>
      </c>
      <c r="D2144" t="s">
        <v>2110</v>
      </c>
      <c r="E2144" t="s">
        <v>512</v>
      </c>
      <c r="F2144" t="s">
        <v>1121</v>
      </c>
      <c r="G2144" t="s">
        <v>474</v>
      </c>
      <c r="H2144" t="s">
        <v>470</v>
      </c>
      <c r="I2144" t="s">
        <v>475</v>
      </c>
      <c r="J2144">
        <v>14295.57</v>
      </c>
    </row>
    <row r="2145" spans="1:10">
      <c r="A2145" s="90" t="s">
        <v>216</v>
      </c>
      <c r="B2145" s="87">
        <v>46077</v>
      </c>
      <c r="C2145" t="s">
        <v>3725</v>
      </c>
      <c r="D2145" t="s">
        <v>2110</v>
      </c>
      <c r="E2145" t="s">
        <v>1002</v>
      </c>
      <c r="F2145" t="s">
        <v>1014</v>
      </c>
      <c r="G2145" t="s">
        <v>2115</v>
      </c>
      <c r="H2145" t="s">
        <v>470</v>
      </c>
      <c r="I2145" t="s">
        <v>796</v>
      </c>
      <c r="J2145">
        <v>1350</v>
      </c>
    </row>
    <row r="2146" spans="1:10">
      <c r="A2146" s="90" t="s">
        <v>216</v>
      </c>
      <c r="B2146" s="87">
        <v>46077</v>
      </c>
      <c r="C2146" t="s">
        <v>3725</v>
      </c>
      <c r="D2146" t="s">
        <v>2110</v>
      </c>
      <c r="E2146" t="s">
        <v>1002</v>
      </c>
      <c r="F2146" t="s">
        <v>1014</v>
      </c>
      <c r="G2146" t="s">
        <v>223</v>
      </c>
      <c r="H2146" t="s">
        <v>470</v>
      </c>
      <c r="I2146" t="s">
        <v>796</v>
      </c>
      <c r="J2146">
        <v>797.6</v>
      </c>
    </row>
    <row r="2147" spans="1:10">
      <c r="A2147" s="90" t="s">
        <v>216</v>
      </c>
      <c r="B2147" s="87">
        <v>46077</v>
      </c>
      <c r="C2147" t="s">
        <v>2275</v>
      </c>
      <c r="D2147" t="s">
        <v>2110</v>
      </c>
      <c r="E2147" t="s">
        <v>477</v>
      </c>
      <c r="F2147" t="s">
        <v>1121</v>
      </c>
      <c r="G2147" t="s">
        <v>74</v>
      </c>
      <c r="H2147" t="s">
        <v>470</v>
      </c>
      <c r="I2147" t="s">
        <v>471</v>
      </c>
      <c r="J2147">
        <v>12.97</v>
      </c>
    </row>
    <row r="2148" spans="1:10">
      <c r="A2148" s="90" t="s">
        <v>216</v>
      </c>
      <c r="B2148" s="87">
        <v>46077</v>
      </c>
      <c r="C2148" t="s">
        <v>511</v>
      </c>
      <c r="D2148" t="s">
        <v>2110</v>
      </c>
      <c r="E2148" t="s">
        <v>512</v>
      </c>
      <c r="F2148" t="s">
        <v>1121</v>
      </c>
      <c r="G2148" t="s">
        <v>474</v>
      </c>
      <c r="H2148" t="s">
        <v>470</v>
      </c>
      <c r="I2148" t="s">
        <v>540</v>
      </c>
      <c r="J2148">
        <v>50522.97</v>
      </c>
    </row>
    <row r="2149" spans="1:10">
      <c r="A2149" s="90" t="s">
        <v>216</v>
      </c>
      <c r="B2149" s="87">
        <v>46077</v>
      </c>
      <c r="C2149" t="s">
        <v>3726</v>
      </c>
      <c r="D2149" t="s">
        <v>2110</v>
      </c>
      <c r="E2149" t="s">
        <v>477</v>
      </c>
      <c r="F2149" t="s">
        <v>3727</v>
      </c>
      <c r="G2149" t="s">
        <v>219</v>
      </c>
      <c r="H2149" t="s">
        <v>470</v>
      </c>
      <c r="I2149" t="s">
        <v>796</v>
      </c>
      <c r="J2149">
        <v>210</v>
      </c>
    </row>
    <row r="2150" spans="1:10">
      <c r="A2150" s="90" t="s">
        <v>216</v>
      </c>
      <c r="B2150" s="87">
        <v>46077</v>
      </c>
      <c r="C2150" t="s">
        <v>3728</v>
      </c>
      <c r="D2150" t="s">
        <v>2110</v>
      </c>
      <c r="E2150" t="s">
        <v>1285</v>
      </c>
      <c r="F2150" t="s">
        <v>1240</v>
      </c>
      <c r="G2150" t="s">
        <v>2112</v>
      </c>
      <c r="H2150" t="s">
        <v>470</v>
      </c>
      <c r="I2150" t="s">
        <v>475</v>
      </c>
      <c r="J2150">
        <v>50000</v>
      </c>
    </row>
    <row r="2151" spans="1:10">
      <c r="A2151" s="90" t="s">
        <v>216</v>
      </c>
      <c r="B2151" s="87">
        <v>46077</v>
      </c>
      <c r="C2151" t="s">
        <v>3729</v>
      </c>
      <c r="D2151" t="s">
        <v>2110</v>
      </c>
      <c r="E2151" t="s">
        <v>3730</v>
      </c>
      <c r="F2151" t="s">
        <v>3731</v>
      </c>
      <c r="G2151" t="s">
        <v>219</v>
      </c>
      <c r="H2151" t="s">
        <v>470</v>
      </c>
      <c r="I2151" t="s">
        <v>487</v>
      </c>
      <c r="J2151">
        <v>300</v>
      </c>
    </row>
    <row r="2152" spans="1:10">
      <c r="A2152" s="90" t="s">
        <v>216</v>
      </c>
      <c r="B2152" s="87">
        <v>46078</v>
      </c>
      <c r="C2152" t="s">
        <v>3732</v>
      </c>
      <c r="D2152" t="s">
        <v>2110</v>
      </c>
      <c r="E2152" t="s">
        <v>3706</v>
      </c>
      <c r="F2152" t="s">
        <v>1133</v>
      </c>
      <c r="G2152" t="s">
        <v>2125</v>
      </c>
      <c r="H2152" t="s">
        <v>470</v>
      </c>
      <c r="I2152" t="s">
        <v>487</v>
      </c>
      <c r="J2152">
        <v>2884.88</v>
      </c>
    </row>
    <row r="2153" spans="1:10">
      <c r="A2153" s="90" t="s">
        <v>216</v>
      </c>
      <c r="B2153" s="87">
        <v>46078</v>
      </c>
      <c r="C2153" t="s">
        <v>3733</v>
      </c>
      <c r="D2153" t="s">
        <v>2110</v>
      </c>
      <c r="E2153" t="s">
        <v>3649</v>
      </c>
      <c r="F2153" t="s">
        <v>1135</v>
      </c>
      <c r="G2153" t="s">
        <v>2125</v>
      </c>
      <c r="H2153" t="s">
        <v>470</v>
      </c>
      <c r="I2153" t="s">
        <v>487</v>
      </c>
      <c r="J2153">
        <v>2874.38</v>
      </c>
    </row>
    <row r="2154" spans="1:10">
      <c r="A2154" s="90" t="s">
        <v>216</v>
      </c>
      <c r="B2154" s="87">
        <v>46078</v>
      </c>
      <c r="C2154" t="s">
        <v>3734</v>
      </c>
      <c r="D2154" t="s">
        <v>2110</v>
      </c>
      <c r="E2154" t="s">
        <v>3664</v>
      </c>
      <c r="F2154" t="s">
        <v>1225</v>
      </c>
      <c r="G2154" t="s">
        <v>2112</v>
      </c>
      <c r="H2154" t="s">
        <v>470</v>
      </c>
      <c r="I2154" t="s">
        <v>475</v>
      </c>
      <c r="J2154">
        <v>75109.67</v>
      </c>
    </row>
    <row r="2155" spans="1:10">
      <c r="A2155" s="90" t="s">
        <v>216</v>
      </c>
      <c r="B2155" s="87">
        <v>46078</v>
      </c>
      <c r="C2155" t="s">
        <v>3735</v>
      </c>
      <c r="D2155" t="s">
        <v>2110</v>
      </c>
      <c r="E2155" t="s">
        <v>3664</v>
      </c>
      <c r="F2155" t="s">
        <v>1227</v>
      </c>
      <c r="G2155" t="s">
        <v>2112</v>
      </c>
      <c r="H2155" t="s">
        <v>470</v>
      </c>
      <c r="I2155" t="s">
        <v>475</v>
      </c>
      <c r="J2155">
        <v>65459.48</v>
      </c>
    </row>
    <row r="2156" spans="1:10">
      <c r="A2156" s="90" t="s">
        <v>216</v>
      </c>
      <c r="B2156" s="87">
        <v>46078</v>
      </c>
      <c r="C2156" t="s">
        <v>3736</v>
      </c>
      <c r="D2156" t="s">
        <v>2110</v>
      </c>
      <c r="E2156" t="s">
        <v>3664</v>
      </c>
      <c r="F2156" t="s">
        <v>1229</v>
      </c>
      <c r="G2156" t="s">
        <v>2112</v>
      </c>
      <c r="H2156" t="s">
        <v>470</v>
      </c>
      <c r="I2156" t="s">
        <v>475</v>
      </c>
      <c r="J2156">
        <v>66447.62</v>
      </c>
    </row>
    <row r="2157" spans="1:10">
      <c r="A2157" s="90" t="s">
        <v>216</v>
      </c>
      <c r="B2157" s="87">
        <v>46078</v>
      </c>
      <c r="C2157" t="s">
        <v>3737</v>
      </c>
      <c r="D2157" t="s">
        <v>2110</v>
      </c>
      <c r="E2157" t="s">
        <v>3664</v>
      </c>
      <c r="F2157" t="s">
        <v>1231</v>
      </c>
      <c r="G2157" t="s">
        <v>2112</v>
      </c>
      <c r="H2157" t="s">
        <v>470</v>
      </c>
      <c r="I2157" t="s">
        <v>475</v>
      </c>
      <c r="J2157">
        <v>61101.53</v>
      </c>
    </row>
    <row r="2158" spans="1:10">
      <c r="A2158" s="90" t="s">
        <v>216</v>
      </c>
      <c r="B2158" s="87">
        <v>46078</v>
      </c>
      <c r="C2158" t="s">
        <v>3738</v>
      </c>
      <c r="D2158" t="s">
        <v>2110</v>
      </c>
      <c r="E2158" t="s">
        <v>3664</v>
      </c>
      <c r="F2158" t="s">
        <v>1235</v>
      </c>
      <c r="G2158" t="s">
        <v>2112</v>
      </c>
      <c r="H2158" t="s">
        <v>470</v>
      </c>
      <c r="I2158" t="s">
        <v>475</v>
      </c>
      <c r="J2158">
        <v>71331.31</v>
      </c>
    </row>
    <row r="2159" spans="1:10">
      <c r="A2159" s="90" t="s">
        <v>216</v>
      </c>
      <c r="B2159" s="87">
        <v>46078</v>
      </c>
      <c r="C2159" t="s">
        <v>3739</v>
      </c>
      <c r="D2159" t="s">
        <v>2110</v>
      </c>
      <c r="E2159" t="s">
        <v>3664</v>
      </c>
      <c r="F2159" t="s">
        <v>1201</v>
      </c>
      <c r="G2159" t="s">
        <v>2112</v>
      </c>
      <c r="H2159" t="s">
        <v>470</v>
      </c>
      <c r="I2159" t="s">
        <v>475</v>
      </c>
      <c r="J2159">
        <v>68202.22</v>
      </c>
    </row>
    <row r="2160" spans="1:10">
      <c r="A2160" s="90" t="s">
        <v>216</v>
      </c>
      <c r="B2160" s="87">
        <v>46078</v>
      </c>
      <c r="C2160" t="s">
        <v>2275</v>
      </c>
      <c r="D2160" t="s">
        <v>2110</v>
      </c>
      <c r="E2160" t="s">
        <v>477</v>
      </c>
      <c r="F2160" t="s">
        <v>1121</v>
      </c>
      <c r="G2160" t="s">
        <v>74</v>
      </c>
      <c r="H2160" t="s">
        <v>470</v>
      </c>
      <c r="I2160" t="s">
        <v>471</v>
      </c>
      <c r="J2160">
        <v>6.5</v>
      </c>
    </row>
    <row r="2161" spans="1:10">
      <c r="A2161" s="90" t="s">
        <v>216</v>
      </c>
      <c r="B2161" s="87">
        <v>46078</v>
      </c>
      <c r="C2161" t="s">
        <v>2275</v>
      </c>
      <c r="D2161" t="s">
        <v>2110</v>
      </c>
      <c r="E2161" t="s">
        <v>477</v>
      </c>
      <c r="F2161" t="s">
        <v>1121</v>
      </c>
      <c r="G2161" t="s">
        <v>74</v>
      </c>
      <c r="H2161" t="s">
        <v>470</v>
      </c>
      <c r="I2161" t="s">
        <v>471</v>
      </c>
      <c r="J2161">
        <v>66.2</v>
      </c>
    </row>
    <row r="2162" spans="1:10">
      <c r="A2162" s="90" t="s">
        <v>216</v>
      </c>
      <c r="B2162" s="87">
        <v>46078</v>
      </c>
      <c r="C2162" t="s">
        <v>2275</v>
      </c>
      <c r="D2162" t="s">
        <v>2110</v>
      </c>
      <c r="E2162" t="s">
        <v>477</v>
      </c>
      <c r="F2162" t="s">
        <v>1121</v>
      </c>
      <c r="G2162" t="s">
        <v>74</v>
      </c>
      <c r="H2162" t="s">
        <v>470</v>
      </c>
      <c r="I2162" t="s">
        <v>471</v>
      </c>
      <c r="J2162">
        <v>30</v>
      </c>
    </row>
    <row r="2163" spans="1:10">
      <c r="A2163" s="90" t="s">
        <v>216</v>
      </c>
      <c r="B2163" s="87">
        <v>46078</v>
      </c>
      <c r="C2163" t="s">
        <v>511</v>
      </c>
      <c r="D2163" t="s">
        <v>2110</v>
      </c>
      <c r="E2163" t="s">
        <v>512</v>
      </c>
      <c r="F2163" t="s">
        <v>1121</v>
      </c>
      <c r="G2163" t="s">
        <v>474</v>
      </c>
      <c r="H2163" t="s">
        <v>470</v>
      </c>
      <c r="I2163" t="s">
        <v>475</v>
      </c>
      <c r="J2163">
        <v>392175.51</v>
      </c>
    </row>
    <row r="2164" spans="1:10">
      <c r="A2164" s="90" t="s">
        <v>216</v>
      </c>
      <c r="B2164" s="87">
        <v>46078</v>
      </c>
      <c r="C2164" t="s">
        <v>511</v>
      </c>
      <c r="D2164" t="s">
        <v>2110</v>
      </c>
      <c r="E2164" t="s">
        <v>512</v>
      </c>
      <c r="F2164" t="s">
        <v>1121</v>
      </c>
      <c r="G2164" t="s">
        <v>474</v>
      </c>
      <c r="H2164" t="s">
        <v>470</v>
      </c>
      <c r="I2164" t="s">
        <v>475</v>
      </c>
      <c r="J2164">
        <v>23485.88</v>
      </c>
    </row>
    <row r="2165" spans="1:10">
      <c r="A2165" s="90" t="s">
        <v>216</v>
      </c>
      <c r="B2165" s="87">
        <v>46079</v>
      </c>
      <c r="C2165" t="s">
        <v>3740</v>
      </c>
      <c r="D2165" t="s">
        <v>2110</v>
      </c>
      <c r="E2165" t="s">
        <v>477</v>
      </c>
      <c r="F2165" t="s">
        <v>2325</v>
      </c>
      <c r="G2165" t="s">
        <v>515</v>
      </c>
      <c r="H2165" t="s">
        <v>3741</v>
      </c>
      <c r="I2165" t="s">
        <v>471</v>
      </c>
      <c r="J2165">
        <v>33666.57</v>
      </c>
    </row>
    <row r="2166" spans="1:10">
      <c r="A2166" s="90" t="s">
        <v>216</v>
      </c>
      <c r="B2166" s="87">
        <v>46079</v>
      </c>
      <c r="C2166" t="s">
        <v>3740</v>
      </c>
      <c r="D2166" t="s">
        <v>2110</v>
      </c>
      <c r="E2166" t="s">
        <v>477</v>
      </c>
      <c r="F2166" t="s">
        <v>2325</v>
      </c>
      <c r="G2166" t="s">
        <v>69</v>
      </c>
      <c r="H2166" t="s">
        <v>3741</v>
      </c>
      <c r="I2166" t="s">
        <v>471</v>
      </c>
      <c r="J2166">
        <v>2922.37</v>
      </c>
    </row>
    <row r="2167" spans="1:10">
      <c r="A2167" s="90" t="s">
        <v>216</v>
      </c>
      <c r="B2167" s="87">
        <v>46079</v>
      </c>
      <c r="C2167" t="s">
        <v>511</v>
      </c>
      <c r="D2167" t="s">
        <v>2110</v>
      </c>
      <c r="E2167" t="s">
        <v>512</v>
      </c>
      <c r="F2167" t="s">
        <v>1121</v>
      </c>
      <c r="G2167" t="s">
        <v>474</v>
      </c>
      <c r="H2167" t="s">
        <v>470</v>
      </c>
      <c r="I2167" t="s">
        <v>475</v>
      </c>
      <c r="J2167">
        <v>32338.94</v>
      </c>
    </row>
    <row r="2168" spans="1:10">
      <c r="A2168" s="90" t="s">
        <v>216</v>
      </c>
      <c r="B2168" s="87">
        <v>46080</v>
      </c>
      <c r="C2168" t="s">
        <v>3742</v>
      </c>
      <c r="D2168" t="s">
        <v>2110</v>
      </c>
      <c r="E2168" t="s">
        <v>1285</v>
      </c>
      <c r="F2168" t="s">
        <v>1240</v>
      </c>
      <c r="G2168" t="s">
        <v>2112</v>
      </c>
      <c r="H2168" t="s">
        <v>470</v>
      </c>
      <c r="I2168" t="s">
        <v>475</v>
      </c>
      <c r="J2168">
        <v>18194.93</v>
      </c>
    </row>
    <row r="2169" spans="1:10">
      <c r="A2169" s="90" t="s">
        <v>216</v>
      </c>
      <c r="B2169" s="87">
        <v>46080</v>
      </c>
      <c r="C2169" t="s">
        <v>3743</v>
      </c>
      <c r="D2169" t="s">
        <v>2110</v>
      </c>
      <c r="E2169" t="s">
        <v>1285</v>
      </c>
      <c r="F2169" t="s">
        <v>1242</v>
      </c>
      <c r="G2169" t="s">
        <v>2112</v>
      </c>
      <c r="H2169" t="s">
        <v>470</v>
      </c>
      <c r="I2169" t="s">
        <v>475</v>
      </c>
      <c r="J2169">
        <v>60621.58</v>
      </c>
    </row>
    <row r="2170" spans="1:10">
      <c r="A2170" s="90" t="s">
        <v>216</v>
      </c>
      <c r="B2170" s="87">
        <v>46080</v>
      </c>
      <c r="C2170" t="s">
        <v>2336</v>
      </c>
      <c r="D2170" t="s">
        <v>2110</v>
      </c>
      <c r="E2170" t="s">
        <v>480</v>
      </c>
      <c r="F2170" t="s">
        <v>1121</v>
      </c>
      <c r="G2170" t="s">
        <v>71</v>
      </c>
      <c r="H2170" t="s">
        <v>470</v>
      </c>
      <c r="I2170" t="s">
        <v>487</v>
      </c>
      <c r="J2170">
        <v>2314</v>
      </c>
    </row>
    <row r="2171" spans="1:10">
      <c r="A2171" s="90" t="s">
        <v>216</v>
      </c>
      <c r="B2171" s="87">
        <v>46080</v>
      </c>
      <c r="C2171" t="s">
        <v>1136</v>
      </c>
      <c r="D2171" t="s">
        <v>2110</v>
      </c>
      <c r="E2171" t="s">
        <v>1137</v>
      </c>
      <c r="F2171" t="s">
        <v>1138</v>
      </c>
      <c r="G2171" t="s">
        <v>61</v>
      </c>
      <c r="H2171" t="s">
        <v>470</v>
      </c>
      <c r="I2171" t="s">
        <v>487</v>
      </c>
      <c r="J2171">
        <v>928</v>
      </c>
    </row>
    <row r="2172" spans="1:10">
      <c r="A2172" s="90" t="s">
        <v>216</v>
      </c>
      <c r="B2172" s="87">
        <v>46080</v>
      </c>
      <c r="C2172" t="s">
        <v>3744</v>
      </c>
      <c r="D2172" t="s">
        <v>2110</v>
      </c>
      <c r="E2172" t="s">
        <v>3651</v>
      </c>
      <c r="F2172" t="s">
        <v>1121</v>
      </c>
      <c r="G2172" t="s">
        <v>431</v>
      </c>
      <c r="H2172" t="s">
        <v>470</v>
      </c>
      <c r="I2172" t="s">
        <v>487</v>
      </c>
      <c r="J2172">
        <v>1844.32</v>
      </c>
    </row>
    <row r="2173" spans="1:10">
      <c r="A2173" s="90" t="s">
        <v>216</v>
      </c>
      <c r="B2173" s="87">
        <v>46080</v>
      </c>
      <c r="C2173" t="s">
        <v>3745</v>
      </c>
      <c r="D2173" t="s">
        <v>2110</v>
      </c>
      <c r="E2173" t="s">
        <v>2300</v>
      </c>
      <c r="F2173" t="s">
        <v>1121</v>
      </c>
      <c r="G2173" t="s">
        <v>220</v>
      </c>
      <c r="H2173" t="s">
        <v>3746</v>
      </c>
      <c r="I2173" t="s">
        <v>796</v>
      </c>
      <c r="J2173">
        <v>3098.19</v>
      </c>
    </row>
    <row r="2174" spans="1:10">
      <c r="A2174" s="90" t="s">
        <v>216</v>
      </c>
      <c r="B2174" s="87">
        <v>46080</v>
      </c>
      <c r="C2174" t="s">
        <v>3747</v>
      </c>
      <c r="D2174" t="s">
        <v>2110</v>
      </c>
      <c r="E2174" t="s">
        <v>2300</v>
      </c>
      <c r="F2174" t="s">
        <v>3748</v>
      </c>
      <c r="G2174" t="s">
        <v>70</v>
      </c>
      <c r="H2174" t="s">
        <v>470</v>
      </c>
      <c r="I2174" t="s">
        <v>796</v>
      </c>
      <c r="J2174">
        <v>51.04</v>
      </c>
    </row>
    <row r="2175" spans="1:10">
      <c r="A2175" s="90" t="s">
        <v>216</v>
      </c>
      <c r="B2175" s="87">
        <v>46080</v>
      </c>
      <c r="C2175" t="s">
        <v>1124</v>
      </c>
      <c r="D2175" t="s">
        <v>2110</v>
      </c>
      <c r="E2175" t="s">
        <v>512</v>
      </c>
      <c r="F2175" t="s">
        <v>1121</v>
      </c>
      <c r="G2175" t="s">
        <v>474</v>
      </c>
      <c r="H2175" t="s">
        <v>470</v>
      </c>
      <c r="I2175" t="s">
        <v>475</v>
      </c>
      <c r="J2175">
        <v>307565.01</v>
      </c>
    </row>
    <row r="2176" spans="1:10">
      <c r="A2176" s="90" t="s">
        <v>216</v>
      </c>
      <c r="B2176" s="87">
        <v>46080</v>
      </c>
      <c r="C2176" t="s">
        <v>2275</v>
      </c>
      <c r="D2176" t="s">
        <v>2110</v>
      </c>
      <c r="E2176" t="s">
        <v>477</v>
      </c>
      <c r="F2176" t="s">
        <v>1121</v>
      </c>
      <c r="G2176" t="s">
        <v>74</v>
      </c>
      <c r="H2176" t="s">
        <v>470</v>
      </c>
      <c r="I2176" t="s">
        <v>471</v>
      </c>
      <c r="J2176">
        <v>29.18</v>
      </c>
    </row>
    <row r="2177" spans="1:10">
      <c r="A2177" s="90" t="s">
        <v>216</v>
      </c>
      <c r="B2177" s="87">
        <v>46080</v>
      </c>
      <c r="C2177" t="s">
        <v>1124</v>
      </c>
      <c r="D2177" t="s">
        <v>2110</v>
      </c>
      <c r="E2177" t="s">
        <v>512</v>
      </c>
      <c r="F2177" t="s">
        <v>1121</v>
      </c>
      <c r="G2177" t="s">
        <v>474</v>
      </c>
      <c r="H2177" t="s">
        <v>470</v>
      </c>
      <c r="I2177" t="s">
        <v>475</v>
      </c>
      <c r="J2177">
        <v>107968.56</v>
      </c>
    </row>
    <row r="2178" spans="1:10">
      <c r="A2178" s="90" t="s">
        <v>216</v>
      </c>
      <c r="B2178" s="87">
        <v>46080</v>
      </c>
      <c r="C2178" t="s">
        <v>1136</v>
      </c>
      <c r="D2178" t="s">
        <v>2110</v>
      </c>
      <c r="E2178" t="s">
        <v>1137</v>
      </c>
      <c r="F2178" t="s">
        <v>1138</v>
      </c>
      <c r="G2178" t="s">
        <v>61</v>
      </c>
      <c r="H2178" t="s">
        <v>2351</v>
      </c>
      <c r="I2178" t="s">
        <v>475</v>
      </c>
      <c r="J2178">
        <v>693</v>
      </c>
    </row>
    <row r="2179" spans="1:10">
      <c r="A2179" s="90" t="s">
        <v>216</v>
      </c>
      <c r="B2179" s="87">
        <v>46080</v>
      </c>
      <c r="C2179" t="s">
        <v>2347</v>
      </c>
      <c r="D2179" t="s">
        <v>2110</v>
      </c>
      <c r="E2179" t="s">
        <v>477</v>
      </c>
      <c r="F2179" t="s">
        <v>1121</v>
      </c>
      <c r="G2179" t="s">
        <v>68</v>
      </c>
      <c r="H2179" t="s">
        <v>470</v>
      </c>
      <c r="I2179" t="s">
        <v>471</v>
      </c>
      <c r="J2179">
        <v>32.979999999999997</v>
      </c>
    </row>
    <row r="2180" spans="1:10">
      <c r="A2180" s="90" t="s">
        <v>216</v>
      </c>
      <c r="B2180" s="87">
        <v>46080</v>
      </c>
      <c r="C2180" t="s">
        <v>2348</v>
      </c>
      <c r="D2180" t="s">
        <v>2110</v>
      </c>
      <c r="E2180" t="s">
        <v>477</v>
      </c>
      <c r="F2180" t="s">
        <v>1121</v>
      </c>
      <c r="G2180" t="s">
        <v>66</v>
      </c>
      <c r="H2180" t="s">
        <v>470</v>
      </c>
      <c r="I2180" t="s">
        <v>471</v>
      </c>
      <c r="J2180">
        <v>98.71</v>
      </c>
    </row>
    <row r="2181" spans="1:10">
      <c r="A2181" s="90" t="s">
        <v>216</v>
      </c>
      <c r="B2181" s="87">
        <v>46080</v>
      </c>
      <c r="C2181" t="s">
        <v>2347</v>
      </c>
      <c r="D2181" t="s">
        <v>2110</v>
      </c>
      <c r="E2181" t="s">
        <v>477</v>
      </c>
      <c r="F2181" t="s">
        <v>1121</v>
      </c>
      <c r="G2181" t="s">
        <v>68</v>
      </c>
      <c r="H2181" t="s">
        <v>470</v>
      </c>
      <c r="I2181" t="s">
        <v>471</v>
      </c>
      <c r="J2181">
        <v>10113.24</v>
      </c>
    </row>
    <row r="2182" spans="1:10">
      <c r="A2182" s="90" t="s">
        <v>216</v>
      </c>
      <c r="B2182" s="87">
        <v>46080</v>
      </c>
      <c r="C2182" t="s">
        <v>2348</v>
      </c>
      <c r="D2182" t="s">
        <v>2110</v>
      </c>
      <c r="E2182" t="s">
        <v>477</v>
      </c>
      <c r="F2182" t="s">
        <v>1121</v>
      </c>
      <c r="G2182" t="s">
        <v>66</v>
      </c>
      <c r="H2182" t="s">
        <v>470</v>
      </c>
      <c r="I2182" t="s">
        <v>471</v>
      </c>
      <c r="J2182">
        <v>174.32</v>
      </c>
    </row>
    <row r="2183" spans="1:10">
      <c r="A2183" s="90" t="s">
        <v>216</v>
      </c>
      <c r="B2183" s="87">
        <v>46080</v>
      </c>
      <c r="C2183" t="s">
        <v>2347</v>
      </c>
      <c r="D2183" t="s">
        <v>2110</v>
      </c>
      <c r="E2183" t="s">
        <v>477</v>
      </c>
      <c r="F2183" t="s">
        <v>1121</v>
      </c>
      <c r="G2183" t="s">
        <v>68</v>
      </c>
      <c r="H2183" t="s">
        <v>470</v>
      </c>
      <c r="I2183" t="s">
        <v>471</v>
      </c>
      <c r="J2183">
        <v>20.9</v>
      </c>
    </row>
    <row r="2184" spans="1:10">
      <c r="A2184" s="90" t="s">
        <v>216</v>
      </c>
      <c r="B2184" s="87">
        <v>46083</v>
      </c>
      <c r="C2184" t="s">
        <v>3749</v>
      </c>
      <c r="D2184" t="s">
        <v>2110</v>
      </c>
      <c r="E2184" t="s">
        <v>1285</v>
      </c>
      <c r="F2184" t="s">
        <v>1263</v>
      </c>
      <c r="G2184" t="s">
        <v>2112</v>
      </c>
      <c r="H2184" t="s">
        <v>470</v>
      </c>
      <c r="I2184" t="s">
        <v>487</v>
      </c>
      <c r="J2184">
        <v>51841.440000000002</v>
      </c>
    </row>
    <row r="2185" spans="1:10">
      <c r="A2185" s="90" t="s">
        <v>216</v>
      </c>
      <c r="B2185" s="87">
        <v>46083</v>
      </c>
      <c r="C2185" t="s">
        <v>3750</v>
      </c>
      <c r="D2185" t="s">
        <v>2110</v>
      </c>
      <c r="E2185" t="s">
        <v>1285</v>
      </c>
      <c r="F2185" t="s">
        <v>1244</v>
      </c>
      <c r="G2185" t="s">
        <v>2112</v>
      </c>
      <c r="H2185" t="s">
        <v>470</v>
      </c>
      <c r="I2185" t="s">
        <v>475</v>
      </c>
      <c r="J2185">
        <v>5469.63</v>
      </c>
    </row>
    <row r="2186" spans="1:10">
      <c r="A2186" s="90" t="s">
        <v>216</v>
      </c>
      <c r="B2186" s="87">
        <v>46083</v>
      </c>
      <c r="C2186" t="s">
        <v>3751</v>
      </c>
      <c r="D2186" t="s">
        <v>2110</v>
      </c>
      <c r="E2186" t="s">
        <v>1285</v>
      </c>
      <c r="F2186" t="s">
        <v>1246</v>
      </c>
      <c r="G2186" t="s">
        <v>2112</v>
      </c>
      <c r="H2186" t="s">
        <v>470</v>
      </c>
      <c r="I2186" t="s">
        <v>487</v>
      </c>
      <c r="J2186">
        <v>59472.24</v>
      </c>
    </row>
    <row r="2187" spans="1:10">
      <c r="A2187" s="90" t="s">
        <v>216</v>
      </c>
      <c r="B2187" s="87">
        <v>46083</v>
      </c>
      <c r="C2187" t="s">
        <v>3752</v>
      </c>
      <c r="D2187" t="s">
        <v>2110</v>
      </c>
      <c r="E2187" t="s">
        <v>1285</v>
      </c>
      <c r="F2187" t="s">
        <v>1248</v>
      </c>
      <c r="G2187" t="s">
        <v>2112</v>
      </c>
      <c r="H2187" t="s">
        <v>470</v>
      </c>
      <c r="I2187" t="s">
        <v>487</v>
      </c>
      <c r="J2187">
        <v>46371.81</v>
      </c>
    </row>
    <row r="2188" spans="1:10">
      <c r="A2188" s="90" t="s">
        <v>216</v>
      </c>
      <c r="B2188" s="87">
        <v>46083</v>
      </c>
      <c r="C2188" t="s">
        <v>3753</v>
      </c>
      <c r="D2188" t="s">
        <v>2110</v>
      </c>
      <c r="E2188" t="s">
        <v>1285</v>
      </c>
      <c r="F2188" t="s">
        <v>1265</v>
      </c>
      <c r="G2188" t="s">
        <v>2112</v>
      </c>
      <c r="H2188" t="s">
        <v>470</v>
      </c>
      <c r="I2188" t="s">
        <v>487</v>
      </c>
      <c r="J2188">
        <v>20757.919999999998</v>
      </c>
    </row>
    <row r="2189" spans="1:10">
      <c r="A2189" s="90" t="s">
        <v>216</v>
      </c>
      <c r="B2189" s="87">
        <v>46083</v>
      </c>
      <c r="C2189" t="s">
        <v>3633</v>
      </c>
      <c r="D2189" t="s">
        <v>2110</v>
      </c>
      <c r="E2189" t="s">
        <v>480</v>
      </c>
      <c r="F2189" t="s">
        <v>1121</v>
      </c>
      <c r="G2189" t="s">
        <v>180</v>
      </c>
      <c r="H2189" t="s">
        <v>2351</v>
      </c>
      <c r="I2189" t="s">
        <v>475</v>
      </c>
      <c r="J2189">
        <v>2853.8</v>
      </c>
    </row>
    <row r="2190" spans="1:10">
      <c r="A2190" s="90" t="s">
        <v>216</v>
      </c>
      <c r="B2190" s="87">
        <v>46083</v>
      </c>
      <c r="C2190" t="s">
        <v>3754</v>
      </c>
      <c r="D2190" t="s">
        <v>2110</v>
      </c>
      <c r="E2190" t="s">
        <v>3639</v>
      </c>
      <c r="F2190" t="s">
        <v>1121</v>
      </c>
      <c r="G2190" t="s">
        <v>60</v>
      </c>
      <c r="H2190" t="s">
        <v>2351</v>
      </c>
      <c r="I2190" t="s">
        <v>796</v>
      </c>
      <c r="J2190">
        <v>492.43</v>
      </c>
    </row>
    <row r="2191" spans="1:10">
      <c r="A2191" s="90" t="s">
        <v>216</v>
      </c>
      <c r="B2191" s="87">
        <v>46083</v>
      </c>
      <c r="C2191" t="s">
        <v>3642</v>
      </c>
      <c r="D2191" t="s">
        <v>2110</v>
      </c>
      <c r="E2191" t="s">
        <v>2262</v>
      </c>
      <c r="F2191" t="s">
        <v>3755</v>
      </c>
      <c r="G2191" t="s">
        <v>73</v>
      </c>
      <c r="H2191" t="s">
        <v>2409</v>
      </c>
      <c r="I2191" t="s">
        <v>796</v>
      </c>
      <c r="J2191">
        <v>675.96</v>
      </c>
    </row>
    <row r="2192" spans="1:10">
      <c r="A2192" s="90" t="s">
        <v>216</v>
      </c>
      <c r="B2192" s="87">
        <v>46083</v>
      </c>
      <c r="C2192" t="s">
        <v>3756</v>
      </c>
      <c r="D2192" t="s">
        <v>2110</v>
      </c>
      <c r="E2192" t="s">
        <v>477</v>
      </c>
      <c r="F2192" t="s">
        <v>2273</v>
      </c>
      <c r="G2192" t="s">
        <v>2269</v>
      </c>
      <c r="H2192" t="s">
        <v>2410</v>
      </c>
      <c r="I2192" t="s">
        <v>471</v>
      </c>
      <c r="J2192">
        <v>10125</v>
      </c>
    </row>
    <row r="2193" spans="1:10">
      <c r="A2193" s="90" t="s">
        <v>216</v>
      </c>
      <c r="B2193" s="87">
        <v>46083</v>
      </c>
      <c r="C2193" t="s">
        <v>3756</v>
      </c>
      <c r="D2193" t="s">
        <v>2110</v>
      </c>
      <c r="E2193" t="s">
        <v>477</v>
      </c>
      <c r="F2193" t="s">
        <v>2273</v>
      </c>
      <c r="G2193" t="s">
        <v>2271</v>
      </c>
      <c r="H2193" t="s">
        <v>2410</v>
      </c>
      <c r="I2193" t="s">
        <v>471</v>
      </c>
      <c r="J2193">
        <v>219.55</v>
      </c>
    </row>
    <row r="2194" spans="1:10">
      <c r="A2194" s="90" t="s">
        <v>216</v>
      </c>
      <c r="B2194" s="87">
        <v>46083</v>
      </c>
      <c r="C2194" t="s">
        <v>3757</v>
      </c>
      <c r="D2194" t="s">
        <v>2110</v>
      </c>
      <c r="E2194" t="s">
        <v>477</v>
      </c>
      <c r="F2194" t="s">
        <v>1000</v>
      </c>
      <c r="G2194" t="s">
        <v>515</v>
      </c>
      <c r="H2194" t="s">
        <v>2409</v>
      </c>
      <c r="I2194" t="s">
        <v>471</v>
      </c>
      <c r="J2194">
        <v>125000</v>
      </c>
    </row>
    <row r="2195" spans="1:10">
      <c r="A2195" s="90" t="s">
        <v>216</v>
      </c>
      <c r="B2195" s="87">
        <v>46083</v>
      </c>
      <c r="C2195" t="s">
        <v>3757</v>
      </c>
      <c r="D2195" t="s">
        <v>2110</v>
      </c>
      <c r="E2195" t="s">
        <v>477</v>
      </c>
      <c r="F2195" t="s">
        <v>1000</v>
      </c>
      <c r="G2195" t="s">
        <v>69</v>
      </c>
      <c r="H2195" t="s">
        <v>2409</v>
      </c>
      <c r="I2195" t="s">
        <v>471</v>
      </c>
      <c r="J2195">
        <v>21524.73</v>
      </c>
    </row>
    <row r="2196" spans="1:10">
      <c r="A2196" s="90" t="s">
        <v>216</v>
      </c>
      <c r="B2196" s="87">
        <v>46083</v>
      </c>
      <c r="C2196" t="s">
        <v>2275</v>
      </c>
      <c r="D2196" t="s">
        <v>2110</v>
      </c>
      <c r="E2196" t="s">
        <v>477</v>
      </c>
      <c r="F2196" t="s">
        <v>1186</v>
      </c>
      <c r="G2196" t="s">
        <v>74</v>
      </c>
      <c r="H2196" t="s">
        <v>470</v>
      </c>
      <c r="I2196" t="s">
        <v>471</v>
      </c>
      <c r="J2196">
        <v>15</v>
      </c>
    </row>
    <row r="2197" spans="1:10">
      <c r="A2197" s="90" t="s">
        <v>216</v>
      </c>
      <c r="B2197" s="87">
        <v>46083</v>
      </c>
      <c r="C2197" t="s">
        <v>2275</v>
      </c>
      <c r="D2197" t="s">
        <v>2110</v>
      </c>
      <c r="E2197" t="s">
        <v>477</v>
      </c>
      <c r="F2197" t="s">
        <v>1186</v>
      </c>
      <c r="G2197" t="s">
        <v>74</v>
      </c>
      <c r="H2197" t="s">
        <v>470</v>
      </c>
      <c r="I2197" t="s">
        <v>471</v>
      </c>
      <c r="J2197">
        <v>10</v>
      </c>
    </row>
    <row r="2198" spans="1:10">
      <c r="A2198" s="90" t="s">
        <v>216</v>
      </c>
      <c r="B2198" s="87">
        <v>46083</v>
      </c>
      <c r="C2198" t="s">
        <v>3306</v>
      </c>
      <c r="D2198" t="s">
        <v>2110</v>
      </c>
      <c r="E2198" t="s">
        <v>477</v>
      </c>
      <c r="F2198" t="s">
        <v>1000</v>
      </c>
      <c r="G2198" t="s">
        <v>334</v>
      </c>
      <c r="H2198" t="s">
        <v>470</v>
      </c>
      <c r="I2198" t="s">
        <v>471</v>
      </c>
      <c r="J2198">
        <v>2547.5700000000002</v>
      </c>
    </row>
    <row r="2199" spans="1:10">
      <c r="A2199" s="90" t="s">
        <v>216</v>
      </c>
      <c r="B2199" s="87">
        <v>46083</v>
      </c>
      <c r="C2199" t="s">
        <v>2250</v>
      </c>
      <c r="D2199" t="s">
        <v>2110</v>
      </c>
      <c r="E2199" t="s">
        <v>477</v>
      </c>
      <c r="F2199" t="s">
        <v>1121</v>
      </c>
      <c r="G2199" t="s">
        <v>285</v>
      </c>
      <c r="H2199" t="s">
        <v>470</v>
      </c>
      <c r="I2199" t="s">
        <v>471</v>
      </c>
      <c r="J2199">
        <v>3927.88</v>
      </c>
    </row>
    <row r="2200" spans="1:10">
      <c r="A2200" s="90" t="s">
        <v>216</v>
      </c>
      <c r="B2200" s="87">
        <v>46083</v>
      </c>
      <c r="C2200" t="s">
        <v>2250</v>
      </c>
      <c r="D2200" t="s">
        <v>2110</v>
      </c>
      <c r="E2200" t="s">
        <v>477</v>
      </c>
      <c r="F2200" t="s">
        <v>1121</v>
      </c>
      <c r="G2200" t="s">
        <v>74</v>
      </c>
      <c r="H2200" t="s">
        <v>470</v>
      </c>
      <c r="I2200" t="s">
        <v>471</v>
      </c>
      <c r="J2200">
        <v>3</v>
      </c>
    </row>
    <row r="2201" spans="1:10">
      <c r="A2201" s="90" t="s">
        <v>216</v>
      </c>
      <c r="B2201" s="87">
        <v>46083</v>
      </c>
      <c r="C2201" t="s">
        <v>2250</v>
      </c>
      <c r="D2201" t="s">
        <v>2110</v>
      </c>
      <c r="E2201" t="s">
        <v>477</v>
      </c>
      <c r="F2201" t="s">
        <v>1121</v>
      </c>
      <c r="G2201" t="s">
        <v>219</v>
      </c>
      <c r="H2201" t="s">
        <v>470</v>
      </c>
      <c r="I2201" t="s">
        <v>471</v>
      </c>
      <c r="J2201">
        <v>500</v>
      </c>
    </row>
    <row r="2202" spans="1:10">
      <c r="A2202" s="90" t="s">
        <v>216</v>
      </c>
      <c r="B2202" s="87">
        <v>46083</v>
      </c>
      <c r="C2202" t="s">
        <v>2250</v>
      </c>
      <c r="D2202" t="s">
        <v>2110</v>
      </c>
      <c r="E2202" t="s">
        <v>477</v>
      </c>
      <c r="F2202" t="s">
        <v>1121</v>
      </c>
      <c r="G2202" t="s">
        <v>74</v>
      </c>
      <c r="H2202" t="s">
        <v>470</v>
      </c>
      <c r="I2202" t="s">
        <v>471</v>
      </c>
      <c r="J2202">
        <v>4</v>
      </c>
    </row>
    <row r="2203" spans="1:10">
      <c r="A2203" s="90" t="s">
        <v>216</v>
      </c>
      <c r="B2203" s="87">
        <v>46083</v>
      </c>
      <c r="C2203" t="s">
        <v>517</v>
      </c>
      <c r="D2203" t="s">
        <v>2110</v>
      </c>
      <c r="E2203" t="s">
        <v>512</v>
      </c>
      <c r="F2203" t="s">
        <v>1186</v>
      </c>
      <c r="G2203" t="s">
        <v>474</v>
      </c>
      <c r="H2203" t="s">
        <v>470</v>
      </c>
      <c r="I2203" t="s">
        <v>475</v>
      </c>
      <c r="J2203">
        <v>1098195.1100000001</v>
      </c>
    </row>
    <row r="2204" spans="1:10">
      <c r="A2204" s="90" t="s">
        <v>216</v>
      </c>
      <c r="B2204" s="87">
        <v>46084</v>
      </c>
      <c r="C2204" t="s">
        <v>3758</v>
      </c>
      <c r="D2204" t="s">
        <v>2110</v>
      </c>
      <c r="E2204" t="s">
        <v>812</v>
      </c>
      <c r="F2204" t="s">
        <v>347</v>
      </c>
      <c r="G2204" t="s">
        <v>379</v>
      </c>
      <c r="H2204" t="s">
        <v>470</v>
      </c>
      <c r="I2204" t="s">
        <v>796</v>
      </c>
      <c r="J2204">
        <v>7240.81</v>
      </c>
    </row>
    <row r="2205" spans="1:10">
      <c r="A2205" s="90" t="s">
        <v>216</v>
      </c>
      <c r="B2205" s="87">
        <v>46084</v>
      </c>
      <c r="C2205" t="s">
        <v>3759</v>
      </c>
      <c r="D2205" t="s">
        <v>2110</v>
      </c>
      <c r="E2205" t="s">
        <v>3760</v>
      </c>
      <c r="F2205" t="s">
        <v>3761</v>
      </c>
      <c r="G2205" t="s">
        <v>219</v>
      </c>
      <c r="H2205" t="s">
        <v>470</v>
      </c>
      <c r="I2205" t="s">
        <v>487</v>
      </c>
      <c r="J2205">
        <v>1250</v>
      </c>
    </row>
    <row r="2206" spans="1:10">
      <c r="A2206" s="90" t="s">
        <v>216</v>
      </c>
      <c r="B2206" s="87">
        <v>46084</v>
      </c>
      <c r="C2206" t="s">
        <v>2275</v>
      </c>
      <c r="D2206" t="s">
        <v>2110</v>
      </c>
      <c r="E2206" t="s">
        <v>477</v>
      </c>
      <c r="F2206" t="s">
        <v>1186</v>
      </c>
      <c r="G2206" t="s">
        <v>74</v>
      </c>
      <c r="H2206" t="s">
        <v>470</v>
      </c>
      <c r="I2206" t="s">
        <v>471</v>
      </c>
      <c r="J2206">
        <v>10</v>
      </c>
    </row>
    <row r="2207" spans="1:10">
      <c r="A2207" s="90" t="s">
        <v>216</v>
      </c>
      <c r="B2207" s="87">
        <v>46084</v>
      </c>
      <c r="C2207" t="s">
        <v>511</v>
      </c>
      <c r="D2207" t="s">
        <v>2110</v>
      </c>
      <c r="E2207" t="s">
        <v>512</v>
      </c>
      <c r="F2207" t="s">
        <v>1187</v>
      </c>
      <c r="G2207" t="s">
        <v>474</v>
      </c>
      <c r="H2207" t="s">
        <v>470</v>
      </c>
      <c r="I2207" t="s">
        <v>475</v>
      </c>
      <c r="J2207">
        <v>67930.25</v>
      </c>
    </row>
    <row r="2208" spans="1:10">
      <c r="A2208" s="90" t="s">
        <v>216</v>
      </c>
      <c r="B2208" s="87">
        <v>46085</v>
      </c>
      <c r="C2208" t="s">
        <v>3762</v>
      </c>
      <c r="D2208" t="s">
        <v>2110</v>
      </c>
      <c r="E2208" t="s">
        <v>535</v>
      </c>
      <c r="F2208" t="s">
        <v>1941</v>
      </c>
      <c r="G2208" t="s">
        <v>474</v>
      </c>
      <c r="H2208" t="s">
        <v>2123</v>
      </c>
      <c r="I2208" t="s">
        <v>475</v>
      </c>
      <c r="J2208">
        <v>87302.61</v>
      </c>
    </row>
    <row r="2209" spans="1:10">
      <c r="A2209" s="90" t="s">
        <v>216</v>
      </c>
      <c r="B2209" s="87">
        <v>46085</v>
      </c>
      <c r="C2209" t="s">
        <v>2275</v>
      </c>
      <c r="D2209" t="s">
        <v>2110</v>
      </c>
      <c r="E2209" t="s">
        <v>477</v>
      </c>
      <c r="F2209" t="s">
        <v>1186</v>
      </c>
      <c r="G2209" t="s">
        <v>74</v>
      </c>
      <c r="H2209" t="s">
        <v>470</v>
      </c>
      <c r="I2209" t="s">
        <v>471</v>
      </c>
      <c r="J2209">
        <v>5</v>
      </c>
    </row>
    <row r="2210" spans="1:10">
      <c r="A2210" s="90" t="s">
        <v>216</v>
      </c>
      <c r="B2210" s="87">
        <v>46085</v>
      </c>
      <c r="C2210" t="s">
        <v>3763</v>
      </c>
      <c r="D2210" t="s">
        <v>2110</v>
      </c>
      <c r="E2210" t="s">
        <v>3764</v>
      </c>
      <c r="F2210" t="s">
        <v>1277</v>
      </c>
      <c r="G2210" t="s">
        <v>2112</v>
      </c>
      <c r="H2210" t="s">
        <v>470</v>
      </c>
      <c r="I2210" t="s">
        <v>475</v>
      </c>
      <c r="J2210">
        <v>43863.76</v>
      </c>
    </row>
    <row r="2211" spans="1:10">
      <c r="A2211" s="90" t="s">
        <v>216</v>
      </c>
      <c r="B2211" s="87">
        <v>46085</v>
      </c>
      <c r="C2211" t="s">
        <v>511</v>
      </c>
      <c r="D2211" t="s">
        <v>2110</v>
      </c>
      <c r="E2211" t="s">
        <v>512</v>
      </c>
      <c r="F2211" t="s">
        <v>1186</v>
      </c>
      <c r="G2211" t="s">
        <v>474</v>
      </c>
      <c r="H2211" t="s">
        <v>470</v>
      </c>
      <c r="I2211" t="s">
        <v>475</v>
      </c>
      <c r="J2211">
        <v>131171.37</v>
      </c>
    </row>
    <row r="2212" spans="1:10">
      <c r="A2212" s="90" t="s">
        <v>216</v>
      </c>
      <c r="B2212" s="87">
        <v>46086</v>
      </c>
      <c r="C2212" t="s">
        <v>3765</v>
      </c>
      <c r="D2212" t="s">
        <v>2110</v>
      </c>
      <c r="E2212" t="s">
        <v>2277</v>
      </c>
      <c r="F2212" t="s">
        <v>3766</v>
      </c>
      <c r="G2212" t="s">
        <v>65</v>
      </c>
      <c r="H2212" t="s">
        <v>3767</v>
      </c>
      <c r="I2212" t="s">
        <v>796</v>
      </c>
      <c r="J2212">
        <v>182.76</v>
      </c>
    </row>
    <row r="2213" spans="1:10">
      <c r="A2213" s="90" t="s">
        <v>216</v>
      </c>
      <c r="B2213" s="87">
        <v>46086</v>
      </c>
      <c r="C2213" t="s">
        <v>511</v>
      </c>
      <c r="D2213" t="s">
        <v>2110</v>
      </c>
      <c r="E2213" t="s">
        <v>512</v>
      </c>
      <c r="F2213" t="s">
        <v>1186</v>
      </c>
      <c r="G2213" t="s">
        <v>474</v>
      </c>
      <c r="H2213" t="s">
        <v>470</v>
      </c>
      <c r="I2213" t="s">
        <v>475</v>
      </c>
      <c r="J2213">
        <v>182.76</v>
      </c>
    </row>
    <row r="2214" spans="1:10">
      <c r="A2214" s="90" t="s">
        <v>216</v>
      </c>
      <c r="B2214" s="87">
        <v>46086</v>
      </c>
      <c r="C2214" t="s">
        <v>2275</v>
      </c>
      <c r="D2214" t="s">
        <v>2110</v>
      </c>
      <c r="E2214" t="s">
        <v>2393</v>
      </c>
      <c r="F2214" t="s">
        <v>1186</v>
      </c>
      <c r="G2214" t="s">
        <v>74</v>
      </c>
      <c r="H2214" t="s">
        <v>470</v>
      </c>
      <c r="I2214" t="s">
        <v>471</v>
      </c>
      <c r="J2214">
        <v>40</v>
      </c>
    </row>
    <row r="2215" spans="1:10">
      <c r="A2215" s="90" t="s">
        <v>216</v>
      </c>
      <c r="B2215" s="87">
        <v>46087</v>
      </c>
      <c r="C2215" t="s">
        <v>3768</v>
      </c>
      <c r="D2215" t="s">
        <v>2110</v>
      </c>
      <c r="E2215" t="s">
        <v>3636</v>
      </c>
      <c r="F2215" t="s">
        <v>1289</v>
      </c>
      <c r="G2215" t="s">
        <v>2494</v>
      </c>
      <c r="H2215" t="s">
        <v>470</v>
      </c>
      <c r="I2215" t="s">
        <v>796</v>
      </c>
      <c r="J2215">
        <v>3023.56</v>
      </c>
    </row>
    <row r="2216" spans="1:10">
      <c r="A2216" s="90" t="s">
        <v>216</v>
      </c>
      <c r="B2216" s="87">
        <v>46087</v>
      </c>
      <c r="C2216" t="s">
        <v>3769</v>
      </c>
      <c r="D2216" t="s">
        <v>2110</v>
      </c>
      <c r="E2216" t="s">
        <v>3636</v>
      </c>
      <c r="F2216" t="s">
        <v>1295</v>
      </c>
      <c r="G2216" t="s">
        <v>2494</v>
      </c>
      <c r="H2216" t="s">
        <v>470</v>
      </c>
      <c r="I2216" t="s">
        <v>796</v>
      </c>
      <c r="J2216">
        <v>3094.42</v>
      </c>
    </row>
    <row r="2217" spans="1:10">
      <c r="A2217" s="90" t="s">
        <v>216</v>
      </c>
      <c r="B2217" s="87">
        <v>46087</v>
      </c>
      <c r="C2217" t="s">
        <v>3770</v>
      </c>
      <c r="D2217" t="s">
        <v>2110</v>
      </c>
      <c r="E2217" t="s">
        <v>3636</v>
      </c>
      <c r="F2217" t="s">
        <v>1297</v>
      </c>
      <c r="G2217" t="s">
        <v>2494</v>
      </c>
      <c r="H2217" t="s">
        <v>470</v>
      </c>
      <c r="I2217" t="s">
        <v>796</v>
      </c>
      <c r="J2217">
        <v>2731.08</v>
      </c>
    </row>
    <row r="2218" spans="1:10">
      <c r="A2218" s="90" t="s">
        <v>216</v>
      </c>
      <c r="B2218" s="87">
        <v>46087</v>
      </c>
      <c r="C2218" t="s">
        <v>3771</v>
      </c>
      <c r="D2218" t="s">
        <v>2110</v>
      </c>
      <c r="E2218" t="s">
        <v>3614</v>
      </c>
      <c r="F2218" t="s">
        <v>1143</v>
      </c>
      <c r="G2218" t="s">
        <v>2494</v>
      </c>
      <c r="H2218" t="s">
        <v>470</v>
      </c>
      <c r="I2218" t="s">
        <v>796</v>
      </c>
      <c r="J2218">
        <v>1245.8900000000001</v>
      </c>
    </row>
    <row r="2219" spans="1:10">
      <c r="A2219" s="90" t="s">
        <v>216</v>
      </c>
      <c r="B2219" s="87">
        <v>46087</v>
      </c>
      <c r="C2219" t="s">
        <v>3772</v>
      </c>
      <c r="D2219" t="s">
        <v>2110</v>
      </c>
      <c r="E2219" t="s">
        <v>3365</v>
      </c>
      <c r="F2219" t="s">
        <v>1179</v>
      </c>
      <c r="G2219" t="s">
        <v>2494</v>
      </c>
      <c r="H2219" t="s">
        <v>470</v>
      </c>
      <c r="I2219" t="s">
        <v>796</v>
      </c>
      <c r="J2219">
        <v>1171.19</v>
      </c>
    </row>
    <row r="2220" spans="1:10">
      <c r="A2220" s="90" t="s">
        <v>216</v>
      </c>
      <c r="B2220" s="87">
        <v>46087</v>
      </c>
      <c r="C2220" t="s">
        <v>3773</v>
      </c>
      <c r="D2220" t="s">
        <v>2110</v>
      </c>
      <c r="E2220" t="s">
        <v>3636</v>
      </c>
      <c r="F2220" t="s">
        <v>1255</v>
      </c>
      <c r="G2220" t="s">
        <v>2494</v>
      </c>
      <c r="H2220" t="s">
        <v>470</v>
      </c>
      <c r="I2220" t="s">
        <v>796</v>
      </c>
      <c r="J2220">
        <v>3315.41</v>
      </c>
    </row>
    <row r="2221" spans="1:10">
      <c r="A2221" s="90" t="s">
        <v>216</v>
      </c>
      <c r="B2221" s="87">
        <v>46087</v>
      </c>
      <c r="C2221" t="s">
        <v>3774</v>
      </c>
      <c r="D2221" t="s">
        <v>2110</v>
      </c>
      <c r="E2221" t="s">
        <v>3229</v>
      </c>
      <c r="F2221" t="s">
        <v>1301</v>
      </c>
      <c r="G2221" t="s">
        <v>2494</v>
      </c>
      <c r="H2221" t="s">
        <v>470</v>
      </c>
      <c r="I2221" t="s">
        <v>475</v>
      </c>
      <c r="J2221">
        <v>351.16</v>
      </c>
    </row>
    <row r="2222" spans="1:10">
      <c r="A2222" s="90" t="s">
        <v>216</v>
      </c>
      <c r="B2222" s="87">
        <v>46087</v>
      </c>
      <c r="C2222" t="s">
        <v>3775</v>
      </c>
      <c r="D2222" t="s">
        <v>2110</v>
      </c>
      <c r="E2222" t="s">
        <v>3664</v>
      </c>
      <c r="F2222" t="s">
        <v>422</v>
      </c>
      <c r="G2222" t="s">
        <v>2494</v>
      </c>
      <c r="H2222" t="s">
        <v>470</v>
      </c>
      <c r="I2222" t="s">
        <v>796</v>
      </c>
      <c r="J2222">
        <v>12536.23</v>
      </c>
    </row>
    <row r="2223" spans="1:10">
      <c r="A2223" s="90" t="s">
        <v>216</v>
      </c>
      <c r="B2223" s="87">
        <v>46087</v>
      </c>
      <c r="C2223" t="s">
        <v>3776</v>
      </c>
      <c r="D2223" t="s">
        <v>2110</v>
      </c>
      <c r="E2223" t="s">
        <v>3664</v>
      </c>
      <c r="F2223" t="s">
        <v>406</v>
      </c>
      <c r="G2223" t="s">
        <v>2494</v>
      </c>
      <c r="H2223" t="s">
        <v>470</v>
      </c>
      <c r="I2223" t="s">
        <v>796</v>
      </c>
      <c r="J2223">
        <v>1660.8</v>
      </c>
    </row>
    <row r="2224" spans="1:10">
      <c r="A2224" s="90" t="s">
        <v>216</v>
      </c>
      <c r="B2224" s="87">
        <v>46087</v>
      </c>
      <c r="C2224" t="s">
        <v>3776</v>
      </c>
      <c r="D2224" t="s">
        <v>2110</v>
      </c>
      <c r="E2224" t="s">
        <v>3664</v>
      </c>
      <c r="F2224" t="s">
        <v>406</v>
      </c>
      <c r="G2224" t="s">
        <v>2494</v>
      </c>
      <c r="H2224" t="s">
        <v>470</v>
      </c>
      <c r="I2224" t="s">
        <v>796</v>
      </c>
      <c r="J2224">
        <v>4494.05</v>
      </c>
    </row>
    <row r="2225" spans="1:10">
      <c r="A2225" s="90" t="s">
        <v>216</v>
      </c>
      <c r="B2225" s="87">
        <v>46087</v>
      </c>
      <c r="C2225" t="s">
        <v>3777</v>
      </c>
      <c r="D2225" t="s">
        <v>2110</v>
      </c>
      <c r="E2225" t="s">
        <v>3778</v>
      </c>
      <c r="F2225" t="s">
        <v>1121</v>
      </c>
      <c r="G2225" t="s">
        <v>463</v>
      </c>
      <c r="H2225" t="s">
        <v>470</v>
      </c>
      <c r="I2225" t="s">
        <v>796</v>
      </c>
      <c r="J2225">
        <v>160</v>
      </c>
    </row>
    <row r="2226" spans="1:10">
      <c r="A2226" s="90" t="s">
        <v>216</v>
      </c>
      <c r="B2226" s="87">
        <v>46087</v>
      </c>
      <c r="C2226" t="s">
        <v>3712</v>
      </c>
      <c r="D2226" t="s">
        <v>2110</v>
      </c>
      <c r="E2226" t="s">
        <v>3778</v>
      </c>
      <c r="F2226" t="s">
        <v>1093</v>
      </c>
      <c r="G2226" t="s">
        <v>463</v>
      </c>
      <c r="H2226" t="s">
        <v>470</v>
      </c>
      <c r="I2226" t="s">
        <v>796</v>
      </c>
      <c r="J2226">
        <v>70.760000000000005</v>
      </c>
    </row>
    <row r="2227" spans="1:10">
      <c r="A2227" s="90" t="s">
        <v>216</v>
      </c>
      <c r="B2227" s="87">
        <v>46087</v>
      </c>
      <c r="C2227" t="s">
        <v>3779</v>
      </c>
      <c r="D2227" t="s">
        <v>2110</v>
      </c>
      <c r="E2227" t="s">
        <v>1285</v>
      </c>
      <c r="F2227" t="s">
        <v>428</v>
      </c>
      <c r="G2227" t="s">
        <v>2494</v>
      </c>
      <c r="H2227" t="s">
        <v>470</v>
      </c>
      <c r="I2227" t="s">
        <v>796</v>
      </c>
      <c r="J2227">
        <v>2650.15</v>
      </c>
    </row>
    <row r="2228" spans="1:10">
      <c r="A2228" s="90" t="s">
        <v>216</v>
      </c>
      <c r="B2228" s="87">
        <v>46087</v>
      </c>
      <c r="C2228" t="s">
        <v>3780</v>
      </c>
      <c r="D2228" t="s">
        <v>2110</v>
      </c>
      <c r="E2228" t="s">
        <v>1285</v>
      </c>
      <c r="F2228" t="s">
        <v>428</v>
      </c>
      <c r="G2228" t="s">
        <v>2494</v>
      </c>
      <c r="H2228" t="s">
        <v>470</v>
      </c>
      <c r="I2228" t="s">
        <v>796</v>
      </c>
      <c r="J2228">
        <v>152.38</v>
      </c>
    </row>
    <row r="2229" spans="1:10">
      <c r="A2229" s="90" t="s">
        <v>216</v>
      </c>
      <c r="B2229" s="87">
        <v>46087</v>
      </c>
      <c r="C2229" t="s">
        <v>3781</v>
      </c>
      <c r="D2229" t="s">
        <v>2110</v>
      </c>
      <c r="E2229" t="s">
        <v>1285</v>
      </c>
      <c r="F2229" t="s">
        <v>427</v>
      </c>
      <c r="G2229" t="s">
        <v>2494</v>
      </c>
      <c r="H2229" t="s">
        <v>470</v>
      </c>
      <c r="I2229" t="s">
        <v>796</v>
      </c>
      <c r="J2229">
        <v>8765.64</v>
      </c>
    </row>
    <row r="2230" spans="1:10">
      <c r="A2230" s="90" t="s">
        <v>216</v>
      </c>
      <c r="B2230" s="87">
        <v>46087</v>
      </c>
      <c r="C2230" t="s">
        <v>3782</v>
      </c>
      <c r="D2230" t="s">
        <v>2110</v>
      </c>
      <c r="E2230" t="s">
        <v>1285</v>
      </c>
      <c r="F2230" t="s">
        <v>427</v>
      </c>
      <c r="G2230" t="s">
        <v>2494</v>
      </c>
      <c r="H2230" t="s">
        <v>470</v>
      </c>
      <c r="I2230" t="s">
        <v>796</v>
      </c>
      <c r="J2230">
        <v>504.03</v>
      </c>
    </row>
    <row r="2231" spans="1:10">
      <c r="A2231" s="90" t="s">
        <v>216</v>
      </c>
      <c r="B2231" s="87">
        <v>46087</v>
      </c>
      <c r="C2231" t="s">
        <v>3783</v>
      </c>
      <c r="D2231" t="s">
        <v>2110</v>
      </c>
      <c r="E2231" t="s">
        <v>3365</v>
      </c>
      <c r="F2231" t="s">
        <v>414</v>
      </c>
      <c r="G2231" t="s">
        <v>2494</v>
      </c>
      <c r="H2231" t="s">
        <v>470</v>
      </c>
      <c r="I2231" t="s">
        <v>796</v>
      </c>
      <c r="J2231">
        <v>1460.94</v>
      </c>
    </row>
    <row r="2232" spans="1:10">
      <c r="A2232" s="90" t="s">
        <v>216</v>
      </c>
      <c r="B2232" s="87">
        <v>46087</v>
      </c>
      <c r="C2232" t="s">
        <v>3784</v>
      </c>
      <c r="D2232" t="s">
        <v>2110</v>
      </c>
      <c r="E2232" t="s">
        <v>3365</v>
      </c>
      <c r="F2232" t="s">
        <v>1179</v>
      </c>
      <c r="G2232" t="s">
        <v>2494</v>
      </c>
      <c r="H2232" t="s">
        <v>470</v>
      </c>
      <c r="I2232" t="s">
        <v>796</v>
      </c>
      <c r="J2232">
        <v>67.34</v>
      </c>
    </row>
    <row r="2233" spans="1:10">
      <c r="A2233" s="90" t="s">
        <v>216</v>
      </c>
      <c r="B2233" s="87">
        <v>46087</v>
      </c>
      <c r="C2233" t="s">
        <v>3785</v>
      </c>
      <c r="D2233" t="s">
        <v>2110</v>
      </c>
      <c r="E2233" t="s">
        <v>3365</v>
      </c>
      <c r="F2233" t="s">
        <v>414</v>
      </c>
      <c r="G2233" t="s">
        <v>2494</v>
      </c>
      <c r="H2233" t="s">
        <v>470</v>
      </c>
      <c r="I2233" t="s">
        <v>796</v>
      </c>
      <c r="J2233">
        <v>84.01</v>
      </c>
    </row>
    <row r="2234" spans="1:10">
      <c r="A2234" s="90" t="s">
        <v>216</v>
      </c>
      <c r="B2234" s="87">
        <v>46087</v>
      </c>
      <c r="C2234" t="s">
        <v>3786</v>
      </c>
      <c r="D2234" t="s">
        <v>2110</v>
      </c>
      <c r="E2234" t="s">
        <v>3229</v>
      </c>
      <c r="F2234" t="s">
        <v>374</v>
      </c>
      <c r="G2234" t="s">
        <v>2494</v>
      </c>
      <c r="H2234" t="s">
        <v>470</v>
      </c>
      <c r="I2234" t="s">
        <v>796</v>
      </c>
      <c r="J2234">
        <v>7304.75</v>
      </c>
    </row>
    <row r="2235" spans="1:10">
      <c r="A2235" s="90" t="s">
        <v>216</v>
      </c>
      <c r="B2235" s="87">
        <v>46087</v>
      </c>
      <c r="C2235" t="s">
        <v>3787</v>
      </c>
      <c r="D2235" t="s">
        <v>2110</v>
      </c>
      <c r="E2235" t="s">
        <v>3229</v>
      </c>
      <c r="F2235" t="s">
        <v>1301</v>
      </c>
      <c r="G2235" t="s">
        <v>2494</v>
      </c>
      <c r="H2235" t="s">
        <v>470</v>
      </c>
      <c r="I2235" t="s">
        <v>475</v>
      </c>
      <c r="J2235">
        <v>20.190000000000001</v>
      </c>
    </row>
    <row r="2236" spans="1:10">
      <c r="A2236" s="90" t="s">
        <v>216</v>
      </c>
      <c r="B2236" s="87">
        <v>46087</v>
      </c>
      <c r="C2236" t="s">
        <v>3788</v>
      </c>
      <c r="D2236" t="s">
        <v>2110</v>
      </c>
      <c r="E2236" t="s">
        <v>3229</v>
      </c>
      <c r="F2236" t="s">
        <v>374</v>
      </c>
      <c r="G2236" t="s">
        <v>2494</v>
      </c>
      <c r="H2236" t="s">
        <v>470</v>
      </c>
      <c r="I2236" t="s">
        <v>796</v>
      </c>
      <c r="J2236">
        <v>420.02</v>
      </c>
    </row>
    <row r="2237" spans="1:10">
      <c r="A2237" s="90" t="s">
        <v>216</v>
      </c>
      <c r="B2237" s="87">
        <v>46087</v>
      </c>
      <c r="C2237" t="s">
        <v>3789</v>
      </c>
      <c r="D2237" t="s">
        <v>2110</v>
      </c>
      <c r="E2237" t="s">
        <v>3614</v>
      </c>
      <c r="F2237" t="s">
        <v>410</v>
      </c>
      <c r="G2237" t="s">
        <v>2494</v>
      </c>
      <c r="H2237" t="s">
        <v>470</v>
      </c>
      <c r="I2237" t="s">
        <v>796</v>
      </c>
      <c r="J2237">
        <v>2921.88</v>
      </c>
    </row>
    <row r="2238" spans="1:10">
      <c r="A2238" s="90" t="s">
        <v>216</v>
      </c>
      <c r="B2238" s="87">
        <v>46087</v>
      </c>
      <c r="C2238" t="s">
        <v>3790</v>
      </c>
      <c r="D2238" t="s">
        <v>2110</v>
      </c>
      <c r="E2238" t="s">
        <v>3614</v>
      </c>
      <c r="F2238" t="s">
        <v>1143</v>
      </c>
      <c r="G2238" t="s">
        <v>2494</v>
      </c>
      <c r="H2238" t="s">
        <v>470</v>
      </c>
      <c r="I2238" t="s">
        <v>796</v>
      </c>
      <c r="J2238">
        <v>71.64</v>
      </c>
    </row>
    <row r="2239" spans="1:10">
      <c r="A2239" s="90" t="s">
        <v>216</v>
      </c>
      <c r="B2239" s="87">
        <v>46087</v>
      </c>
      <c r="C2239" t="s">
        <v>3791</v>
      </c>
      <c r="D2239" t="s">
        <v>2110</v>
      </c>
      <c r="E2239" t="s">
        <v>3614</v>
      </c>
      <c r="F2239" t="s">
        <v>410</v>
      </c>
      <c r="G2239" t="s">
        <v>2494</v>
      </c>
      <c r="H2239" t="s">
        <v>470</v>
      </c>
      <c r="I2239" t="s">
        <v>796</v>
      </c>
      <c r="J2239">
        <v>168.01</v>
      </c>
    </row>
    <row r="2240" spans="1:10">
      <c r="A2240" s="90" t="s">
        <v>216</v>
      </c>
      <c r="B2240" s="87">
        <v>46087</v>
      </c>
      <c r="C2240" t="s">
        <v>3792</v>
      </c>
      <c r="D2240" t="s">
        <v>2110</v>
      </c>
      <c r="E2240" t="s">
        <v>3660</v>
      </c>
      <c r="F2240" t="s">
        <v>405</v>
      </c>
      <c r="G2240" t="s">
        <v>2494</v>
      </c>
      <c r="H2240" t="s">
        <v>470</v>
      </c>
      <c r="I2240" t="s">
        <v>796</v>
      </c>
      <c r="J2240">
        <v>29218.799999999999</v>
      </c>
    </row>
    <row r="2241" spans="1:10">
      <c r="A2241" s="90" t="s">
        <v>216</v>
      </c>
      <c r="B2241" s="87">
        <v>46087</v>
      </c>
      <c r="C2241" t="s">
        <v>3792</v>
      </c>
      <c r="D2241" t="s">
        <v>2110</v>
      </c>
      <c r="E2241" t="s">
        <v>3660</v>
      </c>
      <c r="F2241" t="s">
        <v>405</v>
      </c>
      <c r="G2241" t="s">
        <v>2494</v>
      </c>
      <c r="H2241" t="s">
        <v>470</v>
      </c>
      <c r="I2241" t="s">
        <v>796</v>
      </c>
      <c r="J2241">
        <v>17531.28</v>
      </c>
    </row>
    <row r="2242" spans="1:10">
      <c r="A2242" s="90" t="s">
        <v>216</v>
      </c>
      <c r="B2242" s="87">
        <v>46087</v>
      </c>
      <c r="C2242" t="s">
        <v>3793</v>
      </c>
      <c r="D2242" t="s">
        <v>2110</v>
      </c>
      <c r="E2242" t="s">
        <v>3660</v>
      </c>
      <c r="F2242" t="s">
        <v>405</v>
      </c>
      <c r="G2242" t="s">
        <v>2494</v>
      </c>
      <c r="H2242" t="s">
        <v>470</v>
      </c>
      <c r="I2242" t="s">
        <v>796</v>
      </c>
      <c r="J2242">
        <v>1680.08</v>
      </c>
    </row>
    <row r="2243" spans="1:10">
      <c r="A2243" s="90" t="s">
        <v>216</v>
      </c>
      <c r="B2243" s="87">
        <v>46087</v>
      </c>
      <c r="C2243" t="s">
        <v>3794</v>
      </c>
      <c r="D2243" t="s">
        <v>2110</v>
      </c>
      <c r="E2243" t="s">
        <v>3660</v>
      </c>
      <c r="F2243" t="s">
        <v>421</v>
      </c>
      <c r="G2243" t="s">
        <v>2494</v>
      </c>
      <c r="H2243" t="s">
        <v>470</v>
      </c>
      <c r="I2243" t="s">
        <v>796</v>
      </c>
      <c r="J2243">
        <v>1008.05</v>
      </c>
    </row>
    <row r="2244" spans="1:10">
      <c r="A2244" s="90" t="s">
        <v>216</v>
      </c>
      <c r="B2244" s="87">
        <v>46087</v>
      </c>
      <c r="C2244" t="s">
        <v>3795</v>
      </c>
      <c r="D2244" t="s">
        <v>2110</v>
      </c>
      <c r="E2244" t="s">
        <v>3664</v>
      </c>
      <c r="F2244" t="s">
        <v>422</v>
      </c>
      <c r="G2244" t="s">
        <v>2494</v>
      </c>
      <c r="H2244" t="s">
        <v>470</v>
      </c>
      <c r="I2244" t="s">
        <v>796</v>
      </c>
      <c r="J2244">
        <v>720.84</v>
      </c>
    </row>
    <row r="2245" spans="1:10">
      <c r="A2245" s="90" t="s">
        <v>216</v>
      </c>
      <c r="B2245" s="87">
        <v>46087</v>
      </c>
      <c r="C2245" t="s">
        <v>3796</v>
      </c>
      <c r="D2245" t="s">
        <v>2110</v>
      </c>
      <c r="E2245" t="s">
        <v>3664</v>
      </c>
      <c r="F2245" t="s">
        <v>406</v>
      </c>
      <c r="G2245" t="s">
        <v>2494</v>
      </c>
      <c r="H2245" t="s">
        <v>470</v>
      </c>
      <c r="I2245" t="s">
        <v>796</v>
      </c>
      <c r="J2245">
        <v>95.5</v>
      </c>
    </row>
    <row r="2246" spans="1:10">
      <c r="A2246" s="90" t="s">
        <v>216</v>
      </c>
      <c r="B2246" s="87">
        <v>46087</v>
      </c>
      <c r="C2246" t="s">
        <v>3796</v>
      </c>
      <c r="D2246" t="s">
        <v>2110</v>
      </c>
      <c r="E2246" t="s">
        <v>3664</v>
      </c>
      <c r="F2246" t="s">
        <v>406</v>
      </c>
      <c r="G2246" t="s">
        <v>2494</v>
      </c>
      <c r="H2246" t="s">
        <v>470</v>
      </c>
      <c r="I2246" t="s">
        <v>796</v>
      </c>
      <c r="J2246">
        <v>258.41000000000003</v>
      </c>
    </row>
    <row r="2247" spans="1:10">
      <c r="A2247" s="90" t="s">
        <v>216</v>
      </c>
      <c r="B2247" s="87">
        <v>46087</v>
      </c>
      <c r="C2247" t="s">
        <v>3797</v>
      </c>
      <c r="D2247" t="s">
        <v>2110</v>
      </c>
      <c r="E2247" t="s">
        <v>3636</v>
      </c>
      <c r="F2247" t="s">
        <v>1295</v>
      </c>
      <c r="G2247" t="s">
        <v>2494</v>
      </c>
      <c r="H2247" t="s">
        <v>470</v>
      </c>
      <c r="I2247" t="s">
        <v>796</v>
      </c>
      <c r="J2247">
        <v>177.93</v>
      </c>
    </row>
    <row r="2248" spans="1:10">
      <c r="A2248" s="90" t="s">
        <v>216</v>
      </c>
      <c r="B2248" s="87">
        <v>46087</v>
      </c>
      <c r="C2248" t="s">
        <v>3798</v>
      </c>
      <c r="D2248" t="s">
        <v>2110</v>
      </c>
      <c r="E2248" t="s">
        <v>3636</v>
      </c>
      <c r="F2248" t="s">
        <v>1289</v>
      </c>
      <c r="G2248" t="s">
        <v>2494</v>
      </c>
      <c r="H2248" t="s">
        <v>470</v>
      </c>
      <c r="I2248" t="s">
        <v>796</v>
      </c>
      <c r="J2248">
        <v>173.86</v>
      </c>
    </row>
    <row r="2249" spans="1:10">
      <c r="A2249" s="90" t="s">
        <v>216</v>
      </c>
      <c r="B2249" s="87">
        <v>46087</v>
      </c>
      <c r="C2249" t="s">
        <v>3799</v>
      </c>
      <c r="D2249" t="s">
        <v>2110</v>
      </c>
      <c r="E2249" t="s">
        <v>3636</v>
      </c>
      <c r="F2249" t="s">
        <v>1297</v>
      </c>
      <c r="G2249" t="s">
        <v>2494</v>
      </c>
      <c r="H2249" t="s">
        <v>470</v>
      </c>
      <c r="I2249" t="s">
        <v>796</v>
      </c>
      <c r="J2249">
        <v>157.04</v>
      </c>
    </row>
    <row r="2250" spans="1:10">
      <c r="A2250" s="90" t="s">
        <v>216</v>
      </c>
      <c r="B2250" s="87">
        <v>46087</v>
      </c>
      <c r="C2250" t="s">
        <v>3800</v>
      </c>
      <c r="D2250" t="s">
        <v>2110</v>
      </c>
      <c r="E2250" t="s">
        <v>3636</v>
      </c>
      <c r="F2250" t="s">
        <v>1255</v>
      </c>
      <c r="G2250" t="s">
        <v>2494</v>
      </c>
      <c r="H2250" t="s">
        <v>470</v>
      </c>
      <c r="I2250" t="s">
        <v>796</v>
      </c>
      <c r="J2250">
        <v>190.64</v>
      </c>
    </row>
    <row r="2251" spans="1:10">
      <c r="A2251" s="90" t="s">
        <v>216</v>
      </c>
      <c r="B2251" s="87">
        <v>46087</v>
      </c>
      <c r="C2251" t="s">
        <v>3801</v>
      </c>
      <c r="D2251" t="s">
        <v>2110</v>
      </c>
      <c r="E2251" t="s">
        <v>3802</v>
      </c>
      <c r="F2251" t="s">
        <v>3803</v>
      </c>
      <c r="G2251" t="s">
        <v>76</v>
      </c>
      <c r="H2251" t="s">
        <v>470</v>
      </c>
      <c r="I2251" t="s">
        <v>487</v>
      </c>
      <c r="J2251">
        <v>64.989999999999995</v>
      </c>
    </row>
    <row r="2252" spans="1:10">
      <c r="A2252" s="90" t="s">
        <v>216</v>
      </c>
      <c r="B2252" s="87">
        <v>46087</v>
      </c>
      <c r="C2252" t="s">
        <v>3804</v>
      </c>
      <c r="D2252" t="s">
        <v>2110</v>
      </c>
      <c r="E2252" t="s">
        <v>3651</v>
      </c>
      <c r="F2252" t="s">
        <v>1186</v>
      </c>
      <c r="G2252" t="s">
        <v>465</v>
      </c>
      <c r="H2252" t="s">
        <v>470</v>
      </c>
      <c r="I2252" t="s">
        <v>487</v>
      </c>
      <c r="J2252">
        <v>623.07000000000005</v>
      </c>
    </row>
    <row r="2253" spans="1:10">
      <c r="A2253" s="90" t="s">
        <v>216</v>
      </c>
      <c r="B2253" s="87">
        <v>46087</v>
      </c>
      <c r="C2253" t="s">
        <v>2275</v>
      </c>
      <c r="D2253" t="s">
        <v>2110</v>
      </c>
      <c r="E2253" t="s">
        <v>477</v>
      </c>
      <c r="F2253" t="s">
        <v>1186</v>
      </c>
      <c r="G2253" t="s">
        <v>74</v>
      </c>
      <c r="H2253" t="s">
        <v>470</v>
      </c>
      <c r="I2253" t="s">
        <v>471</v>
      </c>
      <c r="J2253">
        <v>6.16</v>
      </c>
    </row>
    <row r="2254" spans="1:10">
      <c r="A2254" s="90" t="s">
        <v>216</v>
      </c>
      <c r="B2254" s="87">
        <v>46087</v>
      </c>
      <c r="C2254" t="s">
        <v>511</v>
      </c>
      <c r="D2254" t="s">
        <v>2110</v>
      </c>
      <c r="E2254" t="s">
        <v>512</v>
      </c>
      <c r="F2254" t="s">
        <v>1186</v>
      </c>
      <c r="G2254" t="s">
        <v>474</v>
      </c>
      <c r="H2254" t="s">
        <v>470</v>
      </c>
      <c r="I2254" t="s">
        <v>475</v>
      </c>
      <c r="J2254">
        <v>110352.15</v>
      </c>
    </row>
    <row r="2255" spans="1:10">
      <c r="A2255" s="90" t="s">
        <v>216</v>
      </c>
      <c r="B2255" s="87">
        <v>46091</v>
      </c>
      <c r="C2255" t="s">
        <v>3805</v>
      </c>
      <c r="D2255" t="s">
        <v>2110</v>
      </c>
      <c r="E2255" t="s">
        <v>2702</v>
      </c>
      <c r="F2255" t="s">
        <v>3806</v>
      </c>
      <c r="G2255" t="s">
        <v>63</v>
      </c>
      <c r="H2255" t="s">
        <v>2409</v>
      </c>
      <c r="I2255" t="s">
        <v>796</v>
      </c>
      <c r="J2255">
        <v>896.95</v>
      </c>
    </row>
    <row r="2256" spans="1:10">
      <c r="A2256" s="90" t="s">
        <v>216</v>
      </c>
      <c r="B2256" s="87">
        <v>46091</v>
      </c>
      <c r="C2256" t="s">
        <v>3016</v>
      </c>
      <c r="D2256" t="s">
        <v>2110</v>
      </c>
      <c r="E2256" t="s">
        <v>2900</v>
      </c>
      <c r="F2256" t="s">
        <v>1186</v>
      </c>
      <c r="G2256" t="s">
        <v>302</v>
      </c>
      <c r="H2256" t="s">
        <v>3807</v>
      </c>
      <c r="I2256" t="s">
        <v>796</v>
      </c>
      <c r="J2256">
        <v>2500</v>
      </c>
    </row>
    <row r="2257" spans="1:10">
      <c r="A2257" s="90" t="s">
        <v>216</v>
      </c>
      <c r="B2257" s="87">
        <v>46091</v>
      </c>
      <c r="C2257" t="s">
        <v>3672</v>
      </c>
      <c r="D2257" t="s">
        <v>2110</v>
      </c>
      <c r="E2257" t="s">
        <v>477</v>
      </c>
      <c r="F2257" t="s">
        <v>514</v>
      </c>
      <c r="G2257" t="s">
        <v>515</v>
      </c>
      <c r="H2257" t="s">
        <v>3808</v>
      </c>
      <c r="I2257" t="s">
        <v>471</v>
      </c>
      <c r="J2257">
        <v>43571.43</v>
      </c>
    </row>
    <row r="2258" spans="1:10">
      <c r="A2258" s="90" t="s">
        <v>216</v>
      </c>
      <c r="B2258" s="87">
        <v>46091</v>
      </c>
      <c r="C2258" t="s">
        <v>3672</v>
      </c>
      <c r="D2258" t="s">
        <v>2110</v>
      </c>
      <c r="E2258" t="s">
        <v>477</v>
      </c>
      <c r="F2258" t="s">
        <v>514</v>
      </c>
      <c r="G2258" t="s">
        <v>69</v>
      </c>
      <c r="H2258" t="s">
        <v>3808</v>
      </c>
      <c r="I2258" t="s">
        <v>471</v>
      </c>
      <c r="J2258">
        <v>27328</v>
      </c>
    </row>
    <row r="2259" spans="1:10">
      <c r="A2259" s="90" t="s">
        <v>216</v>
      </c>
      <c r="B2259" s="87">
        <v>46091</v>
      </c>
      <c r="C2259" t="s">
        <v>2295</v>
      </c>
      <c r="D2259" t="s">
        <v>2110</v>
      </c>
      <c r="E2259" t="s">
        <v>477</v>
      </c>
      <c r="F2259" t="s">
        <v>1186</v>
      </c>
      <c r="G2259" t="s">
        <v>2295</v>
      </c>
      <c r="H2259" t="s">
        <v>470</v>
      </c>
      <c r="I2259" t="s">
        <v>471</v>
      </c>
      <c r="J2259">
        <v>2569.3000000000002</v>
      </c>
    </row>
    <row r="2260" spans="1:10">
      <c r="A2260" s="90" t="s">
        <v>216</v>
      </c>
      <c r="B2260" s="87">
        <v>46091</v>
      </c>
      <c r="C2260" t="s">
        <v>2275</v>
      </c>
      <c r="D2260" t="s">
        <v>2110</v>
      </c>
      <c r="E2260" t="s">
        <v>477</v>
      </c>
      <c r="F2260" t="s">
        <v>1186</v>
      </c>
      <c r="G2260" t="s">
        <v>74</v>
      </c>
      <c r="H2260" t="s">
        <v>470</v>
      </c>
      <c r="I2260" t="s">
        <v>471</v>
      </c>
      <c r="J2260">
        <v>95</v>
      </c>
    </row>
    <row r="2261" spans="1:10">
      <c r="A2261" s="90" t="s">
        <v>216</v>
      </c>
      <c r="B2261" s="87">
        <v>46091</v>
      </c>
      <c r="C2261" t="s">
        <v>517</v>
      </c>
      <c r="D2261" t="s">
        <v>2110</v>
      </c>
      <c r="E2261" t="s">
        <v>512</v>
      </c>
      <c r="F2261" t="s">
        <v>1186</v>
      </c>
      <c r="G2261" t="s">
        <v>474</v>
      </c>
      <c r="H2261" t="s">
        <v>470</v>
      </c>
      <c r="I2261" t="s">
        <v>475</v>
      </c>
      <c r="J2261">
        <v>571960.81999999995</v>
      </c>
    </row>
    <row r="2262" spans="1:10">
      <c r="A2262" s="90" t="s">
        <v>216</v>
      </c>
      <c r="B2262" s="87">
        <v>46092</v>
      </c>
      <c r="C2262" t="s">
        <v>3809</v>
      </c>
      <c r="D2262" t="s">
        <v>2110</v>
      </c>
      <c r="E2262" t="s">
        <v>2300</v>
      </c>
      <c r="F2262" t="s">
        <v>1186</v>
      </c>
      <c r="G2262" t="s">
        <v>70</v>
      </c>
      <c r="H2262" t="s">
        <v>470</v>
      </c>
      <c r="I2262" t="s">
        <v>796</v>
      </c>
      <c r="J2262">
        <v>51.21</v>
      </c>
    </row>
    <row r="2263" spans="1:10">
      <c r="A2263" s="90" t="s">
        <v>216</v>
      </c>
      <c r="B2263" s="87">
        <v>46092</v>
      </c>
      <c r="C2263" t="s">
        <v>511</v>
      </c>
      <c r="D2263" t="s">
        <v>2110</v>
      </c>
      <c r="E2263" t="s">
        <v>512</v>
      </c>
      <c r="F2263" t="s">
        <v>1186</v>
      </c>
      <c r="G2263" t="s">
        <v>474</v>
      </c>
      <c r="H2263" t="s">
        <v>470</v>
      </c>
      <c r="I2263" t="s">
        <v>475</v>
      </c>
      <c r="J2263">
        <v>51.21</v>
      </c>
    </row>
    <row r="2264" spans="1:10">
      <c r="A2264" s="90" t="s">
        <v>216</v>
      </c>
      <c r="B2264" s="87">
        <v>46093</v>
      </c>
      <c r="C2264" t="s">
        <v>3810</v>
      </c>
      <c r="D2264" t="s">
        <v>2110</v>
      </c>
      <c r="E2264" t="s">
        <v>3778</v>
      </c>
      <c r="F2264" t="s">
        <v>1186</v>
      </c>
      <c r="G2264" t="s">
        <v>463</v>
      </c>
      <c r="H2264" t="s">
        <v>470</v>
      </c>
      <c r="I2264" t="s">
        <v>487</v>
      </c>
      <c r="J2264">
        <v>34.659999999999997</v>
      </c>
    </row>
    <row r="2265" spans="1:10">
      <c r="A2265" s="90" t="s">
        <v>216</v>
      </c>
      <c r="B2265" s="87">
        <v>46093</v>
      </c>
      <c r="C2265" t="s">
        <v>3811</v>
      </c>
      <c r="D2265" t="s">
        <v>2110</v>
      </c>
      <c r="E2265" t="s">
        <v>3812</v>
      </c>
      <c r="F2265" t="s">
        <v>1237</v>
      </c>
      <c r="G2265" t="s">
        <v>2125</v>
      </c>
      <c r="H2265" t="s">
        <v>470</v>
      </c>
      <c r="I2265" t="s">
        <v>487</v>
      </c>
      <c r="J2265">
        <v>6052.2</v>
      </c>
    </row>
    <row r="2266" spans="1:10">
      <c r="A2266" s="90" t="s">
        <v>216</v>
      </c>
      <c r="B2266" s="87">
        <v>46093</v>
      </c>
      <c r="C2266" t="s">
        <v>3813</v>
      </c>
      <c r="D2266" t="s">
        <v>2110</v>
      </c>
      <c r="E2266" t="s">
        <v>3547</v>
      </c>
      <c r="F2266" t="s">
        <v>1237</v>
      </c>
      <c r="G2266" t="s">
        <v>2112</v>
      </c>
      <c r="H2266" t="s">
        <v>470</v>
      </c>
      <c r="I2266" t="s">
        <v>487</v>
      </c>
      <c r="J2266">
        <v>27036.62</v>
      </c>
    </row>
    <row r="2267" spans="1:10">
      <c r="A2267" s="90" t="s">
        <v>216</v>
      </c>
      <c r="B2267" s="87">
        <v>46093</v>
      </c>
      <c r="C2267" t="s">
        <v>2489</v>
      </c>
      <c r="D2267" t="s">
        <v>2110</v>
      </c>
      <c r="E2267" t="s">
        <v>2372</v>
      </c>
      <c r="F2267" t="s">
        <v>1186</v>
      </c>
      <c r="G2267" t="s">
        <v>219</v>
      </c>
      <c r="H2267" t="s">
        <v>3814</v>
      </c>
      <c r="I2267" t="s">
        <v>796</v>
      </c>
      <c r="J2267">
        <v>1360</v>
      </c>
    </row>
    <row r="2268" spans="1:10">
      <c r="A2268" s="90" t="s">
        <v>216</v>
      </c>
      <c r="B2268" s="87">
        <v>46093</v>
      </c>
      <c r="C2268" t="s">
        <v>2275</v>
      </c>
      <c r="D2268" t="s">
        <v>2110</v>
      </c>
      <c r="E2268" t="s">
        <v>477</v>
      </c>
      <c r="F2268" t="s">
        <v>1186</v>
      </c>
      <c r="G2268" t="s">
        <v>74</v>
      </c>
      <c r="H2268" t="s">
        <v>470</v>
      </c>
      <c r="I2268" t="s">
        <v>471</v>
      </c>
      <c r="J2268">
        <v>23.34</v>
      </c>
    </row>
    <row r="2269" spans="1:10">
      <c r="A2269" s="90" t="s">
        <v>216</v>
      </c>
      <c r="B2269" s="87">
        <v>46093</v>
      </c>
      <c r="C2269" t="s">
        <v>511</v>
      </c>
      <c r="D2269" t="s">
        <v>2110</v>
      </c>
      <c r="E2269" t="s">
        <v>512</v>
      </c>
      <c r="F2269" t="s">
        <v>1186</v>
      </c>
      <c r="G2269" t="s">
        <v>474</v>
      </c>
      <c r="H2269" t="s">
        <v>470</v>
      </c>
      <c r="I2269" t="s">
        <v>475</v>
      </c>
      <c r="J2269">
        <v>34844.32</v>
      </c>
    </row>
    <row r="2270" spans="1:10">
      <c r="A2270" s="90" t="s">
        <v>216</v>
      </c>
      <c r="B2270" s="87">
        <v>46094</v>
      </c>
      <c r="C2270" t="s">
        <v>2876</v>
      </c>
      <c r="D2270" t="s">
        <v>2110</v>
      </c>
      <c r="E2270" t="s">
        <v>1756</v>
      </c>
      <c r="F2270" t="s">
        <v>1121</v>
      </c>
      <c r="G2270" t="s">
        <v>67</v>
      </c>
      <c r="H2270" t="s">
        <v>470</v>
      </c>
      <c r="I2270" t="s">
        <v>796</v>
      </c>
      <c r="J2270">
        <v>503.61</v>
      </c>
    </row>
    <row r="2271" spans="1:10">
      <c r="A2271" s="90" t="s">
        <v>216</v>
      </c>
      <c r="B2271" s="87">
        <v>46094</v>
      </c>
      <c r="C2271" t="s">
        <v>3815</v>
      </c>
      <c r="D2271" t="s">
        <v>2110</v>
      </c>
      <c r="E2271" t="s">
        <v>2912</v>
      </c>
      <c r="F2271" t="s">
        <v>3816</v>
      </c>
      <c r="G2271" t="s">
        <v>286</v>
      </c>
      <c r="H2271" t="s">
        <v>470</v>
      </c>
      <c r="I2271" t="s">
        <v>796</v>
      </c>
      <c r="J2271">
        <v>1055.1199999999999</v>
      </c>
    </row>
    <row r="2272" spans="1:10">
      <c r="A2272" s="90" t="s">
        <v>216</v>
      </c>
      <c r="B2272" s="87">
        <v>46094</v>
      </c>
      <c r="C2272" t="s">
        <v>3817</v>
      </c>
      <c r="D2272" t="s">
        <v>2110</v>
      </c>
      <c r="E2272" t="s">
        <v>2912</v>
      </c>
      <c r="F2272" t="s">
        <v>3818</v>
      </c>
      <c r="G2272" t="s">
        <v>286</v>
      </c>
      <c r="H2272" t="s">
        <v>470</v>
      </c>
      <c r="I2272" t="s">
        <v>796</v>
      </c>
      <c r="J2272">
        <v>4574.28</v>
      </c>
    </row>
    <row r="2273" spans="1:10">
      <c r="A2273" s="90" t="s">
        <v>216</v>
      </c>
      <c r="B2273" s="87">
        <v>46094</v>
      </c>
      <c r="C2273" t="s">
        <v>3819</v>
      </c>
      <c r="D2273" t="s">
        <v>2110</v>
      </c>
      <c r="E2273" t="s">
        <v>2912</v>
      </c>
      <c r="F2273" t="s">
        <v>3820</v>
      </c>
      <c r="G2273" t="s">
        <v>286</v>
      </c>
      <c r="H2273" t="s">
        <v>470</v>
      </c>
      <c r="I2273" t="s">
        <v>796</v>
      </c>
      <c r="J2273">
        <v>1012.58</v>
      </c>
    </row>
    <row r="2274" spans="1:10">
      <c r="A2274" s="90" t="s">
        <v>216</v>
      </c>
      <c r="B2274" s="87">
        <v>46094</v>
      </c>
      <c r="C2274" t="s">
        <v>3821</v>
      </c>
      <c r="D2274" t="s">
        <v>2110</v>
      </c>
      <c r="E2274" t="s">
        <v>535</v>
      </c>
      <c r="F2274" t="s">
        <v>1261</v>
      </c>
      <c r="G2274" t="s">
        <v>537</v>
      </c>
      <c r="H2274" t="s">
        <v>470</v>
      </c>
      <c r="I2274" t="s">
        <v>540</v>
      </c>
      <c r="J2274">
        <v>1500000</v>
      </c>
    </row>
    <row r="2275" spans="1:10">
      <c r="A2275" s="90" t="s">
        <v>216</v>
      </c>
      <c r="B2275" s="87">
        <v>46094</v>
      </c>
      <c r="C2275" t="s">
        <v>511</v>
      </c>
      <c r="D2275" t="s">
        <v>2110</v>
      </c>
      <c r="E2275" t="s">
        <v>512</v>
      </c>
      <c r="F2275" t="s">
        <v>1186</v>
      </c>
      <c r="G2275" t="s">
        <v>474</v>
      </c>
      <c r="H2275" t="s">
        <v>470</v>
      </c>
      <c r="I2275" t="s">
        <v>475</v>
      </c>
      <c r="J2275">
        <v>1179140.07</v>
      </c>
    </row>
    <row r="2276" spans="1:10">
      <c r="A2276" s="90" t="s">
        <v>216</v>
      </c>
      <c r="B2276" s="87">
        <v>46094</v>
      </c>
      <c r="C2276" t="s">
        <v>3822</v>
      </c>
      <c r="D2276" t="s">
        <v>2110</v>
      </c>
      <c r="E2276" t="s">
        <v>477</v>
      </c>
      <c r="F2276" t="s">
        <v>347</v>
      </c>
      <c r="G2276" t="s">
        <v>224</v>
      </c>
      <c r="H2276" t="s">
        <v>470</v>
      </c>
      <c r="I2276" t="s">
        <v>471</v>
      </c>
      <c r="J2276">
        <v>550</v>
      </c>
    </row>
    <row r="2277" spans="1:10">
      <c r="A2277" s="90" t="s">
        <v>216</v>
      </c>
      <c r="B2277" s="87">
        <v>46094</v>
      </c>
      <c r="C2277" t="s">
        <v>511</v>
      </c>
      <c r="D2277" t="s">
        <v>2110</v>
      </c>
      <c r="E2277" t="s">
        <v>477</v>
      </c>
      <c r="F2277" t="s">
        <v>1186</v>
      </c>
      <c r="G2277" t="s">
        <v>474</v>
      </c>
      <c r="H2277" t="s">
        <v>470</v>
      </c>
      <c r="I2277" t="s">
        <v>471</v>
      </c>
      <c r="J2277">
        <v>550</v>
      </c>
    </row>
    <row r="2278" spans="1:10">
      <c r="A2278" s="90" t="s">
        <v>216</v>
      </c>
      <c r="B2278" s="87">
        <v>46097</v>
      </c>
      <c r="C2278" t="s">
        <v>3823</v>
      </c>
      <c r="D2278" t="s">
        <v>2110</v>
      </c>
      <c r="E2278" t="s">
        <v>2564</v>
      </c>
      <c r="F2278" t="s">
        <v>3824</v>
      </c>
      <c r="G2278" t="s">
        <v>2115</v>
      </c>
      <c r="H2278" t="s">
        <v>470</v>
      </c>
      <c r="I2278" t="s">
        <v>796</v>
      </c>
      <c r="J2278">
        <v>67.58</v>
      </c>
    </row>
    <row r="2279" spans="1:10">
      <c r="A2279" s="90" t="s">
        <v>216</v>
      </c>
      <c r="B2279" s="87">
        <v>46097</v>
      </c>
      <c r="C2279" t="s">
        <v>3823</v>
      </c>
      <c r="D2279" t="s">
        <v>2110</v>
      </c>
      <c r="E2279" t="s">
        <v>2564</v>
      </c>
      <c r="F2279" t="s">
        <v>3824</v>
      </c>
      <c r="G2279" t="s">
        <v>2115</v>
      </c>
      <c r="H2279" t="s">
        <v>470</v>
      </c>
      <c r="I2279" t="s">
        <v>796</v>
      </c>
      <c r="J2279">
        <v>105.04</v>
      </c>
    </row>
    <row r="2280" spans="1:10">
      <c r="A2280" s="90" t="s">
        <v>216</v>
      </c>
      <c r="B2280" s="87">
        <v>46097</v>
      </c>
      <c r="C2280" t="s">
        <v>3273</v>
      </c>
      <c r="D2280" t="s">
        <v>2110</v>
      </c>
      <c r="E2280" t="s">
        <v>2366</v>
      </c>
      <c r="F2280" t="s">
        <v>1186</v>
      </c>
      <c r="G2280" t="s">
        <v>219</v>
      </c>
      <c r="H2280" t="s">
        <v>470</v>
      </c>
      <c r="I2280" t="s">
        <v>796</v>
      </c>
      <c r="J2280">
        <v>21.26</v>
      </c>
    </row>
    <row r="2281" spans="1:10">
      <c r="A2281" s="90" t="s">
        <v>216</v>
      </c>
      <c r="B2281" s="87">
        <v>46097</v>
      </c>
      <c r="C2281" t="s">
        <v>3825</v>
      </c>
      <c r="D2281" t="s">
        <v>2110</v>
      </c>
      <c r="E2281" t="s">
        <v>3415</v>
      </c>
      <c r="F2281" t="s">
        <v>1283</v>
      </c>
      <c r="G2281" t="s">
        <v>2112</v>
      </c>
      <c r="H2281" t="s">
        <v>470</v>
      </c>
      <c r="I2281" t="s">
        <v>487</v>
      </c>
      <c r="J2281">
        <v>73651.22</v>
      </c>
    </row>
    <row r="2282" spans="1:10">
      <c r="A2282" s="90" t="s">
        <v>216</v>
      </c>
      <c r="B2282" s="87">
        <v>46097</v>
      </c>
      <c r="C2282" t="s">
        <v>2275</v>
      </c>
      <c r="D2282" t="s">
        <v>2110</v>
      </c>
      <c r="E2282" t="s">
        <v>477</v>
      </c>
      <c r="F2282" t="s">
        <v>1186</v>
      </c>
      <c r="G2282" t="s">
        <v>74</v>
      </c>
      <c r="H2282" t="s">
        <v>470</v>
      </c>
      <c r="I2282" t="s">
        <v>471</v>
      </c>
      <c r="J2282">
        <v>10</v>
      </c>
    </row>
    <row r="2283" spans="1:10">
      <c r="A2283" s="90" t="s">
        <v>216</v>
      </c>
      <c r="B2283" s="87">
        <v>46097</v>
      </c>
      <c r="C2283" t="s">
        <v>517</v>
      </c>
      <c r="D2283" t="s">
        <v>2110</v>
      </c>
      <c r="E2283" t="s">
        <v>512</v>
      </c>
      <c r="F2283" t="s">
        <v>1186</v>
      </c>
      <c r="G2283" t="s">
        <v>474</v>
      </c>
      <c r="H2283" t="s">
        <v>470</v>
      </c>
      <c r="I2283" t="s">
        <v>475</v>
      </c>
      <c r="J2283">
        <v>538004.69999999995</v>
      </c>
    </row>
    <row r="2284" spans="1:10">
      <c r="A2284" s="90" t="s">
        <v>216</v>
      </c>
      <c r="B2284" s="87">
        <v>46098</v>
      </c>
      <c r="C2284" t="s">
        <v>3826</v>
      </c>
      <c r="D2284" t="s">
        <v>2110</v>
      </c>
      <c r="E2284" t="s">
        <v>2277</v>
      </c>
      <c r="F2284" t="s">
        <v>1121</v>
      </c>
      <c r="G2284" t="s">
        <v>226</v>
      </c>
      <c r="H2284" t="s">
        <v>2351</v>
      </c>
      <c r="I2284" t="s">
        <v>796</v>
      </c>
      <c r="J2284">
        <v>137.47999999999999</v>
      </c>
    </row>
    <row r="2285" spans="1:10">
      <c r="A2285" s="90" t="s">
        <v>216</v>
      </c>
      <c r="B2285" s="87">
        <v>46098</v>
      </c>
      <c r="C2285" t="s">
        <v>3827</v>
      </c>
      <c r="D2285" t="s">
        <v>2110</v>
      </c>
      <c r="E2285" t="s">
        <v>3812</v>
      </c>
      <c r="F2285" t="s">
        <v>1237</v>
      </c>
      <c r="G2285" t="s">
        <v>2125</v>
      </c>
      <c r="H2285" t="s">
        <v>470</v>
      </c>
      <c r="I2285" t="s">
        <v>487</v>
      </c>
      <c r="J2285">
        <v>2360.8000000000002</v>
      </c>
    </row>
    <row r="2286" spans="1:10">
      <c r="A2286" s="90" t="s">
        <v>216</v>
      </c>
      <c r="B2286" s="87">
        <v>46098</v>
      </c>
      <c r="C2286" t="s">
        <v>2454</v>
      </c>
      <c r="D2286" t="s">
        <v>2110</v>
      </c>
      <c r="E2286" t="s">
        <v>1667</v>
      </c>
      <c r="F2286" t="s">
        <v>1237</v>
      </c>
      <c r="G2286" t="s">
        <v>2115</v>
      </c>
      <c r="H2286" t="s">
        <v>470</v>
      </c>
      <c r="I2286" t="s">
        <v>475</v>
      </c>
      <c r="J2286">
        <v>144.1</v>
      </c>
    </row>
    <row r="2287" spans="1:10">
      <c r="A2287" s="90" t="s">
        <v>216</v>
      </c>
      <c r="B2287" s="87">
        <v>46098</v>
      </c>
      <c r="C2287" t="s">
        <v>2454</v>
      </c>
      <c r="D2287" t="s">
        <v>2110</v>
      </c>
      <c r="E2287" t="s">
        <v>1667</v>
      </c>
      <c r="F2287" t="s">
        <v>1237</v>
      </c>
      <c r="G2287" t="s">
        <v>259</v>
      </c>
      <c r="H2287" t="s">
        <v>470</v>
      </c>
      <c r="I2287" t="s">
        <v>475</v>
      </c>
      <c r="J2287">
        <v>830.01</v>
      </c>
    </row>
    <row r="2288" spans="1:10">
      <c r="A2288" s="90" t="s">
        <v>216</v>
      </c>
      <c r="B2288" s="87">
        <v>46098</v>
      </c>
      <c r="C2288" t="s">
        <v>3828</v>
      </c>
      <c r="D2288" t="s">
        <v>2110</v>
      </c>
      <c r="E2288" t="s">
        <v>477</v>
      </c>
      <c r="F2288" t="s">
        <v>353</v>
      </c>
      <c r="G2288" t="s">
        <v>224</v>
      </c>
      <c r="H2288" t="s">
        <v>470</v>
      </c>
      <c r="I2288" t="s">
        <v>471</v>
      </c>
      <c r="J2288">
        <v>250</v>
      </c>
    </row>
    <row r="2289" spans="1:10">
      <c r="A2289" s="90" t="s">
        <v>216</v>
      </c>
      <c r="B2289" s="87">
        <v>46098</v>
      </c>
      <c r="C2289" t="s">
        <v>2275</v>
      </c>
      <c r="D2289" t="s">
        <v>2110</v>
      </c>
      <c r="E2289" t="s">
        <v>477</v>
      </c>
      <c r="F2289" t="s">
        <v>1186</v>
      </c>
      <c r="G2289" t="s">
        <v>74</v>
      </c>
      <c r="H2289" t="s">
        <v>470</v>
      </c>
      <c r="I2289" t="s">
        <v>471</v>
      </c>
      <c r="J2289">
        <v>10</v>
      </c>
    </row>
    <row r="2290" spans="1:10">
      <c r="A2290" s="90" t="s">
        <v>216</v>
      </c>
      <c r="B2290" s="87">
        <v>46098</v>
      </c>
      <c r="C2290" t="s">
        <v>517</v>
      </c>
      <c r="D2290" t="s">
        <v>2110</v>
      </c>
      <c r="E2290" t="s">
        <v>512</v>
      </c>
      <c r="F2290" t="s">
        <v>1186</v>
      </c>
      <c r="G2290" t="s">
        <v>474</v>
      </c>
      <c r="H2290" t="s">
        <v>470</v>
      </c>
      <c r="I2290" t="s">
        <v>475</v>
      </c>
      <c r="J2290">
        <v>619356.66</v>
      </c>
    </row>
    <row r="2291" spans="1:10">
      <c r="A2291" s="90" t="s">
        <v>216</v>
      </c>
      <c r="B2291" s="87">
        <v>46099</v>
      </c>
      <c r="C2291" t="s">
        <v>3829</v>
      </c>
      <c r="D2291" t="s">
        <v>2110</v>
      </c>
      <c r="E2291" t="s">
        <v>3660</v>
      </c>
      <c r="F2291" t="s">
        <v>1211</v>
      </c>
      <c r="G2291" t="s">
        <v>2112</v>
      </c>
      <c r="H2291" t="s">
        <v>470</v>
      </c>
      <c r="I2291" t="s">
        <v>475</v>
      </c>
      <c r="J2291">
        <v>12898.33</v>
      </c>
    </row>
    <row r="2292" spans="1:10">
      <c r="A2292" s="90" t="s">
        <v>216</v>
      </c>
      <c r="B2292" s="87">
        <v>46099</v>
      </c>
      <c r="C2292" t="s">
        <v>3830</v>
      </c>
      <c r="D2292" t="s">
        <v>2110</v>
      </c>
      <c r="E2292" t="s">
        <v>3404</v>
      </c>
      <c r="F2292" t="s">
        <v>3831</v>
      </c>
      <c r="G2292" t="s">
        <v>219</v>
      </c>
      <c r="H2292" t="s">
        <v>470</v>
      </c>
      <c r="I2292" t="s">
        <v>487</v>
      </c>
      <c r="J2292">
        <v>200</v>
      </c>
    </row>
    <row r="2293" spans="1:10">
      <c r="A2293" s="90" t="s">
        <v>216</v>
      </c>
      <c r="B2293" s="87">
        <v>46099</v>
      </c>
      <c r="C2293" t="s">
        <v>2275</v>
      </c>
      <c r="D2293" t="s">
        <v>2110</v>
      </c>
      <c r="E2293" t="s">
        <v>477</v>
      </c>
      <c r="F2293" t="s">
        <v>1186</v>
      </c>
      <c r="G2293" t="s">
        <v>74</v>
      </c>
      <c r="H2293" t="s">
        <v>470</v>
      </c>
      <c r="I2293" t="s">
        <v>471</v>
      </c>
      <c r="J2293">
        <v>1.98</v>
      </c>
    </row>
    <row r="2294" spans="1:10">
      <c r="A2294" s="90" t="s">
        <v>216</v>
      </c>
      <c r="B2294" s="87">
        <v>46099</v>
      </c>
      <c r="C2294" t="s">
        <v>511</v>
      </c>
      <c r="D2294" t="s">
        <v>2110</v>
      </c>
      <c r="E2294" t="s">
        <v>512</v>
      </c>
      <c r="F2294" t="s">
        <v>1186</v>
      </c>
      <c r="G2294" t="s">
        <v>474</v>
      </c>
      <c r="H2294" t="s">
        <v>470</v>
      </c>
      <c r="I2294" t="s">
        <v>475</v>
      </c>
      <c r="J2294">
        <v>13100.31</v>
      </c>
    </row>
    <row r="2295" spans="1:10">
      <c r="A2295" s="90" t="s">
        <v>216</v>
      </c>
      <c r="B2295" s="87">
        <v>46100</v>
      </c>
      <c r="C2295" t="s">
        <v>71</v>
      </c>
      <c r="D2295" t="s">
        <v>2110</v>
      </c>
      <c r="E2295" t="s">
        <v>480</v>
      </c>
      <c r="F2295" t="s">
        <v>1186</v>
      </c>
      <c r="G2295" t="s">
        <v>71</v>
      </c>
      <c r="H2295" t="s">
        <v>470</v>
      </c>
      <c r="I2295" t="s">
        <v>475</v>
      </c>
      <c r="J2295">
        <v>5000</v>
      </c>
    </row>
    <row r="2296" spans="1:10">
      <c r="A2296" s="90" t="s">
        <v>216</v>
      </c>
      <c r="B2296" s="87">
        <v>46100</v>
      </c>
      <c r="C2296" t="s">
        <v>517</v>
      </c>
      <c r="D2296" t="s">
        <v>2110</v>
      </c>
      <c r="E2296" t="s">
        <v>512</v>
      </c>
      <c r="F2296" t="s">
        <v>1186</v>
      </c>
      <c r="G2296" t="s">
        <v>474</v>
      </c>
      <c r="H2296" t="s">
        <v>470</v>
      </c>
      <c r="I2296" t="s">
        <v>475</v>
      </c>
      <c r="J2296">
        <v>33330.6</v>
      </c>
    </row>
    <row r="2297" spans="1:10">
      <c r="A2297" s="90" t="s">
        <v>216</v>
      </c>
      <c r="B2297" s="87">
        <v>46101</v>
      </c>
      <c r="C2297" t="s">
        <v>3832</v>
      </c>
      <c r="D2297" t="s">
        <v>2110</v>
      </c>
      <c r="E2297" t="s">
        <v>1285</v>
      </c>
      <c r="F2297" t="s">
        <v>428</v>
      </c>
      <c r="G2297" t="s">
        <v>2381</v>
      </c>
      <c r="H2297" t="s">
        <v>470</v>
      </c>
      <c r="I2297" t="s">
        <v>796</v>
      </c>
      <c r="J2297">
        <v>151.1</v>
      </c>
    </row>
    <row r="2298" spans="1:10">
      <c r="A2298" s="90" t="s">
        <v>216</v>
      </c>
      <c r="B2298" s="87">
        <v>46101</v>
      </c>
      <c r="C2298" t="s">
        <v>3833</v>
      </c>
      <c r="D2298" t="s">
        <v>2110</v>
      </c>
      <c r="E2298" t="s">
        <v>1285</v>
      </c>
      <c r="F2298" t="s">
        <v>427</v>
      </c>
      <c r="G2298" t="s">
        <v>2381</v>
      </c>
      <c r="H2298" t="s">
        <v>470</v>
      </c>
      <c r="I2298" t="s">
        <v>796</v>
      </c>
      <c r="J2298">
        <v>499.8</v>
      </c>
    </row>
    <row r="2299" spans="1:10">
      <c r="A2299" s="90" t="s">
        <v>216</v>
      </c>
      <c r="B2299" s="87">
        <v>46101</v>
      </c>
      <c r="C2299" t="s">
        <v>3834</v>
      </c>
      <c r="D2299" t="s">
        <v>2110</v>
      </c>
      <c r="E2299" t="s">
        <v>3365</v>
      </c>
      <c r="F2299" t="s">
        <v>1179</v>
      </c>
      <c r="G2299" t="s">
        <v>2381</v>
      </c>
      <c r="H2299" t="s">
        <v>470</v>
      </c>
      <c r="I2299" t="s">
        <v>796</v>
      </c>
      <c r="J2299">
        <v>76.400000000000006</v>
      </c>
    </row>
    <row r="2300" spans="1:10">
      <c r="A2300" s="90" t="s">
        <v>216</v>
      </c>
      <c r="B2300" s="87">
        <v>46101</v>
      </c>
      <c r="C2300" t="s">
        <v>3835</v>
      </c>
      <c r="D2300" t="s">
        <v>2110</v>
      </c>
      <c r="E2300" t="s">
        <v>3229</v>
      </c>
      <c r="F2300" t="s">
        <v>1301</v>
      </c>
      <c r="G2300" t="s">
        <v>2381</v>
      </c>
      <c r="H2300" t="s">
        <v>470</v>
      </c>
      <c r="I2300" t="s">
        <v>796</v>
      </c>
      <c r="J2300">
        <v>22.44</v>
      </c>
    </row>
    <row r="2301" spans="1:10">
      <c r="A2301" s="90" t="s">
        <v>216</v>
      </c>
      <c r="B2301" s="87">
        <v>46101</v>
      </c>
      <c r="C2301" t="s">
        <v>3836</v>
      </c>
      <c r="D2301" t="s">
        <v>2110</v>
      </c>
      <c r="E2301" t="s">
        <v>3614</v>
      </c>
      <c r="F2301" t="s">
        <v>1143</v>
      </c>
      <c r="G2301" t="s">
        <v>2381</v>
      </c>
      <c r="H2301" t="s">
        <v>470</v>
      </c>
      <c r="I2301" t="s">
        <v>796</v>
      </c>
      <c r="J2301">
        <v>607.62</v>
      </c>
    </row>
    <row r="2302" spans="1:10">
      <c r="A2302" s="90" t="s">
        <v>216</v>
      </c>
      <c r="B2302" s="87">
        <v>46101</v>
      </c>
      <c r="C2302" t="s">
        <v>3837</v>
      </c>
      <c r="D2302" t="s">
        <v>2110</v>
      </c>
      <c r="E2302" t="s">
        <v>3664</v>
      </c>
      <c r="F2302" t="s">
        <v>422</v>
      </c>
      <c r="G2302" t="s">
        <v>2381</v>
      </c>
      <c r="H2302" t="s">
        <v>470</v>
      </c>
      <c r="I2302" t="s">
        <v>796</v>
      </c>
      <c r="J2302">
        <v>843.1</v>
      </c>
    </row>
    <row r="2303" spans="1:10">
      <c r="A2303" s="90" t="s">
        <v>216</v>
      </c>
      <c r="B2303" s="87">
        <v>46101</v>
      </c>
      <c r="C2303" t="s">
        <v>3838</v>
      </c>
      <c r="D2303" t="s">
        <v>2110</v>
      </c>
      <c r="E2303" t="s">
        <v>3664</v>
      </c>
      <c r="F2303" t="s">
        <v>406</v>
      </c>
      <c r="G2303" t="s">
        <v>2381</v>
      </c>
      <c r="H2303" t="s">
        <v>470</v>
      </c>
      <c r="I2303" t="s">
        <v>796</v>
      </c>
      <c r="J2303">
        <v>414.13</v>
      </c>
    </row>
    <row r="2304" spans="1:10">
      <c r="A2304" s="90" t="s">
        <v>216</v>
      </c>
      <c r="B2304" s="87">
        <v>46101</v>
      </c>
      <c r="C2304" t="s">
        <v>3839</v>
      </c>
      <c r="D2304" t="s">
        <v>2110</v>
      </c>
      <c r="E2304" t="s">
        <v>3636</v>
      </c>
      <c r="F2304" t="s">
        <v>1289</v>
      </c>
      <c r="G2304" t="s">
        <v>2381</v>
      </c>
      <c r="H2304" t="s">
        <v>470</v>
      </c>
      <c r="I2304" t="s">
        <v>796</v>
      </c>
      <c r="J2304">
        <v>193.09</v>
      </c>
    </row>
    <row r="2305" spans="1:10">
      <c r="A2305" s="90" t="s">
        <v>216</v>
      </c>
      <c r="B2305" s="87">
        <v>46101</v>
      </c>
      <c r="C2305" t="s">
        <v>3840</v>
      </c>
      <c r="D2305" t="s">
        <v>2110</v>
      </c>
      <c r="E2305" t="s">
        <v>3636</v>
      </c>
      <c r="F2305" t="s">
        <v>1295</v>
      </c>
      <c r="G2305" t="s">
        <v>2381</v>
      </c>
      <c r="H2305" t="s">
        <v>470</v>
      </c>
      <c r="I2305" t="s">
        <v>796</v>
      </c>
      <c r="J2305">
        <v>197.62</v>
      </c>
    </row>
    <row r="2306" spans="1:10">
      <c r="A2306" s="90" t="s">
        <v>216</v>
      </c>
      <c r="B2306" s="87">
        <v>46101</v>
      </c>
      <c r="C2306" t="s">
        <v>3841</v>
      </c>
      <c r="D2306" t="s">
        <v>2110</v>
      </c>
      <c r="E2306" t="s">
        <v>3636</v>
      </c>
      <c r="F2306" t="s">
        <v>1297</v>
      </c>
      <c r="G2306" t="s">
        <v>2381</v>
      </c>
      <c r="H2306" t="s">
        <v>470</v>
      </c>
      <c r="I2306" t="s">
        <v>796</v>
      </c>
      <c r="J2306">
        <v>174.42</v>
      </c>
    </row>
    <row r="2307" spans="1:10">
      <c r="A2307" s="90" t="s">
        <v>216</v>
      </c>
      <c r="B2307" s="87">
        <v>46101</v>
      </c>
      <c r="C2307" t="s">
        <v>3842</v>
      </c>
      <c r="D2307" t="s">
        <v>2110</v>
      </c>
      <c r="E2307" t="s">
        <v>2318</v>
      </c>
      <c r="F2307" t="s">
        <v>1121</v>
      </c>
      <c r="G2307" t="s">
        <v>64</v>
      </c>
      <c r="H2307" t="s">
        <v>2351</v>
      </c>
      <c r="I2307" t="s">
        <v>796</v>
      </c>
      <c r="J2307">
        <v>806</v>
      </c>
    </row>
    <row r="2308" spans="1:10">
      <c r="A2308" s="90" t="s">
        <v>216</v>
      </c>
      <c r="B2308" s="87">
        <v>46101</v>
      </c>
      <c r="C2308" t="s">
        <v>3843</v>
      </c>
      <c r="D2308" t="s">
        <v>2110</v>
      </c>
      <c r="E2308" t="s">
        <v>2318</v>
      </c>
      <c r="F2308" t="s">
        <v>1121</v>
      </c>
      <c r="G2308" t="s">
        <v>64</v>
      </c>
      <c r="H2308" t="s">
        <v>2351</v>
      </c>
      <c r="I2308" t="s">
        <v>796</v>
      </c>
      <c r="J2308">
        <v>731.68</v>
      </c>
    </row>
    <row r="2309" spans="1:10">
      <c r="A2309" s="90" t="s">
        <v>216</v>
      </c>
      <c r="B2309" s="87">
        <v>46101</v>
      </c>
      <c r="C2309" t="s">
        <v>3194</v>
      </c>
      <c r="D2309" t="s">
        <v>2110</v>
      </c>
      <c r="E2309" t="s">
        <v>1756</v>
      </c>
      <c r="F2309" t="s">
        <v>3844</v>
      </c>
      <c r="G2309" t="s">
        <v>67</v>
      </c>
      <c r="H2309" t="s">
        <v>470</v>
      </c>
      <c r="I2309" t="s">
        <v>796</v>
      </c>
      <c r="J2309">
        <v>29.71</v>
      </c>
    </row>
    <row r="2310" spans="1:10">
      <c r="A2310" s="90" t="s">
        <v>216</v>
      </c>
      <c r="B2310" s="87">
        <v>46101</v>
      </c>
      <c r="C2310" t="s">
        <v>3845</v>
      </c>
      <c r="D2310" t="s">
        <v>2110</v>
      </c>
      <c r="E2310" t="s">
        <v>1693</v>
      </c>
      <c r="F2310" t="s">
        <v>3846</v>
      </c>
      <c r="G2310" t="s">
        <v>2112</v>
      </c>
      <c r="H2310" t="s">
        <v>470</v>
      </c>
      <c r="I2310" t="s">
        <v>540</v>
      </c>
      <c r="J2310">
        <v>1000000</v>
      </c>
    </row>
    <row r="2311" spans="1:10">
      <c r="A2311" s="90" t="s">
        <v>216</v>
      </c>
      <c r="B2311" s="87">
        <v>46101</v>
      </c>
      <c r="C2311" t="s">
        <v>3847</v>
      </c>
      <c r="D2311" t="s">
        <v>2110</v>
      </c>
      <c r="E2311" t="s">
        <v>2300</v>
      </c>
      <c r="F2311" t="s">
        <v>1186</v>
      </c>
      <c r="G2311" t="s">
        <v>70</v>
      </c>
      <c r="H2311" t="s">
        <v>470</v>
      </c>
      <c r="I2311" t="s">
        <v>487</v>
      </c>
      <c r="J2311">
        <v>24</v>
      </c>
    </row>
    <row r="2312" spans="1:10">
      <c r="A2312" s="90" t="s">
        <v>216</v>
      </c>
      <c r="B2312" s="87">
        <v>46101</v>
      </c>
      <c r="C2312" t="s">
        <v>3848</v>
      </c>
      <c r="D2312" t="s">
        <v>2110</v>
      </c>
      <c r="E2312" t="s">
        <v>3365</v>
      </c>
      <c r="F2312" t="s">
        <v>414</v>
      </c>
      <c r="G2312" t="s">
        <v>2381</v>
      </c>
      <c r="H2312" t="s">
        <v>470</v>
      </c>
      <c r="I2312" t="s">
        <v>796</v>
      </c>
      <c r="J2312">
        <v>83.26</v>
      </c>
    </row>
    <row r="2313" spans="1:10">
      <c r="A2313" s="90" t="s">
        <v>216</v>
      </c>
      <c r="B2313" s="87">
        <v>46101</v>
      </c>
      <c r="C2313" t="s">
        <v>3849</v>
      </c>
      <c r="D2313" t="s">
        <v>2110</v>
      </c>
      <c r="E2313" t="s">
        <v>3614</v>
      </c>
      <c r="F2313" t="s">
        <v>410</v>
      </c>
      <c r="G2313" t="s">
        <v>2381</v>
      </c>
      <c r="H2313" t="s">
        <v>470</v>
      </c>
      <c r="I2313" t="s">
        <v>796</v>
      </c>
      <c r="J2313">
        <v>1248.8499999999999</v>
      </c>
    </row>
    <row r="2314" spans="1:10">
      <c r="A2314" s="90" t="s">
        <v>216</v>
      </c>
      <c r="B2314" s="87">
        <v>46101</v>
      </c>
      <c r="C2314" t="s">
        <v>3850</v>
      </c>
      <c r="D2314" t="s">
        <v>2110</v>
      </c>
      <c r="E2314" t="s">
        <v>3229</v>
      </c>
      <c r="F2314" t="s">
        <v>374</v>
      </c>
      <c r="G2314" t="s">
        <v>2381</v>
      </c>
      <c r="H2314" t="s">
        <v>470</v>
      </c>
      <c r="I2314" t="s">
        <v>796</v>
      </c>
      <c r="J2314">
        <v>416.27</v>
      </c>
    </row>
    <row r="2315" spans="1:10">
      <c r="A2315" s="90" t="s">
        <v>216</v>
      </c>
      <c r="B2315" s="87">
        <v>46101</v>
      </c>
      <c r="C2315" t="s">
        <v>511</v>
      </c>
      <c r="D2315" t="s">
        <v>2110</v>
      </c>
      <c r="E2315" t="s">
        <v>512</v>
      </c>
      <c r="F2315" t="s">
        <v>1186</v>
      </c>
      <c r="G2315" t="s">
        <v>474</v>
      </c>
      <c r="H2315" t="s">
        <v>470</v>
      </c>
      <c r="I2315" t="s">
        <v>475</v>
      </c>
      <c r="J2315">
        <v>1010137.81</v>
      </c>
    </row>
    <row r="2316" spans="1:10">
      <c r="A2316" s="90" t="s">
        <v>216</v>
      </c>
      <c r="B2316" s="87">
        <v>46101</v>
      </c>
      <c r="C2316" t="s">
        <v>3851</v>
      </c>
      <c r="D2316" t="s">
        <v>2110</v>
      </c>
      <c r="E2316" t="s">
        <v>3547</v>
      </c>
      <c r="F2316" t="s">
        <v>3852</v>
      </c>
      <c r="G2316" t="s">
        <v>2381</v>
      </c>
      <c r="H2316" t="s">
        <v>470</v>
      </c>
      <c r="I2316" t="s">
        <v>796</v>
      </c>
      <c r="J2316">
        <v>136.25</v>
      </c>
    </row>
    <row r="2317" spans="1:10">
      <c r="A2317" s="90" t="s">
        <v>216</v>
      </c>
      <c r="B2317" s="87">
        <v>46101</v>
      </c>
      <c r="C2317" t="s">
        <v>3851</v>
      </c>
      <c r="D2317" t="s">
        <v>2110</v>
      </c>
      <c r="E2317" t="s">
        <v>3547</v>
      </c>
      <c r="F2317" t="s">
        <v>3852</v>
      </c>
      <c r="G2317" t="s">
        <v>2381</v>
      </c>
      <c r="H2317" t="s">
        <v>470</v>
      </c>
      <c r="I2317" t="s">
        <v>796</v>
      </c>
      <c r="J2317">
        <v>69.98</v>
      </c>
    </row>
    <row r="2318" spans="1:10">
      <c r="A2318" s="90" t="s">
        <v>216</v>
      </c>
      <c r="B2318" s="87">
        <v>46101</v>
      </c>
      <c r="C2318" t="s">
        <v>3853</v>
      </c>
      <c r="D2318" t="s">
        <v>2110</v>
      </c>
      <c r="E2318" t="s">
        <v>3660</v>
      </c>
      <c r="F2318" t="s">
        <v>405</v>
      </c>
      <c r="G2318" t="s">
        <v>2381</v>
      </c>
      <c r="H2318" t="s">
        <v>470</v>
      </c>
      <c r="I2318" t="s">
        <v>796</v>
      </c>
      <c r="J2318">
        <v>2000</v>
      </c>
    </row>
    <row r="2319" spans="1:10">
      <c r="A2319" s="90" t="s">
        <v>216</v>
      </c>
      <c r="B2319" s="87">
        <v>46101</v>
      </c>
      <c r="C2319" t="s">
        <v>3854</v>
      </c>
      <c r="D2319" t="s">
        <v>2110</v>
      </c>
      <c r="E2319" t="s">
        <v>3660</v>
      </c>
      <c r="F2319" t="s">
        <v>421</v>
      </c>
      <c r="G2319" t="s">
        <v>2381</v>
      </c>
      <c r="H2319" t="s">
        <v>470</v>
      </c>
      <c r="I2319" t="s">
        <v>796</v>
      </c>
      <c r="J2319">
        <v>1200</v>
      </c>
    </row>
    <row r="2320" spans="1:10">
      <c r="A2320" s="90" t="s">
        <v>216</v>
      </c>
      <c r="B2320" s="87">
        <v>46101</v>
      </c>
      <c r="C2320" t="s">
        <v>3855</v>
      </c>
      <c r="D2320" t="s">
        <v>2110</v>
      </c>
      <c r="E2320" t="s">
        <v>3636</v>
      </c>
      <c r="F2320" t="s">
        <v>419</v>
      </c>
      <c r="G2320" t="s">
        <v>2381</v>
      </c>
      <c r="H2320" t="s">
        <v>470</v>
      </c>
      <c r="I2320" t="s">
        <v>796</v>
      </c>
      <c r="J2320">
        <v>212.09</v>
      </c>
    </row>
    <row r="2321" spans="1:10">
      <c r="A2321" s="90" t="s">
        <v>216</v>
      </c>
      <c r="B2321" s="87">
        <v>46104</v>
      </c>
      <c r="C2321" t="s">
        <v>3856</v>
      </c>
      <c r="D2321" t="s">
        <v>2110</v>
      </c>
      <c r="E2321" t="s">
        <v>3857</v>
      </c>
      <c r="F2321" t="s">
        <v>1186</v>
      </c>
      <c r="G2321" t="s">
        <v>76</v>
      </c>
      <c r="H2321" t="s">
        <v>470</v>
      </c>
      <c r="I2321" t="s">
        <v>487</v>
      </c>
      <c r="J2321">
        <v>5478.6</v>
      </c>
    </row>
    <row r="2322" spans="1:10">
      <c r="A2322" s="90" t="s">
        <v>216</v>
      </c>
      <c r="B2322" s="87">
        <v>46104</v>
      </c>
      <c r="C2322" t="s">
        <v>3858</v>
      </c>
      <c r="D2322" t="s">
        <v>2110</v>
      </c>
      <c r="E2322" t="s">
        <v>2316</v>
      </c>
      <c r="F2322" t="s">
        <v>1186</v>
      </c>
      <c r="G2322" t="s">
        <v>217</v>
      </c>
      <c r="H2322" t="s">
        <v>470</v>
      </c>
      <c r="I2322" t="s">
        <v>796</v>
      </c>
      <c r="J2322">
        <v>202.3</v>
      </c>
    </row>
    <row r="2323" spans="1:10">
      <c r="A2323" s="90" t="s">
        <v>216</v>
      </c>
      <c r="B2323" s="87">
        <v>46104</v>
      </c>
      <c r="C2323" t="s">
        <v>3859</v>
      </c>
      <c r="D2323" t="s">
        <v>2110</v>
      </c>
      <c r="E2323" t="s">
        <v>2316</v>
      </c>
      <c r="F2323" t="s">
        <v>1186</v>
      </c>
      <c r="G2323" t="s">
        <v>217</v>
      </c>
      <c r="H2323" t="s">
        <v>470</v>
      </c>
      <c r="I2323" t="s">
        <v>796</v>
      </c>
      <c r="J2323">
        <v>112.4</v>
      </c>
    </row>
    <row r="2324" spans="1:10">
      <c r="A2324" s="90" t="s">
        <v>216</v>
      </c>
      <c r="B2324" s="87">
        <v>46104</v>
      </c>
      <c r="C2324" t="s">
        <v>2275</v>
      </c>
      <c r="D2324" t="s">
        <v>2110</v>
      </c>
      <c r="E2324" t="s">
        <v>477</v>
      </c>
      <c r="F2324" t="s">
        <v>1186</v>
      </c>
      <c r="G2324" t="s">
        <v>74</v>
      </c>
      <c r="H2324" t="s">
        <v>470</v>
      </c>
      <c r="I2324" t="s">
        <v>471</v>
      </c>
      <c r="J2324">
        <v>10</v>
      </c>
    </row>
    <row r="2325" spans="1:10">
      <c r="A2325" s="90" t="s">
        <v>216</v>
      </c>
      <c r="B2325" s="87">
        <v>46104</v>
      </c>
      <c r="C2325" t="s">
        <v>511</v>
      </c>
      <c r="D2325" t="s">
        <v>2110</v>
      </c>
      <c r="E2325" t="s">
        <v>512</v>
      </c>
      <c r="F2325" t="s">
        <v>1186</v>
      </c>
      <c r="G2325" t="s">
        <v>474</v>
      </c>
      <c r="H2325" t="s">
        <v>470</v>
      </c>
      <c r="I2325" t="s">
        <v>475</v>
      </c>
      <c r="J2325">
        <v>5803.3</v>
      </c>
    </row>
    <row r="2326" spans="1:10">
      <c r="A2326" s="90" t="s">
        <v>216</v>
      </c>
      <c r="B2326" s="87">
        <v>46105</v>
      </c>
      <c r="C2326" t="s">
        <v>2275</v>
      </c>
      <c r="D2326" t="s">
        <v>2110</v>
      </c>
      <c r="E2326" t="s">
        <v>477</v>
      </c>
      <c r="F2326" t="s">
        <v>1186</v>
      </c>
      <c r="G2326" t="s">
        <v>74</v>
      </c>
      <c r="H2326" t="s">
        <v>470</v>
      </c>
      <c r="I2326" t="s">
        <v>471</v>
      </c>
      <c r="J2326">
        <v>10</v>
      </c>
    </row>
    <row r="2327" spans="1:10">
      <c r="A2327" s="90" t="s">
        <v>216</v>
      </c>
      <c r="B2327" s="87">
        <v>46105</v>
      </c>
      <c r="C2327" t="s">
        <v>517</v>
      </c>
      <c r="D2327" t="s">
        <v>2110</v>
      </c>
      <c r="E2327" t="s">
        <v>512</v>
      </c>
      <c r="F2327" t="s">
        <v>1186</v>
      </c>
      <c r="G2327" t="s">
        <v>474</v>
      </c>
      <c r="H2327" t="s">
        <v>470</v>
      </c>
      <c r="I2327" t="s">
        <v>475</v>
      </c>
      <c r="J2327">
        <v>7130.2</v>
      </c>
    </row>
    <row r="2328" spans="1:10">
      <c r="A2328" s="90" t="s">
        <v>216</v>
      </c>
      <c r="B2328" s="87">
        <v>46106</v>
      </c>
      <c r="C2328" t="s">
        <v>3860</v>
      </c>
      <c r="D2328" t="s">
        <v>2110</v>
      </c>
      <c r="E2328" t="s">
        <v>1002</v>
      </c>
      <c r="F2328" t="s">
        <v>1093</v>
      </c>
      <c r="G2328" t="s">
        <v>2115</v>
      </c>
      <c r="H2328" t="s">
        <v>470</v>
      </c>
      <c r="I2328" t="s">
        <v>796</v>
      </c>
      <c r="J2328">
        <v>810</v>
      </c>
    </row>
    <row r="2329" spans="1:10">
      <c r="A2329" s="90" t="s">
        <v>216</v>
      </c>
      <c r="B2329" s="87">
        <v>46106</v>
      </c>
      <c r="C2329" t="s">
        <v>3860</v>
      </c>
      <c r="D2329" t="s">
        <v>2110</v>
      </c>
      <c r="E2329" t="s">
        <v>1002</v>
      </c>
      <c r="F2329" t="s">
        <v>1093</v>
      </c>
      <c r="G2329" t="s">
        <v>223</v>
      </c>
      <c r="H2329" t="s">
        <v>470</v>
      </c>
      <c r="I2329" t="s">
        <v>796</v>
      </c>
      <c r="J2329">
        <v>1337.6</v>
      </c>
    </row>
    <row r="2330" spans="1:10">
      <c r="A2330" s="90" t="s">
        <v>216</v>
      </c>
      <c r="B2330" s="87">
        <v>46106</v>
      </c>
      <c r="C2330" t="s">
        <v>1238</v>
      </c>
      <c r="D2330" t="s">
        <v>2110</v>
      </c>
      <c r="E2330" t="s">
        <v>493</v>
      </c>
      <c r="F2330" t="s">
        <v>449</v>
      </c>
      <c r="G2330" t="s">
        <v>192</v>
      </c>
      <c r="H2330" t="s">
        <v>470</v>
      </c>
      <c r="I2330" t="s">
        <v>475</v>
      </c>
      <c r="J2330">
        <v>2261.44</v>
      </c>
    </row>
    <row r="2331" spans="1:10">
      <c r="A2331" s="90" t="s">
        <v>216</v>
      </c>
      <c r="B2331" s="87">
        <v>46106</v>
      </c>
      <c r="C2331" t="s">
        <v>3861</v>
      </c>
      <c r="D2331" t="s">
        <v>2110</v>
      </c>
      <c r="E2331" t="s">
        <v>3862</v>
      </c>
      <c r="F2331" t="s">
        <v>1186</v>
      </c>
      <c r="G2331" t="s">
        <v>464</v>
      </c>
      <c r="H2331" t="s">
        <v>470</v>
      </c>
      <c r="I2331" t="s">
        <v>796</v>
      </c>
      <c r="J2331">
        <v>8250</v>
      </c>
    </row>
    <row r="2332" spans="1:10">
      <c r="A2332" s="90" t="s">
        <v>216</v>
      </c>
      <c r="B2332" s="87">
        <v>46106</v>
      </c>
      <c r="C2332" t="s">
        <v>2275</v>
      </c>
      <c r="D2332" t="s">
        <v>2110</v>
      </c>
      <c r="E2332" t="s">
        <v>477</v>
      </c>
      <c r="F2332" t="s">
        <v>1186</v>
      </c>
      <c r="G2332" t="s">
        <v>74</v>
      </c>
      <c r="H2332" t="s">
        <v>470</v>
      </c>
      <c r="I2332" t="s">
        <v>471</v>
      </c>
      <c r="J2332">
        <v>6.5</v>
      </c>
    </row>
    <row r="2333" spans="1:10">
      <c r="A2333" s="90" t="s">
        <v>216</v>
      </c>
      <c r="B2333" s="87">
        <v>46106</v>
      </c>
      <c r="C2333" t="s">
        <v>511</v>
      </c>
      <c r="D2333" t="s">
        <v>2110</v>
      </c>
      <c r="E2333" t="s">
        <v>512</v>
      </c>
      <c r="F2333" t="s">
        <v>1186</v>
      </c>
      <c r="G2333" t="s">
        <v>474</v>
      </c>
      <c r="H2333" t="s">
        <v>470</v>
      </c>
      <c r="I2333" t="s">
        <v>475</v>
      </c>
      <c r="J2333">
        <v>10404.1</v>
      </c>
    </row>
    <row r="2334" spans="1:10">
      <c r="A2334" s="90" t="s">
        <v>216</v>
      </c>
      <c r="B2334" s="87">
        <v>46107</v>
      </c>
      <c r="C2334" t="s">
        <v>3863</v>
      </c>
      <c r="D2334" t="s">
        <v>2110</v>
      </c>
      <c r="E2334" t="s">
        <v>3864</v>
      </c>
      <c r="F2334" t="s">
        <v>1186</v>
      </c>
      <c r="G2334" t="s">
        <v>76</v>
      </c>
      <c r="H2334" t="s">
        <v>470</v>
      </c>
      <c r="I2334" t="s">
        <v>487</v>
      </c>
      <c r="J2334">
        <v>5022</v>
      </c>
    </row>
    <row r="2335" spans="1:10">
      <c r="A2335" s="90" t="s">
        <v>216</v>
      </c>
      <c r="B2335" s="87">
        <v>46107</v>
      </c>
      <c r="C2335" t="s">
        <v>3865</v>
      </c>
      <c r="D2335" t="s">
        <v>2110</v>
      </c>
      <c r="E2335" t="s">
        <v>477</v>
      </c>
      <c r="F2335" t="s">
        <v>2325</v>
      </c>
      <c r="G2335" t="s">
        <v>515</v>
      </c>
      <c r="H2335" t="s">
        <v>3866</v>
      </c>
      <c r="I2335" t="s">
        <v>471</v>
      </c>
      <c r="J2335">
        <v>33666.57</v>
      </c>
    </row>
    <row r="2336" spans="1:10">
      <c r="A2336" s="90" t="s">
        <v>216</v>
      </c>
      <c r="B2336" s="87">
        <v>46107</v>
      </c>
      <c r="C2336" t="s">
        <v>3865</v>
      </c>
      <c r="D2336" t="s">
        <v>2110</v>
      </c>
      <c r="E2336" t="s">
        <v>477</v>
      </c>
      <c r="F2336" t="s">
        <v>2325</v>
      </c>
      <c r="G2336" t="s">
        <v>69</v>
      </c>
      <c r="H2336" t="s">
        <v>3866</v>
      </c>
      <c r="I2336" t="s">
        <v>471</v>
      </c>
      <c r="J2336">
        <v>2199.65</v>
      </c>
    </row>
    <row r="2337" spans="1:10">
      <c r="A2337" s="90" t="s">
        <v>216</v>
      </c>
      <c r="B2337" s="87">
        <v>46107</v>
      </c>
      <c r="C2337" t="s">
        <v>511</v>
      </c>
      <c r="D2337" t="s">
        <v>2110</v>
      </c>
      <c r="E2337" t="s">
        <v>512</v>
      </c>
      <c r="F2337" t="s">
        <v>1186</v>
      </c>
      <c r="G2337" t="s">
        <v>474</v>
      </c>
      <c r="H2337" t="s">
        <v>470</v>
      </c>
      <c r="I2337" t="s">
        <v>475</v>
      </c>
      <c r="J2337">
        <v>45474.82</v>
      </c>
    </row>
    <row r="2338" spans="1:10">
      <c r="A2338" s="90" t="s">
        <v>216</v>
      </c>
      <c r="B2338" s="87">
        <v>46107</v>
      </c>
      <c r="C2338" t="s">
        <v>2275</v>
      </c>
      <c r="D2338" t="s">
        <v>2110</v>
      </c>
      <c r="E2338" t="s">
        <v>477</v>
      </c>
      <c r="F2338" t="s">
        <v>1186</v>
      </c>
      <c r="G2338" t="s">
        <v>74</v>
      </c>
      <c r="H2338" t="s">
        <v>470</v>
      </c>
      <c r="I2338" t="s">
        <v>471</v>
      </c>
      <c r="J2338">
        <v>10</v>
      </c>
    </row>
    <row r="2339" spans="1:10">
      <c r="A2339" s="90" t="s">
        <v>216</v>
      </c>
      <c r="B2339" s="87">
        <v>46108</v>
      </c>
      <c r="C2339" t="s">
        <v>3867</v>
      </c>
      <c r="D2339" t="s">
        <v>2110</v>
      </c>
      <c r="E2339" t="s">
        <v>1667</v>
      </c>
      <c r="F2339" t="s">
        <v>3868</v>
      </c>
      <c r="G2339" t="s">
        <v>2115</v>
      </c>
      <c r="H2339" t="s">
        <v>470</v>
      </c>
      <c r="I2339" t="s">
        <v>475</v>
      </c>
      <c r="J2339">
        <v>640</v>
      </c>
    </row>
    <row r="2340" spans="1:10">
      <c r="A2340" s="90" t="s">
        <v>216</v>
      </c>
      <c r="B2340" s="87">
        <v>46108</v>
      </c>
      <c r="C2340" t="s">
        <v>3867</v>
      </c>
      <c r="D2340" t="s">
        <v>2110</v>
      </c>
      <c r="E2340" t="s">
        <v>1667</v>
      </c>
      <c r="F2340" t="s">
        <v>3868</v>
      </c>
      <c r="G2340" t="s">
        <v>71</v>
      </c>
      <c r="H2340" t="s">
        <v>470</v>
      </c>
      <c r="I2340" t="s">
        <v>475</v>
      </c>
      <c r="J2340">
        <v>360</v>
      </c>
    </row>
    <row r="2341" spans="1:10">
      <c r="A2341" s="90" t="s">
        <v>216</v>
      </c>
      <c r="B2341" s="87">
        <v>46108</v>
      </c>
      <c r="C2341" t="s">
        <v>2454</v>
      </c>
      <c r="D2341" t="s">
        <v>2110</v>
      </c>
      <c r="E2341" t="s">
        <v>1667</v>
      </c>
      <c r="F2341" t="s">
        <v>1186</v>
      </c>
      <c r="G2341" t="s">
        <v>71</v>
      </c>
      <c r="H2341" t="s">
        <v>470</v>
      </c>
      <c r="I2341" t="s">
        <v>475</v>
      </c>
      <c r="J2341">
        <v>600</v>
      </c>
    </row>
    <row r="2342" spans="1:10">
      <c r="A2342" s="90" t="s">
        <v>216</v>
      </c>
      <c r="B2342" s="87">
        <v>46108</v>
      </c>
      <c r="C2342" t="s">
        <v>1249</v>
      </c>
      <c r="D2342" t="s">
        <v>2110</v>
      </c>
      <c r="E2342" t="s">
        <v>1250</v>
      </c>
      <c r="F2342" t="s">
        <v>1251</v>
      </c>
      <c r="G2342" t="s">
        <v>3869</v>
      </c>
      <c r="H2342" t="s">
        <v>470</v>
      </c>
      <c r="I2342" t="s">
        <v>475</v>
      </c>
      <c r="J2342">
        <v>550000</v>
      </c>
    </row>
    <row r="2343" spans="1:10">
      <c r="A2343" s="90" t="s">
        <v>216</v>
      </c>
      <c r="B2343" s="87">
        <v>46108</v>
      </c>
      <c r="C2343" t="s">
        <v>517</v>
      </c>
      <c r="D2343" t="s">
        <v>2110</v>
      </c>
      <c r="E2343" t="s">
        <v>512</v>
      </c>
      <c r="F2343" t="s">
        <v>1186</v>
      </c>
      <c r="G2343" t="s">
        <v>474</v>
      </c>
      <c r="H2343" t="s">
        <v>470</v>
      </c>
      <c r="I2343" t="s">
        <v>475</v>
      </c>
      <c r="J2343">
        <v>269900</v>
      </c>
    </row>
    <row r="2344" spans="1:10">
      <c r="A2344" s="90" t="s">
        <v>216</v>
      </c>
      <c r="B2344" s="87">
        <v>46111</v>
      </c>
      <c r="C2344" t="s">
        <v>3870</v>
      </c>
      <c r="D2344" t="s">
        <v>2110</v>
      </c>
      <c r="E2344" t="s">
        <v>3392</v>
      </c>
      <c r="F2344" t="s">
        <v>1267</v>
      </c>
      <c r="G2344" t="s">
        <v>2112</v>
      </c>
      <c r="H2344" t="s">
        <v>470</v>
      </c>
      <c r="I2344" t="s">
        <v>540</v>
      </c>
      <c r="J2344">
        <v>72216.52</v>
      </c>
    </row>
    <row r="2345" spans="1:10">
      <c r="A2345" s="90" t="s">
        <v>216</v>
      </c>
      <c r="B2345" s="87">
        <v>46111</v>
      </c>
      <c r="C2345" t="s">
        <v>1256</v>
      </c>
      <c r="D2345" t="s">
        <v>2110</v>
      </c>
      <c r="E2345" t="s">
        <v>493</v>
      </c>
      <c r="F2345" t="s">
        <v>450</v>
      </c>
      <c r="G2345" t="s">
        <v>192</v>
      </c>
      <c r="H2345" t="s">
        <v>470</v>
      </c>
      <c r="I2345" t="s">
        <v>475</v>
      </c>
      <c r="J2345">
        <v>963.35</v>
      </c>
    </row>
    <row r="2346" spans="1:10">
      <c r="A2346" s="90" t="s">
        <v>216</v>
      </c>
      <c r="B2346" s="87">
        <v>46111</v>
      </c>
      <c r="C2346" t="s">
        <v>3871</v>
      </c>
      <c r="D2346" t="s">
        <v>2110</v>
      </c>
      <c r="E2346" t="s">
        <v>477</v>
      </c>
      <c r="F2346" t="s">
        <v>1186</v>
      </c>
      <c r="G2346" t="s">
        <v>219</v>
      </c>
      <c r="H2346" t="s">
        <v>470</v>
      </c>
      <c r="I2346" t="s">
        <v>471</v>
      </c>
      <c r="J2346">
        <v>500</v>
      </c>
    </row>
    <row r="2347" spans="1:10">
      <c r="A2347" s="90" t="s">
        <v>216</v>
      </c>
      <c r="B2347" s="87">
        <v>46111</v>
      </c>
      <c r="C2347" t="s">
        <v>3871</v>
      </c>
      <c r="D2347" t="s">
        <v>2110</v>
      </c>
      <c r="E2347" t="s">
        <v>477</v>
      </c>
      <c r="F2347" t="s">
        <v>1186</v>
      </c>
      <c r="G2347" t="s">
        <v>74</v>
      </c>
      <c r="H2347" t="s">
        <v>470</v>
      </c>
      <c r="I2347" t="s">
        <v>471</v>
      </c>
      <c r="J2347">
        <v>3</v>
      </c>
    </row>
    <row r="2348" spans="1:10">
      <c r="A2348" s="90" t="s">
        <v>216</v>
      </c>
      <c r="B2348" s="87">
        <v>46111</v>
      </c>
      <c r="C2348" t="s">
        <v>2275</v>
      </c>
      <c r="D2348" t="s">
        <v>2110</v>
      </c>
      <c r="E2348" t="s">
        <v>477</v>
      </c>
      <c r="F2348" t="s">
        <v>1186</v>
      </c>
      <c r="G2348" t="s">
        <v>74</v>
      </c>
      <c r="H2348" t="s">
        <v>470</v>
      </c>
      <c r="I2348" t="s">
        <v>471</v>
      </c>
      <c r="J2348">
        <v>10</v>
      </c>
    </row>
    <row r="2349" spans="1:10">
      <c r="A2349" s="90" t="s">
        <v>216</v>
      </c>
      <c r="B2349" s="87">
        <v>46111</v>
      </c>
      <c r="C2349" t="s">
        <v>517</v>
      </c>
      <c r="D2349" t="s">
        <v>2110</v>
      </c>
      <c r="E2349" t="s">
        <v>512</v>
      </c>
      <c r="F2349" t="s">
        <v>1186</v>
      </c>
      <c r="G2349" t="s">
        <v>474</v>
      </c>
      <c r="H2349" t="s">
        <v>470</v>
      </c>
      <c r="I2349" t="s">
        <v>540</v>
      </c>
      <c r="J2349">
        <v>920.95</v>
      </c>
    </row>
    <row r="2350" spans="1:10">
      <c r="A2350" s="90" t="s">
        <v>216</v>
      </c>
      <c r="B2350" s="87">
        <v>46112</v>
      </c>
      <c r="C2350" t="s">
        <v>3872</v>
      </c>
      <c r="D2350" t="s">
        <v>2110</v>
      </c>
      <c r="E2350" t="s">
        <v>1137</v>
      </c>
      <c r="F2350" t="s">
        <v>3873</v>
      </c>
      <c r="G2350" t="s">
        <v>61</v>
      </c>
      <c r="H2350" t="s">
        <v>2409</v>
      </c>
      <c r="I2350" t="s">
        <v>487</v>
      </c>
      <c r="J2350">
        <v>1621</v>
      </c>
    </row>
    <row r="2351" spans="1:10">
      <c r="A2351" s="90" t="s">
        <v>216</v>
      </c>
      <c r="B2351" s="87">
        <v>46112</v>
      </c>
      <c r="C2351" t="s">
        <v>2784</v>
      </c>
      <c r="D2351" t="s">
        <v>2110</v>
      </c>
      <c r="E2351" t="s">
        <v>480</v>
      </c>
      <c r="F2351" t="s">
        <v>1186</v>
      </c>
      <c r="G2351" t="s">
        <v>71</v>
      </c>
      <c r="H2351" t="s">
        <v>2409</v>
      </c>
      <c r="I2351" t="s">
        <v>475</v>
      </c>
      <c r="J2351">
        <v>2314</v>
      </c>
    </row>
    <row r="2352" spans="1:10">
      <c r="A2352" s="90" t="s">
        <v>216</v>
      </c>
      <c r="B2352" s="87">
        <v>46112</v>
      </c>
      <c r="C2352" t="s">
        <v>3874</v>
      </c>
      <c r="D2352" t="s">
        <v>2110</v>
      </c>
      <c r="E2352" t="s">
        <v>3639</v>
      </c>
      <c r="F2352" t="s">
        <v>1186</v>
      </c>
      <c r="G2352" t="s">
        <v>60</v>
      </c>
      <c r="H2352" t="s">
        <v>2409</v>
      </c>
      <c r="I2352" t="s">
        <v>796</v>
      </c>
      <c r="J2352">
        <v>574.88</v>
      </c>
    </row>
    <row r="2353" spans="1:10">
      <c r="A2353" s="90" t="s">
        <v>216</v>
      </c>
      <c r="B2353" s="87">
        <v>46112</v>
      </c>
      <c r="C2353" t="s">
        <v>3633</v>
      </c>
      <c r="D2353" t="s">
        <v>2110</v>
      </c>
      <c r="E2353" t="s">
        <v>480</v>
      </c>
      <c r="F2353" t="s">
        <v>1186</v>
      </c>
      <c r="G2353" t="s">
        <v>180</v>
      </c>
      <c r="H2353" t="s">
        <v>2409</v>
      </c>
      <c r="I2353" t="s">
        <v>475</v>
      </c>
      <c r="J2353">
        <v>2849.33</v>
      </c>
    </row>
    <row r="2354" spans="1:10">
      <c r="A2354" s="90" t="s">
        <v>216</v>
      </c>
      <c r="B2354" s="87">
        <v>46112</v>
      </c>
      <c r="C2354" t="s">
        <v>3875</v>
      </c>
      <c r="D2354" t="s">
        <v>2110</v>
      </c>
      <c r="E2354" t="s">
        <v>2300</v>
      </c>
      <c r="F2354" t="s">
        <v>1186</v>
      </c>
      <c r="G2354" t="s">
        <v>220</v>
      </c>
      <c r="H2354" t="s">
        <v>3876</v>
      </c>
      <c r="I2354" t="s">
        <v>796</v>
      </c>
      <c r="J2354">
        <v>3113.79</v>
      </c>
    </row>
    <row r="2355" spans="1:10">
      <c r="A2355" s="90" t="s">
        <v>216</v>
      </c>
      <c r="B2355" s="87">
        <v>46112</v>
      </c>
      <c r="C2355" t="s">
        <v>3877</v>
      </c>
      <c r="D2355" t="s">
        <v>2110</v>
      </c>
      <c r="E2355" t="s">
        <v>477</v>
      </c>
      <c r="F2355" t="s">
        <v>1186</v>
      </c>
      <c r="G2355" t="s">
        <v>74</v>
      </c>
      <c r="H2355" t="s">
        <v>470</v>
      </c>
      <c r="I2355" t="s">
        <v>471</v>
      </c>
      <c r="J2355">
        <v>10</v>
      </c>
    </row>
    <row r="2356" spans="1:10">
      <c r="A2356" s="90" t="s">
        <v>216</v>
      </c>
      <c r="B2356" s="87">
        <v>46112</v>
      </c>
      <c r="C2356" t="s">
        <v>511</v>
      </c>
      <c r="D2356" t="s">
        <v>2110</v>
      </c>
      <c r="E2356" t="s">
        <v>512</v>
      </c>
      <c r="F2356" t="s">
        <v>1186</v>
      </c>
      <c r="G2356" t="s">
        <v>474</v>
      </c>
      <c r="H2356" t="s">
        <v>470</v>
      </c>
      <c r="I2356" t="s">
        <v>475</v>
      </c>
      <c r="J2356">
        <v>10483</v>
      </c>
    </row>
    <row r="2357" spans="1:10">
      <c r="A2357" s="90" t="s">
        <v>216</v>
      </c>
      <c r="B2357" s="87">
        <v>46112</v>
      </c>
      <c r="C2357" t="s">
        <v>2348</v>
      </c>
      <c r="D2357" t="s">
        <v>2110</v>
      </c>
      <c r="E2357" t="s">
        <v>477</v>
      </c>
      <c r="F2357" t="s">
        <v>1186</v>
      </c>
      <c r="G2357" t="s">
        <v>66</v>
      </c>
      <c r="H2357" t="s">
        <v>470</v>
      </c>
      <c r="I2357" t="s">
        <v>471</v>
      </c>
      <c r="J2357">
        <v>596.71</v>
      </c>
    </row>
    <row r="2358" spans="1:10">
      <c r="A2358" s="90" t="s">
        <v>216</v>
      </c>
      <c r="B2358" s="87">
        <v>46112</v>
      </c>
      <c r="C2358" t="s">
        <v>2347</v>
      </c>
      <c r="D2358" t="s">
        <v>2110</v>
      </c>
      <c r="E2358" t="s">
        <v>477</v>
      </c>
      <c r="F2358" t="s">
        <v>1186</v>
      </c>
      <c r="G2358" t="s">
        <v>68</v>
      </c>
      <c r="H2358" t="s">
        <v>470</v>
      </c>
      <c r="I2358" t="s">
        <v>471</v>
      </c>
      <c r="J2358">
        <v>54.29</v>
      </c>
    </row>
    <row r="2359" spans="1:10">
      <c r="A2359" s="90" t="s">
        <v>216</v>
      </c>
      <c r="B2359" s="87">
        <v>46113</v>
      </c>
      <c r="C2359" t="s">
        <v>3878</v>
      </c>
      <c r="D2359" t="s">
        <v>2110</v>
      </c>
      <c r="E2359" t="s">
        <v>3879</v>
      </c>
      <c r="F2359" t="s">
        <v>1186</v>
      </c>
      <c r="G2359" t="s">
        <v>431</v>
      </c>
      <c r="H2359" t="s">
        <v>2409</v>
      </c>
      <c r="I2359" t="s">
        <v>475</v>
      </c>
      <c r="J2359">
        <v>616.66999999999996</v>
      </c>
    </row>
    <row r="2360" spans="1:10">
      <c r="A2360" s="90" t="s">
        <v>216</v>
      </c>
      <c r="B2360" s="87">
        <v>46113</v>
      </c>
      <c r="C2360" t="s">
        <v>3880</v>
      </c>
      <c r="D2360" t="s">
        <v>2110</v>
      </c>
      <c r="E2360" t="s">
        <v>3682</v>
      </c>
      <c r="F2360" t="s">
        <v>1186</v>
      </c>
      <c r="G2360" t="s">
        <v>219</v>
      </c>
      <c r="H2360" t="s">
        <v>2351</v>
      </c>
      <c r="I2360" t="s">
        <v>796</v>
      </c>
      <c r="J2360">
        <v>580</v>
      </c>
    </row>
    <row r="2361" spans="1:10">
      <c r="A2361" s="90" t="s">
        <v>216</v>
      </c>
      <c r="B2361" s="87">
        <v>46113</v>
      </c>
      <c r="C2361" t="s">
        <v>3881</v>
      </c>
      <c r="D2361" t="s">
        <v>2110</v>
      </c>
      <c r="E2361" t="s">
        <v>2262</v>
      </c>
      <c r="F2361" t="s">
        <v>3882</v>
      </c>
      <c r="G2361" t="s">
        <v>73</v>
      </c>
      <c r="H2361" t="s">
        <v>2409</v>
      </c>
      <c r="I2361" t="s">
        <v>796</v>
      </c>
      <c r="J2361">
        <v>675.96</v>
      </c>
    </row>
    <row r="2362" spans="1:10">
      <c r="A2362" s="90" t="s">
        <v>216</v>
      </c>
      <c r="B2362" s="87">
        <v>46113</v>
      </c>
      <c r="C2362" t="s">
        <v>3883</v>
      </c>
      <c r="D2362" t="s">
        <v>2110</v>
      </c>
      <c r="E2362" t="s">
        <v>3884</v>
      </c>
      <c r="F2362" t="s">
        <v>3885</v>
      </c>
      <c r="G2362" t="s">
        <v>486</v>
      </c>
      <c r="H2362" t="s">
        <v>470</v>
      </c>
      <c r="I2362" t="s">
        <v>487</v>
      </c>
      <c r="J2362">
        <v>60000</v>
      </c>
    </row>
    <row r="2363" spans="1:10">
      <c r="A2363" s="90" t="s">
        <v>216</v>
      </c>
      <c r="B2363" s="87">
        <v>46113</v>
      </c>
      <c r="C2363" t="s">
        <v>3886</v>
      </c>
      <c r="D2363" t="s">
        <v>2110</v>
      </c>
      <c r="E2363" t="s">
        <v>477</v>
      </c>
      <c r="F2363" t="s">
        <v>2273</v>
      </c>
      <c r="G2363" t="s">
        <v>2269</v>
      </c>
      <c r="H2363" t="s">
        <v>2484</v>
      </c>
      <c r="I2363" t="s">
        <v>471</v>
      </c>
      <c r="J2363">
        <v>10125</v>
      </c>
    </row>
    <row r="2364" spans="1:10">
      <c r="A2364" s="90" t="s">
        <v>216</v>
      </c>
      <c r="B2364" s="87">
        <v>46113</v>
      </c>
      <c r="C2364" t="s">
        <v>3886</v>
      </c>
      <c r="D2364" t="s">
        <v>2110</v>
      </c>
      <c r="E2364" t="s">
        <v>477</v>
      </c>
      <c r="F2364" t="s">
        <v>2273</v>
      </c>
      <c r="G2364" t="s">
        <v>2271</v>
      </c>
      <c r="H2364" t="s">
        <v>2484</v>
      </c>
      <c r="I2364" t="s">
        <v>471</v>
      </c>
      <c r="J2364">
        <v>304.31</v>
      </c>
    </row>
    <row r="2365" spans="1:10">
      <c r="A2365" s="90" t="s">
        <v>216</v>
      </c>
      <c r="B2365" s="87">
        <v>46113</v>
      </c>
      <c r="C2365" t="s">
        <v>3887</v>
      </c>
      <c r="D2365" t="s">
        <v>2110</v>
      </c>
      <c r="E2365" t="s">
        <v>477</v>
      </c>
      <c r="F2365" t="s">
        <v>1000</v>
      </c>
      <c r="G2365" t="s">
        <v>515</v>
      </c>
      <c r="H2365" t="s">
        <v>2483</v>
      </c>
      <c r="I2365" t="s">
        <v>471</v>
      </c>
      <c r="J2365">
        <v>125000</v>
      </c>
    </row>
    <row r="2366" spans="1:10">
      <c r="A2366" s="90" t="s">
        <v>216</v>
      </c>
      <c r="B2366" s="87">
        <v>46113</v>
      </c>
      <c r="C2366" t="s">
        <v>3887</v>
      </c>
      <c r="D2366" t="s">
        <v>2110</v>
      </c>
      <c r="E2366" t="s">
        <v>477</v>
      </c>
      <c r="F2366" t="s">
        <v>1000</v>
      </c>
      <c r="G2366" t="s">
        <v>69</v>
      </c>
      <c r="H2366" t="s">
        <v>2483</v>
      </c>
      <c r="I2366" t="s">
        <v>471</v>
      </c>
      <c r="J2366">
        <v>16116.73</v>
      </c>
    </row>
    <row r="2367" spans="1:10">
      <c r="A2367" s="90" t="s">
        <v>216</v>
      </c>
      <c r="B2367" s="87">
        <v>46113</v>
      </c>
      <c r="C2367" t="s">
        <v>2275</v>
      </c>
      <c r="D2367" t="s">
        <v>2110</v>
      </c>
      <c r="E2367" t="s">
        <v>477</v>
      </c>
      <c r="F2367" t="s">
        <v>1259</v>
      </c>
      <c r="G2367" t="s">
        <v>74</v>
      </c>
      <c r="H2367" t="s">
        <v>470</v>
      </c>
      <c r="I2367" t="s">
        <v>471</v>
      </c>
      <c r="J2367">
        <v>15</v>
      </c>
    </row>
    <row r="2368" spans="1:10">
      <c r="A2368" s="90" t="s">
        <v>216</v>
      </c>
      <c r="B2368" s="87">
        <v>46113</v>
      </c>
      <c r="C2368" t="s">
        <v>2275</v>
      </c>
      <c r="D2368" t="s">
        <v>2110</v>
      </c>
      <c r="E2368" t="s">
        <v>477</v>
      </c>
      <c r="F2368" t="s">
        <v>1259</v>
      </c>
      <c r="G2368" t="s">
        <v>74</v>
      </c>
      <c r="H2368" t="s">
        <v>470</v>
      </c>
      <c r="I2368" t="s">
        <v>471</v>
      </c>
      <c r="J2368">
        <v>10</v>
      </c>
    </row>
    <row r="2369" spans="1:10">
      <c r="A2369" s="90" t="s">
        <v>216</v>
      </c>
      <c r="B2369" s="87">
        <v>46113</v>
      </c>
      <c r="C2369" t="s">
        <v>511</v>
      </c>
      <c r="D2369" t="s">
        <v>2110</v>
      </c>
      <c r="E2369" t="s">
        <v>512</v>
      </c>
      <c r="F2369" t="s">
        <v>1259</v>
      </c>
      <c r="G2369" t="s">
        <v>474</v>
      </c>
      <c r="H2369" t="s">
        <v>470</v>
      </c>
      <c r="I2369" t="s">
        <v>475</v>
      </c>
      <c r="J2369">
        <v>203014.36</v>
      </c>
    </row>
    <row r="2370" spans="1:10">
      <c r="A2370" s="90" t="s">
        <v>216</v>
      </c>
      <c r="B2370" s="87">
        <v>46114</v>
      </c>
      <c r="C2370" t="s">
        <v>517</v>
      </c>
      <c r="D2370" t="s">
        <v>2110</v>
      </c>
      <c r="E2370" t="s">
        <v>512</v>
      </c>
      <c r="F2370" t="s">
        <v>1259</v>
      </c>
      <c r="G2370" t="s">
        <v>474</v>
      </c>
      <c r="H2370" t="s">
        <v>470</v>
      </c>
      <c r="I2370" t="s">
        <v>475</v>
      </c>
      <c r="J2370">
        <v>1500000</v>
      </c>
    </row>
    <row r="2371" spans="1:10">
      <c r="A2371" s="90" t="s">
        <v>216</v>
      </c>
      <c r="B2371" s="87">
        <v>46118</v>
      </c>
      <c r="C2371" t="s">
        <v>3888</v>
      </c>
      <c r="D2371" t="s">
        <v>2110</v>
      </c>
      <c r="E2371" t="s">
        <v>3764</v>
      </c>
      <c r="F2371" t="s">
        <v>1213</v>
      </c>
      <c r="G2371" t="s">
        <v>2494</v>
      </c>
      <c r="H2371" t="s">
        <v>470</v>
      </c>
      <c r="I2371" t="s">
        <v>796</v>
      </c>
      <c r="J2371">
        <v>86.13</v>
      </c>
    </row>
    <row r="2372" spans="1:10">
      <c r="A2372" s="90" t="s">
        <v>216</v>
      </c>
      <c r="B2372" s="87">
        <v>46118</v>
      </c>
      <c r="C2372" t="s">
        <v>3889</v>
      </c>
      <c r="D2372" t="s">
        <v>2110</v>
      </c>
      <c r="E2372" t="s">
        <v>3660</v>
      </c>
      <c r="F2372" t="s">
        <v>1211</v>
      </c>
      <c r="G2372" t="s">
        <v>2494</v>
      </c>
      <c r="H2372" t="s">
        <v>470</v>
      </c>
      <c r="I2372" t="s">
        <v>796</v>
      </c>
      <c r="J2372">
        <v>66.069999999999993</v>
      </c>
    </row>
    <row r="2373" spans="1:10">
      <c r="A2373" s="90" t="s">
        <v>216</v>
      </c>
      <c r="B2373" s="87">
        <v>46118</v>
      </c>
      <c r="C2373" t="s">
        <v>3890</v>
      </c>
      <c r="D2373" t="s">
        <v>2110</v>
      </c>
      <c r="E2373" t="s">
        <v>2277</v>
      </c>
      <c r="F2373" t="s">
        <v>3891</v>
      </c>
      <c r="G2373" t="s">
        <v>65</v>
      </c>
      <c r="H2373" t="s">
        <v>2409</v>
      </c>
      <c r="I2373" t="s">
        <v>796</v>
      </c>
      <c r="J2373">
        <v>183</v>
      </c>
    </row>
    <row r="2374" spans="1:10">
      <c r="A2374" s="90" t="s">
        <v>216</v>
      </c>
      <c r="B2374" s="87">
        <v>46118</v>
      </c>
      <c r="C2374" t="s">
        <v>3892</v>
      </c>
      <c r="D2374" t="s">
        <v>2110</v>
      </c>
      <c r="E2374" t="s">
        <v>3764</v>
      </c>
      <c r="F2374" t="s">
        <v>1213</v>
      </c>
      <c r="G2374" t="s">
        <v>2494</v>
      </c>
      <c r="H2374" t="s">
        <v>470</v>
      </c>
      <c r="I2374" t="s">
        <v>796</v>
      </c>
      <c r="J2374">
        <v>1497.95</v>
      </c>
    </row>
    <row r="2375" spans="1:10">
      <c r="A2375" s="90" t="s">
        <v>216</v>
      </c>
      <c r="B2375" s="87">
        <v>46118</v>
      </c>
      <c r="C2375" t="s">
        <v>3893</v>
      </c>
      <c r="D2375" t="s">
        <v>2110</v>
      </c>
      <c r="E2375" t="s">
        <v>3660</v>
      </c>
      <c r="F2375" t="s">
        <v>1211</v>
      </c>
      <c r="G2375" t="s">
        <v>2494</v>
      </c>
      <c r="H2375" t="s">
        <v>470</v>
      </c>
      <c r="I2375" t="s">
        <v>796</v>
      </c>
      <c r="J2375">
        <v>1148.98</v>
      </c>
    </row>
    <row r="2376" spans="1:10">
      <c r="A2376" s="90" t="s">
        <v>216</v>
      </c>
      <c r="B2376" s="87">
        <v>46118</v>
      </c>
      <c r="C2376" t="s">
        <v>3894</v>
      </c>
      <c r="D2376" t="s">
        <v>2110</v>
      </c>
      <c r="E2376" t="s">
        <v>3415</v>
      </c>
      <c r="F2376" t="s">
        <v>1186</v>
      </c>
      <c r="G2376" t="s">
        <v>2494</v>
      </c>
      <c r="H2376" t="s">
        <v>470</v>
      </c>
      <c r="I2376" t="s">
        <v>796</v>
      </c>
      <c r="J2376">
        <v>168.01</v>
      </c>
    </row>
    <row r="2377" spans="1:10">
      <c r="A2377" s="90" t="s">
        <v>216</v>
      </c>
      <c r="B2377" s="87">
        <v>46118</v>
      </c>
      <c r="C2377" t="s">
        <v>3894</v>
      </c>
      <c r="D2377" t="s">
        <v>2110</v>
      </c>
      <c r="E2377" t="s">
        <v>3415</v>
      </c>
      <c r="F2377" t="s">
        <v>1186</v>
      </c>
      <c r="G2377" t="s">
        <v>2494</v>
      </c>
      <c r="H2377" t="s">
        <v>470</v>
      </c>
      <c r="I2377" t="s">
        <v>796</v>
      </c>
      <c r="J2377">
        <v>130.22999999999999</v>
      </c>
    </row>
    <row r="2378" spans="1:10">
      <c r="A2378" s="90" t="s">
        <v>216</v>
      </c>
      <c r="B2378" s="87">
        <v>46118</v>
      </c>
      <c r="C2378" t="s">
        <v>3895</v>
      </c>
      <c r="D2378" t="s">
        <v>2110</v>
      </c>
      <c r="E2378" t="s">
        <v>3415</v>
      </c>
      <c r="F2378" t="s">
        <v>1186</v>
      </c>
      <c r="G2378" t="s">
        <v>2494</v>
      </c>
      <c r="H2378" t="s">
        <v>470</v>
      </c>
      <c r="I2378" t="s">
        <v>796</v>
      </c>
      <c r="J2378">
        <v>2921.88</v>
      </c>
    </row>
    <row r="2379" spans="1:10">
      <c r="A2379" s="90" t="s">
        <v>216</v>
      </c>
      <c r="B2379" s="87">
        <v>46118</v>
      </c>
      <c r="C2379" t="s">
        <v>3895</v>
      </c>
      <c r="D2379" t="s">
        <v>2110</v>
      </c>
      <c r="E2379" t="s">
        <v>3415</v>
      </c>
      <c r="F2379" t="s">
        <v>1186</v>
      </c>
      <c r="G2379" t="s">
        <v>2494</v>
      </c>
      <c r="H2379" t="s">
        <v>470</v>
      </c>
      <c r="I2379" t="s">
        <v>796</v>
      </c>
      <c r="J2379">
        <v>2264.94</v>
      </c>
    </row>
    <row r="2380" spans="1:10">
      <c r="A2380" s="90" t="s">
        <v>216</v>
      </c>
      <c r="B2380" s="87">
        <v>46118</v>
      </c>
      <c r="C2380" t="s">
        <v>3896</v>
      </c>
      <c r="D2380" t="s">
        <v>2110</v>
      </c>
      <c r="E2380" t="s">
        <v>3392</v>
      </c>
      <c r="F2380" t="s">
        <v>1186</v>
      </c>
      <c r="G2380" t="s">
        <v>2494</v>
      </c>
      <c r="H2380" t="s">
        <v>470</v>
      </c>
      <c r="I2380" t="s">
        <v>796</v>
      </c>
      <c r="J2380">
        <v>924.04</v>
      </c>
    </row>
    <row r="2381" spans="1:10">
      <c r="A2381" s="90" t="s">
        <v>216</v>
      </c>
      <c r="B2381" s="87">
        <v>46118</v>
      </c>
      <c r="C2381" t="s">
        <v>3896</v>
      </c>
      <c r="D2381" t="s">
        <v>2110</v>
      </c>
      <c r="E2381" t="s">
        <v>3392</v>
      </c>
      <c r="F2381" t="s">
        <v>1186</v>
      </c>
      <c r="G2381" t="s">
        <v>2494</v>
      </c>
      <c r="H2381" t="s">
        <v>470</v>
      </c>
      <c r="I2381" t="s">
        <v>796</v>
      </c>
      <c r="J2381">
        <v>127.7</v>
      </c>
    </row>
    <row r="2382" spans="1:10">
      <c r="A2382" s="90" t="s">
        <v>216</v>
      </c>
      <c r="B2382" s="87">
        <v>46118</v>
      </c>
      <c r="C2382" t="s">
        <v>3897</v>
      </c>
      <c r="D2382" t="s">
        <v>2110</v>
      </c>
      <c r="E2382" t="s">
        <v>3392</v>
      </c>
      <c r="F2382" t="s">
        <v>1186</v>
      </c>
      <c r="G2382" t="s">
        <v>2494</v>
      </c>
      <c r="H2382" t="s">
        <v>470</v>
      </c>
      <c r="I2382" t="s">
        <v>796</v>
      </c>
      <c r="J2382">
        <v>16070.34</v>
      </c>
    </row>
    <row r="2383" spans="1:10">
      <c r="A2383" s="90" t="s">
        <v>216</v>
      </c>
      <c r="B2383" s="87">
        <v>46118</v>
      </c>
      <c r="C2383" t="s">
        <v>3897</v>
      </c>
      <c r="D2383" t="s">
        <v>2110</v>
      </c>
      <c r="E2383" t="s">
        <v>3392</v>
      </c>
      <c r="F2383" t="s">
        <v>1186</v>
      </c>
      <c r="G2383" t="s">
        <v>2494</v>
      </c>
      <c r="H2383" t="s">
        <v>470</v>
      </c>
      <c r="I2383" t="s">
        <v>796</v>
      </c>
      <c r="J2383">
        <v>2220.8200000000002</v>
      </c>
    </row>
    <row r="2384" spans="1:10">
      <c r="A2384" s="90" t="s">
        <v>216</v>
      </c>
      <c r="B2384" s="87">
        <v>46118</v>
      </c>
      <c r="C2384" t="s">
        <v>2275</v>
      </c>
      <c r="D2384" t="s">
        <v>2110</v>
      </c>
      <c r="E2384" t="s">
        <v>477</v>
      </c>
      <c r="F2384" t="s">
        <v>1259</v>
      </c>
      <c r="G2384" t="s">
        <v>74</v>
      </c>
      <c r="H2384" t="s">
        <v>470</v>
      </c>
      <c r="I2384" t="s">
        <v>471</v>
      </c>
      <c r="J2384">
        <v>5</v>
      </c>
    </row>
    <row r="2385" spans="1:10">
      <c r="A2385" s="90" t="s">
        <v>216</v>
      </c>
      <c r="B2385" s="87">
        <v>46118</v>
      </c>
      <c r="C2385" t="s">
        <v>517</v>
      </c>
      <c r="D2385" t="s">
        <v>2110</v>
      </c>
      <c r="E2385" t="s">
        <v>512</v>
      </c>
      <c r="F2385" t="s">
        <v>1259</v>
      </c>
      <c r="G2385" t="s">
        <v>474</v>
      </c>
      <c r="H2385" t="s">
        <v>470</v>
      </c>
      <c r="I2385" t="s">
        <v>475</v>
      </c>
      <c r="J2385">
        <v>49258.41</v>
      </c>
    </row>
    <row r="2386" spans="1:10">
      <c r="A2386" s="90" t="s">
        <v>216</v>
      </c>
      <c r="B2386" s="87">
        <v>46118</v>
      </c>
      <c r="C2386" t="s">
        <v>2275</v>
      </c>
      <c r="D2386" t="s">
        <v>2110</v>
      </c>
      <c r="E2386" t="s">
        <v>2393</v>
      </c>
      <c r="F2386" t="s">
        <v>1259</v>
      </c>
      <c r="G2386" t="s">
        <v>74</v>
      </c>
      <c r="H2386" t="s">
        <v>470</v>
      </c>
      <c r="I2386" t="s">
        <v>471</v>
      </c>
      <c r="J2386">
        <v>40</v>
      </c>
    </row>
    <row r="2387" spans="1:10">
      <c r="A2387" s="90" t="s">
        <v>216</v>
      </c>
      <c r="B2387" s="87">
        <v>46119</v>
      </c>
      <c r="C2387" t="s">
        <v>517</v>
      </c>
      <c r="D2387" t="s">
        <v>2110</v>
      </c>
      <c r="E2387" t="s">
        <v>512</v>
      </c>
      <c r="F2387" t="s">
        <v>1259</v>
      </c>
      <c r="G2387" t="s">
        <v>474</v>
      </c>
      <c r="H2387" t="s">
        <v>470</v>
      </c>
      <c r="I2387" t="s">
        <v>475</v>
      </c>
      <c r="J2387">
        <v>77298.78</v>
      </c>
    </row>
    <row r="2388" spans="1:10">
      <c r="A2388" s="90" t="s">
        <v>216</v>
      </c>
      <c r="B2388" s="87">
        <v>46120</v>
      </c>
      <c r="C2388" t="s">
        <v>3898</v>
      </c>
      <c r="D2388" t="s">
        <v>2110</v>
      </c>
      <c r="E2388" t="s">
        <v>3899</v>
      </c>
      <c r="F2388" t="s">
        <v>3900</v>
      </c>
      <c r="G2388" t="s">
        <v>486</v>
      </c>
      <c r="H2388" t="s">
        <v>470</v>
      </c>
      <c r="I2388" t="s">
        <v>487</v>
      </c>
      <c r="J2388">
        <v>13000</v>
      </c>
    </row>
    <row r="2389" spans="1:10">
      <c r="A2389" s="90" t="s">
        <v>216</v>
      </c>
      <c r="B2389" s="87">
        <v>46120</v>
      </c>
      <c r="C2389" t="s">
        <v>2275</v>
      </c>
      <c r="D2389" t="s">
        <v>2110</v>
      </c>
      <c r="E2389" t="s">
        <v>477</v>
      </c>
      <c r="F2389" t="s">
        <v>1259</v>
      </c>
      <c r="G2389" t="s">
        <v>74</v>
      </c>
      <c r="H2389" t="s">
        <v>470</v>
      </c>
      <c r="I2389" t="s">
        <v>471</v>
      </c>
      <c r="J2389">
        <v>10</v>
      </c>
    </row>
    <row r="2390" spans="1:10">
      <c r="A2390" s="90" t="s">
        <v>216</v>
      </c>
      <c r="B2390" s="87">
        <v>46120</v>
      </c>
      <c r="C2390" t="s">
        <v>511</v>
      </c>
      <c r="D2390" t="s">
        <v>2110</v>
      </c>
      <c r="E2390" t="s">
        <v>512</v>
      </c>
      <c r="F2390" t="s">
        <v>1259</v>
      </c>
      <c r="G2390" t="s">
        <v>474</v>
      </c>
      <c r="H2390" t="s">
        <v>470</v>
      </c>
      <c r="I2390" t="s">
        <v>475</v>
      </c>
      <c r="J2390">
        <v>13010</v>
      </c>
    </row>
    <row r="2391" spans="1:10">
      <c r="A2391" s="90" t="s">
        <v>216</v>
      </c>
      <c r="B2391" s="87">
        <v>46121</v>
      </c>
      <c r="C2391" t="s">
        <v>2876</v>
      </c>
      <c r="D2391" t="s">
        <v>2110</v>
      </c>
      <c r="E2391" t="s">
        <v>1756</v>
      </c>
      <c r="F2391" t="s">
        <v>1186</v>
      </c>
      <c r="G2391" t="s">
        <v>67</v>
      </c>
      <c r="H2391" t="s">
        <v>470</v>
      </c>
      <c r="I2391" t="s">
        <v>796</v>
      </c>
      <c r="J2391">
        <v>507.79</v>
      </c>
    </row>
    <row r="2392" spans="1:10">
      <c r="A2392" s="90" t="s">
        <v>216</v>
      </c>
      <c r="B2392" s="87">
        <v>46121</v>
      </c>
      <c r="C2392" t="s">
        <v>511</v>
      </c>
      <c r="D2392" t="s">
        <v>2110</v>
      </c>
      <c r="E2392" t="s">
        <v>512</v>
      </c>
      <c r="F2392" t="s">
        <v>1259</v>
      </c>
      <c r="G2392" t="s">
        <v>474</v>
      </c>
      <c r="H2392" t="s">
        <v>470</v>
      </c>
      <c r="I2392" t="s">
        <v>475</v>
      </c>
      <c r="J2392">
        <v>507.79</v>
      </c>
    </row>
    <row r="2393" spans="1:10">
      <c r="A2393" s="90" t="s">
        <v>216</v>
      </c>
      <c r="B2393" s="87">
        <v>46122</v>
      </c>
      <c r="C2393" t="s">
        <v>3901</v>
      </c>
      <c r="D2393" t="s">
        <v>2110</v>
      </c>
      <c r="E2393" t="s">
        <v>2702</v>
      </c>
      <c r="F2393" t="s">
        <v>3902</v>
      </c>
      <c r="G2393" t="s">
        <v>63</v>
      </c>
      <c r="H2393" t="s">
        <v>2483</v>
      </c>
      <c r="I2393" t="s">
        <v>796</v>
      </c>
      <c r="J2393">
        <v>896.95</v>
      </c>
    </row>
    <row r="2394" spans="1:10">
      <c r="A2394" s="90" t="s">
        <v>216</v>
      </c>
      <c r="B2394" s="87">
        <v>46122</v>
      </c>
      <c r="C2394" t="s">
        <v>3016</v>
      </c>
      <c r="D2394" t="s">
        <v>2110</v>
      </c>
      <c r="E2394" t="s">
        <v>2900</v>
      </c>
      <c r="F2394" t="s">
        <v>1259</v>
      </c>
      <c r="G2394" t="s">
        <v>302</v>
      </c>
      <c r="H2394" t="s">
        <v>3903</v>
      </c>
      <c r="I2394" t="s">
        <v>796</v>
      </c>
      <c r="J2394">
        <v>2500</v>
      </c>
    </row>
    <row r="2395" spans="1:10">
      <c r="A2395" s="90" t="s">
        <v>216</v>
      </c>
      <c r="B2395" s="87">
        <v>46122</v>
      </c>
      <c r="C2395" t="s">
        <v>3672</v>
      </c>
      <c r="D2395" t="s">
        <v>2110</v>
      </c>
      <c r="E2395" t="s">
        <v>477</v>
      </c>
      <c r="F2395" t="s">
        <v>514</v>
      </c>
      <c r="G2395" t="s">
        <v>515</v>
      </c>
      <c r="H2395" t="s">
        <v>3904</v>
      </c>
      <c r="I2395" t="s">
        <v>471</v>
      </c>
      <c r="J2395">
        <v>43571.43</v>
      </c>
    </row>
    <row r="2396" spans="1:10">
      <c r="A2396" s="90" t="s">
        <v>216</v>
      </c>
      <c r="B2396" s="87">
        <v>46122</v>
      </c>
      <c r="C2396" t="s">
        <v>3672</v>
      </c>
      <c r="D2396" t="s">
        <v>2110</v>
      </c>
      <c r="E2396" t="s">
        <v>477</v>
      </c>
      <c r="F2396" t="s">
        <v>514</v>
      </c>
      <c r="G2396" t="s">
        <v>69</v>
      </c>
      <c r="H2396" t="s">
        <v>3904</v>
      </c>
      <c r="I2396" t="s">
        <v>471</v>
      </c>
      <c r="J2396">
        <v>29391.54</v>
      </c>
    </row>
    <row r="2397" spans="1:10">
      <c r="A2397" s="90" t="s">
        <v>216</v>
      </c>
      <c r="B2397" s="87">
        <v>46122</v>
      </c>
      <c r="C2397" t="s">
        <v>2275</v>
      </c>
      <c r="D2397" t="s">
        <v>2110</v>
      </c>
      <c r="E2397" t="s">
        <v>477</v>
      </c>
      <c r="F2397" t="s">
        <v>1259</v>
      </c>
      <c r="G2397" t="s">
        <v>74</v>
      </c>
      <c r="H2397" t="s">
        <v>470</v>
      </c>
      <c r="I2397" t="s">
        <v>471</v>
      </c>
      <c r="J2397">
        <v>95</v>
      </c>
    </row>
    <row r="2398" spans="1:10">
      <c r="A2398" s="90" t="s">
        <v>216</v>
      </c>
      <c r="B2398" s="87">
        <v>46122</v>
      </c>
      <c r="C2398" t="s">
        <v>2295</v>
      </c>
      <c r="D2398" t="s">
        <v>2110</v>
      </c>
      <c r="E2398" t="s">
        <v>477</v>
      </c>
      <c r="F2398" t="s">
        <v>1259</v>
      </c>
      <c r="G2398" t="s">
        <v>2295</v>
      </c>
      <c r="H2398" t="s">
        <v>470</v>
      </c>
      <c r="I2398" t="s">
        <v>471</v>
      </c>
      <c r="J2398">
        <v>2608.39</v>
      </c>
    </row>
    <row r="2399" spans="1:10">
      <c r="A2399" s="90" t="s">
        <v>216</v>
      </c>
      <c r="B2399" s="87">
        <v>46122</v>
      </c>
      <c r="C2399" t="s">
        <v>511</v>
      </c>
      <c r="D2399" t="s">
        <v>2110</v>
      </c>
      <c r="E2399" t="s">
        <v>512</v>
      </c>
      <c r="F2399" t="s">
        <v>1259</v>
      </c>
      <c r="G2399" t="s">
        <v>474</v>
      </c>
      <c r="H2399" t="s">
        <v>470</v>
      </c>
      <c r="I2399" t="s">
        <v>475</v>
      </c>
      <c r="J2399">
        <v>79063.31</v>
      </c>
    </row>
    <row r="2400" spans="1:10">
      <c r="A2400" s="90" t="s">
        <v>216</v>
      </c>
      <c r="B2400" s="87">
        <v>46125</v>
      </c>
      <c r="C2400" t="s">
        <v>2489</v>
      </c>
      <c r="D2400" t="s">
        <v>2110</v>
      </c>
      <c r="E2400" t="s">
        <v>2372</v>
      </c>
      <c r="F2400" t="s">
        <v>1259</v>
      </c>
      <c r="G2400" t="s">
        <v>219</v>
      </c>
      <c r="H2400" t="s">
        <v>3905</v>
      </c>
      <c r="I2400" t="s">
        <v>796</v>
      </c>
      <c r="J2400">
        <v>1360</v>
      </c>
    </row>
    <row r="2401" spans="1:10">
      <c r="A2401" s="90" t="s">
        <v>216</v>
      </c>
      <c r="B2401" s="87">
        <v>46125</v>
      </c>
      <c r="C2401" t="s">
        <v>3906</v>
      </c>
      <c r="D2401" t="s">
        <v>2110</v>
      </c>
      <c r="E2401" t="s">
        <v>3907</v>
      </c>
      <c r="F2401" t="s">
        <v>3908</v>
      </c>
      <c r="G2401" t="s">
        <v>219</v>
      </c>
      <c r="H2401" t="s">
        <v>470</v>
      </c>
      <c r="I2401" t="s">
        <v>796</v>
      </c>
      <c r="J2401">
        <v>11.04</v>
      </c>
    </row>
    <row r="2402" spans="1:10">
      <c r="A2402" s="90" t="s">
        <v>216</v>
      </c>
      <c r="B2402" s="87">
        <v>46125</v>
      </c>
      <c r="C2402" t="s">
        <v>3906</v>
      </c>
      <c r="D2402" t="s">
        <v>2110</v>
      </c>
      <c r="E2402" t="s">
        <v>3907</v>
      </c>
      <c r="F2402" t="s">
        <v>3908</v>
      </c>
      <c r="G2402" t="s">
        <v>78</v>
      </c>
      <c r="H2402" t="s">
        <v>470</v>
      </c>
      <c r="I2402" t="s">
        <v>796</v>
      </c>
      <c r="J2402">
        <v>0.31</v>
      </c>
    </row>
    <row r="2403" spans="1:10">
      <c r="A2403" s="90" t="s">
        <v>216</v>
      </c>
      <c r="B2403" s="87">
        <v>46125</v>
      </c>
      <c r="C2403" t="s">
        <v>3909</v>
      </c>
      <c r="D2403" t="s">
        <v>2110</v>
      </c>
      <c r="E2403" t="s">
        <v>3907</v>
      </c>
      <c r="F2403" t="s">
        <v>3910</v>
      </c>
      <c r="G2403" t="s">
        <v>72</v>
      </c>
      <c r="H2403" t="s">
        <v>470</v>
      </c>
      <c r="I2403" t="s">
        <v>487</v>
      </c>
      <c r="J2403">
        <v>500</v>
      </c>
    </row>
    <row r="2404" spans="1:10">
      <c r="A2404" s="90" t="s">
        <v>216</v>
      </c>
      <c r="B2404" s="87">
        <v>46125</v>
      </c>
      <c r="C2404" t="s">
        <v>3909</v>
      </c>
      <c r="D2404" t="s">
        <v>2110</v>
      </c>
      <c r="E2404" t="s">
        <v>3907</v>
      </c>
      <c r="F2404" t="s">
        <v>3910</v>
      </c>
      <c r="G2404" t="s">
        <v>74</v>
      </c>
      <c r="H2404" t="s">
        <v>470</v>
      </c>
      <c r="I2404" t="s">
        <v>487</v>
      </c>
      <c r="J2404">
        <v>2.5</v>
      </c>
    </row>
    <row r="2405" spans="1:10">
      <c r="A2405" s="90" t="s">
        <v>216</v>
      </c>
      <c r="B2405" s="87">
        <v>46125</v>
      </c>
      <c r="C2405" t="s">
        <v>511</v>
      </c>
      <c r="D2405" t="s">
        <v>2110</v>
      </c>
      <c r="E2405" t="s">
        <v>512</v>
      </c>
      <c r="F2405" t="s">
        <v>1259</v>
      </c>
      <c r="G2405" t="s">
        <v>474</v>
      </c>
      <c r="H2405" t="s">
        <v>470</v>
      </c>
      <c r="I2405" t="s">
        <v>475</v>
      </c>
      <c r="J2405">
        <v>1873.85</v>
      </c>
    </row>
    <row r="2406" spans="1:10">
      <c r="A2406" s="90" t="s">
        <v>216</v>
      </c>
      <c r="B2406" s="87">
        <v>46126</v>
      </c>
      <c r="C2406" t="s">
        <v>3911</v>
      </c>
      <c r="D2406" t="s">
        <v>2110</v>
      </c>
      <c r="E2406" t="s">
        <v>2564</v>
      </c>
      <c r="F2406" t="s">
        <v>3912</v>
      </c>
      <c r="G2406" t="s">
        <v>2115</v>
      </c>
      <c r="H2406" t="s">
        <v>470</v>
      </c>
      <c r="I2406" t="s">
        <v>796</v>
      </c>
      <c r="J2406">
        <v>46.46</v>
      </c>
    </row>
    <row r="2407" spans="1:10">
      <c r="A2407" s="90" t="s">
        <v>216</v>
      </c>
      <c r="B2407" s="87">
        <v>46126</v>
      </c>
      <c r="C2407" t="s">
        <v>3911</v>
      </c>
      <c r="D2407" t="s">
        <v>2110</v>
      </c>
      <c r="E2407" t="s">
        <v>2564</v>
      </c>
      <c r="F2407" t="s">
        <v>3912</v>
      </c>
      <c r="G2407" t="s">
        <v>2115</v>
      </c>
      <c r="H2407" t="s">
        <v>470</v>
      </c>
      <c r="I2407" t="s">
        <v>796</v>
      </c>
      <c r="J2407">
        <v>72.209999999999994</v>
      </c>
    </row>
    <row r="2408" spans="1:10">
      <c r="A2408" s="90" t="s">
        <v>216</v>
      </c>
      <c r="B2408" s="87">
        <v>46126</v>
      </c>
      <c r="C2408" t="s">
        <v>3913</v>
      </c>
      <c r="D2408" t="s">
        <v>2110</v>
      </c>
      <c r="E2408" t="s">
        <v>3914</v>
      </c>
      <c r="F2408" t="s">
        <v>3915</v>
      </c>
      <c r="G2408" t="s">
        <v>232</v>
      </c>
      <c r="H2408" t="s">
        <v>470</v>
      </c>
      <c r="I2408" t="s">
        <v>487</v>
      </c>
      <c r="J2408">
        <v>460</v>
      </c>
    </row>
    <row r="2409" spans="1:10">
      <c r="A2409" s="90" t="s">
        <v>216</v>
      </c>
      <c r="B2409" s="87">
        <v>46126</v>
      </c>
      <c r="C2409" t="s">
        <v>563</v>
      </c>
      <c r="D2409" t="s">
        <v>2110</v>
      </c>
      <c r="E2409" t="s">
        <v>512</v>
      </c>
      <c r="F2409" t="s">
        <v>1259</v>
      </c>
      <c r="G2409" t="s">
        <v>474</v>
      </c>
      <c r="H2409" t="s">
        <v>470</v>
      </c>
      <c r="I2409" t="s">
        <v>475</v>
      </c>
      <c r="J2409">
        <v>578.66999999999996</v>
      </c>
    </row>
    <row r="2410" spans="1:10">
      <c r="A2410" s="90" t="s">
        <v>216</v>
      </c>
      <c r="B2410" s="87">
        <v>46129</v>
      </c>
      <c r="C2410" t="s">
        <v>3916</v>
      </c>
      <c r="D2410" t="s">
        <v>2110</v>
      </c>
      <c r="E2410" t="s">
        <v>2277</v>
      </c>
      <c r="F2410" t="s">
        <v>2305</v>
      </c>
      <c r="G2410" t="s">
        <v>226</v>
      </c>
      <c r="H2410" t="s">
        <v>2409</v>
      </c>
      <c r="I2410" t="s">
        <v>796</v>
      </c>
      <c r="J2410">
        <v>149.24</v>
      </c>
    </row>
    <row r="2411" spans="1:10">
      <c r="A2411" s="90" t="s">
        <v>216</v>
      </c>
      <c r="B2411" s="87">
        <v>46129</v>
      </c>
      <c r="C2411" t="s">
        <v>511</v>
      </c>
      <c r="D2411" t="s">
        <v>2110</v>
      </c>
      <c r="E2411" t="s">
        <v>512</v>
      </c>
      <c r="F2411" t="s">
        <v>1259</v>
      </c>
      <c r="G2411" t="s">
        <v>474</v>
      </c>
      <c r="H2411" t="s">
        <v>470</v>
      </c>
      <c r="I2411" t="s">
        <v>475</v>
      </c>
      <c r="J2411">
        <v>149.24</v>
      </c>
    </row>
    <row r="2412" spans="1:10">
      <c r="A2412" s="90" t="s">
        <v>216</v>
      </c>
      <c r="B2412" s="87">
        <v>46132</v>
      </c>
      <c r="C2412" t="s">
        <v>3917</v>
      </c>
      <c r="D2412" t="s">
        <v>2110</v>
      </c>
      <c r="E2412" t="s">
        <v>3415</v>
      </c>
      <c r="F2412" t="s">
        <v>443</v>
      </c>
      <c r="G2412" t="s">
        <v>2381</v>
      </c>
      <c r="H2412" t="s">
        <v>470</v>
      </c>
      <c r="I2412" t="s">
        <v>796</v>
      </c>
      <c r="J2412">
        <v>152.4</v>
      </c>
    </row>
    <row r="2413" spans="1:10">
      <c r="A2413" s="90" t="s">
        <v>216</v>
      </c>
      <c r="B2413" s="87">
        <v>46132</v>
      </c>
      <c r="C2413" t="s">
        <v>3917</v>
      </c>
      <c r="D2413" t="s">
        <v>2110</v>
      </c>
      <c r="E2413" t="s">
        <v>3415</v>
      </c>
      <c r="F2413" t="s">
        <v>443</v>
      </c>
      <c r="G2413" t="s">
        <v>2381</v>
      </c>
      <c r="H2413" t="s">
        <v>470</v>
      </c>
      <c r="I2413" t="s">
        <v>796</v>
      </c>
      <c r="J2413">
        <v>166.52</v>
      </c>
    </row>
    <row r="2414" spans="1:10">
      <c r="A2414" s="90" t="s">
        <v>216</v>
      </c>
      <c r="B2414" s="87">
        <v>46132</v>
      </c>
      <c r="C2414" t="s">
        <v>3918</v>
      </c>
      <c r="D2414" t="s">
        <v>2110</v>
      </c>
      <c r="E2414" t="s">
        <v>3392</v>
      </c>
      <c r="F2414" t="s">
        <v>439</v>
      </c>
      <c r="G2414" t="s">
        <v>2381</v>
      </c>
      <c r="H2414" t="s">
        <v>470</v>
      </c>
      <c r="I2414" t="s">
        <v>796</v>
      </c>
      <c r="J2414">
        <v>149.30000000000001</v>
      </c>
    </row>
    <row r="2415" spans="1:10">
      <c r="A2415" s="90" t="s">
        <v>216</v>
      </c>
      <c r="B2415" s="87">
        <v>46132</v>
      </c>
      <c r="C2415" t="s">
        <v>3918</v>
      </c>
      <c r="D2415" t="s">
        <v>2110</v>
      </c>
      <c r="E2415" t="s">
        <v>3392</v>
      </c>
      <c r="F2415" t="s">
        <v>439</v>
      </c>
      <c r="G2415" t="s">
        <v>2381</v>
      </c>
      <c r="H2415" t="s">
        <v>470</v>
      </c>
      <c r="I2415" t="s">
        <v>796</v>
      </c>
      <c r="J2415">
        <v>915.88</v>
      </c>
    </row>
    <row r="2416" spans="1:10">
      <c r="A2416" s="90" t="s">
        <v>216</v>
      </c>
      <c r="B2416" s="87">
        <v>46132</v>
      </c>
      <c r="C2416" t="s">
        <v>3919</v>
      </c>
      <c r="D2416" t="s">
        <v>2110</v>
      </c>
      <c r="E2416" t="s">
        <v>3764</v>
      </c>
      <c r="F2416" t="s">
        <v>1213</v>
      </c>
      <c r="G2416" t="s">
        <v>2381</v>
      </c>
      <c r="H2416" t="s">
        <v>470</v>
      </c>
      <c r="I2416" t="s">
        <v>796</v>
      </c>
      <c r="J2416">
        <v>92.28</v>
      </c>
    </row>
    <row r="2417" spans="1:10">
      <c r="A2417" s="90" t="s">
        <v>216</v>
      </c>
      <c r="B2417" s="87">
        <v>46132</v>
      </c>
      <c r="C2417" t="s">
        <v>3920</v>
      </c>
      <c r="D2417" t="s">
        <v>2110</v>
      </c>
      <c r="E2417" t="s">
        <v>3660</v>
      </c>
      <c r="F2417" t="s">
        <v>1211</v>
      </c>
      <c r="G2417" t="s">
        <v>2381</v>
      </c>
      <c r="H2417" t="s">
        <v>470</v>
      </c>
      <c r="I2417" t="s">
        <v>796</v>
      </c>
      <c r="J2417">
        <v>78.650000000000006</v>
      </c>
    </row>
    <row r="2418" spans="1:10">
      <c r="A2418" s="90" t="s">
        <v>216</v>
      </c>
      <c r="B2418" s="87">
        <v>46132</v>
      </c>
      <c r="C2418" t="s">
        <v>3921</v>
      </c>
      <c r="D2418" t="s">
        <v>2110</v>
      </c>
      <c r="E2418" t="s">
        <v>2318</v>
      </c>
      <c r="F2418" t="s">
        <v>1186</v>
      </c>
      <c r="G2418" t="s">
        <v>64</v>
      </c>
      <c r="H2418" t="s">
        <v>2409</v>
      </c>
      <c r="I2418" t="s">
        <v>796</v>
      </c>
      <c r="J2418">
        <v>806</v>
      </c>
    </row>
    <row r="2419" spans="1:10">
      <c r="A2419" s="90" t="s">
        <v>216</v>
      </c>
      <c r="B2419" s="87">
        <v>46132</v>
      </c>
      <c r="C2419" t="s">
        <v>3922</v>
      </c>
      <c r="D2419" t="s">
        <v>2110</v>
      </c>
      <c r="E2419" t="s">
        <v>3547</v>
      </c>
      <c r="F2419" t="s">
        <v>400</v>
      </c>
      <c r="G2419" t="s">
        <v>2381</v>
      </c>
      <c r="H2419" t="s">
        <v>470</v>
      </c>
      <c r="I2419" t="s">
        <v>796</v>
      </c>
      <c r="J2419">
        <v>54.16</v>
      </c>
    </row>
    <row r="2420" spans="1:10">
      <c r="A2420" s="90" t="s">
        <v>216</v>
      </c>
      <c r="B2420" s="87">
        <v>46132</v>
      </c>
      <c r="C2420" t="s">
        <v>3843</v>
      </c>
      <c r="D2420" t="s">
        <v>2110</v>
      </c>
      <c r="E2420" t="s">
        <v>2318</v>
      </c>
      <c r="F2420" t="s">
        <v>1186</v>
      </c>
      <c r="G2420" t="s">
        <v>64</v>
      </c>
      <c r="H2420" t="s">
        <v>2409</v>
      </c>
      <c r="I2420" t="s">
        <v>796</v>
      </c>
      <c r="J2420">
        <v>157.28</v>
      </c>
    </row>
    <row r="2421" spans="1:10">
      <c r="A2421" s="90" t="s">
        <v>216</v>
      </c>
      <c r="B2421" s="87">
        <v>46132</v>
      </c>
      <c r="C2421" t="s">
        <v>3923</v>
      </c>
      <c r="D2421" t="s">
        <v>2110</v>
      </c>
      <c r="E2421" t="s">
        <v>3778</v>
      </c>
      <c r="F2421" t="s">
        <v>1186</v>
      </c>
      <c r="G2421" t="s">
        <v>463</v>
      </c>
      <c r="H2421" t="s">
        <v>470</v>
      </c>
      <c r="I2421" t="s">
        <v>796</v>
      </c>
      <c r="J2421">
        <v>53.33</v>
      </c>
    </row>
    <row r="2422" spans="1:10">
      <c r="A2422" s="90" t="s">
        <v>216</v>
      </c>
      <c r="B2422" s="87">
        <v>46132</v>
      </c>
      <c r="C2422" t="s">
        <v>511</v>
      </c>
      <c r="D2422" t="s">
        <v>2110</v>
      </c>
      <c r="E2422" t="s">
        <v>512</v>
      </c>
      <c r="F2422" t="s">
        <v>1259</v>
      </c>
      <c r="G2422" t="s">
        <v>474</v>
      </c>
      <c r="H2422" t="s">
        <v>470</v>
      </c>
      <c r="I2422" t="s">
        <v>475</v>
      </c>
      <c r="J2422">
        <v>2625.8</v>
      </c>
    </row>
    <row r="2423" spans="1:10">
      <c r="A2423" s="90" t="s">
        <v>216</v>
      </c>
      <c r="B2423" s="87">
        <v>46134</v>
      </c>
      <c r="C2423" t="s">
        <v>3924</v>
      </c>
      <c r="D2423" t="s">
        <v>2110</v>
      </c>
      <c r="E2423" t="s">
        <v>2316</v>
      </c>
      <c r="F2423" t="s">
        <v>1259</v>
      </c>
      <c r="G2423" t="s">
        <v>217</v>
      </c>
      <c r="H2423" t="s">
        <v>2483</v>
      </c>
      <c r="I2423" t="s">
        <v>796</v>
      </c>
      <c r="J2423">
        <v>202.3</v>
      </c>
    </row>
    <row r="2424" spans="1:10">
      <c r="A2424" s="90" t="s">
        <v>216</v>
      </c>
      <c r="B2424" s="87">
        <v>46134</v>
      </c>
      <c r="C2424" t="s">
        <v>978</v>
      </c>
      <c r="D2424" t="s">
        <v>2110</v>
      </c>
      <c r="E2424" t="s">
        <v>977</v>
      </c>
      <c r="F2424" t="s">
        <v>304</v>
      </c>
      <c r="G2424" t="s">
        <v>192</v>
      </c>
      <c r="H2424" t="s">
        <v>470</v>
      </c>
      <c r="I2424" t="s">
        <v>482</v>
      </c>
      <c r="J2424">
        <v>6524.36</v>
      </c>
    </row>
    <row r="2425" spans="1:10">
      <c r="A2425" s="90" t="s">
        <v>216</v>
      </c>
      <c r="B2425" s="87">
        <v>46134</v>
      </c>
      <c r="C2425" t="s">
        <v>3925</v>
      </c>
      <c r="D2425" t="s">
        <v>2110</v>
      </c>
      <c r="E2425" t="s">
        <v>2300</v>
      </c>
      <c r="F2425" t="s">
        <v>439</v>
      </c>
      <c r="G2425" t="s">
        <v>70</v>
      </c>
      <c r="H2425" t="s">
        <v>470</v>
      </c>
      <c r="I2425" t="s">
        <v>796</v>
      </c>
      <c r="J2425">
        <v>30830.29</v>
      </c>
    </row>
    <row r="2426" spans="1:10">
      <c r="A2426" s="90" t="s">
        <v>216</v>
      </c>
      <c r="B2426" s="87">
        <v>46134</v>
      </c>
      <c r="C2426" t="s">
        <v>517</v>
      </c>
      <c r="D2426" t="s">
        <v>2110</v>
      </c>
      <c r="E2426" t="s">
        <v>512</v>
      </c>
      <c r="F2426" t="s">
        <v>1259</v>
      </c>
      <c r="G2426" t="s">
        <v>474</v>
      </c>
      <c r="H2426" t="s">
        <v>470</v>
      </c>
      <c r="I2426" t="s">
        <v>475</v>
      </c>
      <c r="J2426">
        <v>111516.1</v>
      </c>
    </row>
    <row r="2427" spans="1:10">
      <c r="A2427" s="90" t="s">
        <v>216</v>
      </c>
      <c r="B2427" s="87">
        <v>46135</v>
      </c>
      <c r="C2427" t="s">
        <v>3926</v>
      </c>
      <c r="D2427" t="s">
        <v>2110</v>
      </c>
      <c r="E2427" t="s">
        <v>3927</v>
      </c>
      <c r="F2427" t="s">
        <v>3928</v>
      </c>
      <c r="G2427" t="s">
        <v>2112</v>
      </c>
      <c r="H2427" t="s">
        <v>470</v>
      </c>
      <c r="I2427" t="s">
        <v>475</v>
      </c>
      <c r="J2427">
        <v>120867.7</v>
      </c>
    </row>
    <row r="2428" spans="1:10">
      <c r="A2428" s="90" t="s">
        <v>216</v>
      </c>
      <c r="B2428" s="87">
        <v>46135</v>
      </c>
      <c r="C2428" t="s">
        <v>3929</v>
      </c>
      <c r="D2428" t="s">
        <v>2110</v>
      </c>
      <c r="E2428" t="s">
        <v>2316</v>
      </c>
      <c r="F2428" t="s">
        <v>1259</v>
      </c>
      <c r="G2428" t="s">
        <v>217</v>
      </c>
      <c r="H2428" t="s">
        <v>2483</v>
      </c>
      <c r="I2428" t="s">
        <v>796</v>
      </c>
      <c r="J2428">
        <v>112.4</v>
      </c>
    </row>
    <row r="2429" spans="1:10">
      <c r="A2429" s="90" t="s">
        <v>216</v>
      </c>
      <c r="B2429" s="87">
        <v>46135</v>
      </c>
      <c r="C2429" t="s">
        <v>3930</v>
      </c>
      <c r="D2429" t="s">
        <v>2110</v>
      </c>
      <c r="E2429" t="s">
        <v>1285</v>
      </c>
      <c r="F2429" t="s">
        <v>3931</v>
      </c>
      <c r="G2429" t="s">
        <v>2112</v>
      </c>
      <c r="H2429" t="s">
        <v>470</v>
      </c>
      <c r="I2429" t="s">
        <v>487</v>
      </c>
      <c r="J2429">
        <v>66000</v>
      </c>
    </row>
    <row r="2430" spans="1:10">
      <c r="A2430" s="90" t="s">
        <v>216</v>
      </c>
      <c r="B2430" s="87">
        <v>46135</v>
      </c>
      <c r="C2430" t="s">
        <v>3930</v>
      </c>
      <c r="D2430" t="s">
        <v>2110</v>
      </c>
      <c r="E2430" t="s">
        <v>1285</v>
      </c>
      <c r="F2430" t="s">
        <v>3931</v>
      </c>
      <c r="G2430" t="s">
        <v>2112</v>
      </c>
      <c r="H2430" t="s">
        <v>470</v>
      </c>
      <c r="I2430" t="s">
        <v>487</v>
      </c>
      <c r="J2430">
        <v>600</v>
      </c>
    </row>
    <row r="2431" spans="1:10">
      <c r="A2431" s="90" t="s">
        <v>216</v>
      </c>
      <c r="B2431" s="87">
        <v>46135</v>
      </c>
      <c r="C2431" t="s">
        <v>517</v>
      </c>
      <c r="D2431" t="s">
        <v>2110</v>
      </c>
      <c r="E2431" t="s">
        <v>512</v>
      </c>
      <c r="F2431" t="s">
        <v>1259</v>
      </c>
      <c r="G2431" t="s">
        <v>474</v>
      </c>
      <c r="H2431" t="s">
        <v>470</v>
      </c>
      <c r="I2431" t="s">
        <v>475</v>
      </c>
      <c r="J2431">
        <v>334155.55</v>
      </c>
    </row>
    <row r="2432" spans="1:10">
      <c r="A2432" s="90" t="s">
        <v>216</v>
      </c>
      <c r="B2432" s="87">
        <v>46139</v>
      </c>
      <c r="C2432" t="s">
        <v>3932</v>
      </c>
      <c r="D2432" t="s">
        <v>2110</v>
      </c>
      <c r="E2432" t="s">
        <v>1002</v>
      </c>
      <c r="F2432" t="s">
        <v>1121</v>
      </c>
      <c r="G2432" t="s">
        <v>2115</v>
      </c>
      <c r="H2432" t="s">
        <v>470</v>
      </c>
      <c r="I2432" t="s">
        <v>796</v>
      </c>
      <c r="J2432">
        <v>270</v>
      </c>
    </row>
    <row r="2433" spans="1:10">
      <c r="A2433" s="90" t="s">
        <v>216</v>
      </c>
      <c r="B2433" s="87">
        <v>46139</v>
      </c>
      <c r="C2433" t="s">
        <v>3932</v>
      </c>
      <c r="D2433" t="s">
        <v>2110</v>
      </c>
      <c r="E2433" t="s">
        <v>1002</v>
      </c>
      <c r="F2433" t="s">
        <v>1121</v>
      </c>
      <c r="G2433" t="s">
        <v>223</v>
      </c>
      <c r="H2433" t="s">
        <v>470</v>
      </c>
      <c r="I2433" t="s">
        <v>796</v>
      </c>
      <c r="J2433">
        <v>1877.6</v>
      </c>
    </row>
    <row r="2434" spans="1:10">
      <c r="A2434" s="90" t="s">
        <v>216</v>
      </c>
      <c r="B2434" s="87">
        <v>46139</v>
      </c>
      <c r="C2434" t="s">
        <v>3933</v>
      </c>
      <c r="D2434" t="s">
        <v>2110</v>
      </c>
      <c r="E2434" t="s">
        <v>477</v>
      </c>
      <c r="F2434" t="s">
        <v>2325</v>
      </c>
      <c r="G2434" t="s">
        <v>515</v>
      </c>
      <c r="H2434" t="s">
        <v>3934</v>
      </c>
      <c r="I2434" t="s">
        <v>471</v>
      </c>
      <c r="J2434">
        <v>33666.57</v>
      </c>
    </row>
    <row r="2435" spans="1:10">
      <c r="A2435" s="90" t="s">
        <v>216</v>
      </c>
      <c r="B2435" s="87">
        <v>46139</v>
      </c>
      <c r="C2435" t="s">
        <v>3933</v>
      </c>
      <c r="D2435" t="s">
        <v>2110</v>
      </c>
      <c r="E2435" t="s">
        <v>477</v>
      </c>
      <c r="F2435" t="s">
        <v>2325</v>
      </c>
      <c r="G2435" t="s">
        <v>69</v>
      </c>
      <c r="H2435" t="s">
        <v>3934</v>
      </c>
      <c r="I2435" t="s">
        <v>471</v>
      </c>
      <c r="J2435">
        <v>1948.28</v>
      </c>
    </row>
    <row r="2436" spans="1:10">
      <c r="A2436" s="90" t="s">
        <v>216</v>
      </c>
      <c r="B2436" s="87">
        <v>46139</v>
      </c>
      <c r="C2436" t="s">
        <v>2275</v>
      </c>
      <c r="D2436" t="s">
        <v>2110</v>
      </c>
      <c r="E2436" t="s">
        <v>477</v>
      </c>
      <c r="F2436" t="s">
        <v>1259</v>
      </c>
      <c r="G2436" t="s">
        <v>74</v>
      </c>
      <c r="H2436" t="s">
        <v>470</v>
      </c>
      <c r="I2436" t="s">
        <v>471</v>
      </c>
      <c r="J2436">
        <v>6.5</v>
      </c>
    </row>
    <row r="2437" spans="1:10">
      <c r="A2437" s="90" t="s">
        <v>216</v>
      </c>
      <c r="B2437" s="87">
        <v>46140</v>
      </c>
      <c r="C2437" t="s">
        <v>3871</v>
      </c>
      <c r="D2437" t="s">
        <v>2110</v>
      </c>
      <c r="E2437" t="s">
        <v>477</v>
      </c>
      <c r="F2437" t="s">
        <v>1259</v>
      </c>
      <c r="G2437" t="s">
        <v>219</v>
      </c>
      <c r="H2437" t="s">
        <v>470</v>
      </c>
      <c r="I2437" t="s">
        <v>471</v>
      </c>
      <c r="J2437">
        <v>500</v>
      </c>
    </row>
    <row r="2438" spans="1:10">
      <c r="A2438" s="90" t="s">
        <v>216</v>
      </c>
      <c r="B2438" s="87">
        <v>46140</v>
      </c>
      <c r="C2438" t="s">
        <v>3871</v>
      </c>
      <c r="D2438" t="s">
        <v>2110</v>
      </c>
      <c r="E2438" t="s">
        <v>477</v>
      </c>
      <c r="F2438" t="s">
        <v>1259</v>
      </c>
      <c r="G2438" t="s">
        <v>74</v>
      </c>
      <c r="H2438" t="s">
        <v>470</v>
      </c>
      <c r="I2438" t="s">
        <v>471</v>
      </c>
      <c r="J2438">
        <v>19</v>
      </c>
    </row>
    <row r="2439" spans="1:10">
      <c r="A2439" s="90" t="s">
        <v>216</v>
      </c>
      <c r="B2439" s="87">
        <v>46140</v>
      </c>
      <c r="C2439" t="s">
        <v>517</v>
      </c>
      <c r="D2439" t="s">
        <v>2110</v>
      </c>
      <c r="E2439" t="s">
        <v>512</v>
      </c>
      <c r="F2439" t="s">
        <v>1259</v>
      </c>
      <c r="G2439" t="s">
        <v>474</v>
      </c>
      <c r="H2439" t="s">
        <v>470</v>
      </c>
      <c r="I2439" t="s">
        <v>475</v>
      </c>
      <c r="J2439">
        <v>549481</v>
      </c>
    </row>
    <row r="2440" spans="1:10">
      <c r="A2440" s="90" t="s">
        <v>216</v>
      </c>
      <c r="B2440" s="87">
        <v>46141</v>
      </c>
      <c r="C2440" t="s">
        <v>3935</v>
      </c>
      <c r="D2440" t="s">
        <v>2110</v>
      </c>
      <c r="E2440" t="s">
        <v>3534</v>
      </c>
      <c r="F2440" t="s">
        <v>318</v>
      </c>
      <c r="G2440" t="s">
        <v>198</v>
      </c>
      <c r="H2440" t="s">
        <v>470</v>
      </c>
      <c r="I2440" t="s">
        <v>487</v>
      </c>
      <c r="J2440">
        <v>438.72</v>
      </c>
    </row>
    <row r="2441" spans="1:10">
      <c r="A2441" s="90" t="s">
        <v>216</v>
      </c>
      <c r="B2441" s="87">
        <v>46141</v>
      </c>
      <c r="C2441" t="s">
        <v>511</v>
      </c>
      <c r="D2441" t="s">
        <v>2110</v>
      </c>
      <c r="E2441" t="s">
        <v>512</v>
      </c>
      <c r="F2441" t="s">
        <v>1259</v>
      </c>
      <c r="G2441" t="s">
        <v>474</v>
      </c>
      <c r="H2441" t="s">
        <v>470</v>
      </c>
      <c r="I2441" t="s">
        <v>475</v>
      </c>
      <c r="J2441">
        <v>438.72</v>
      </c>
    </row>
    <row r="2442" spans="1:10">
      <c r="A2442" s="90" t="s">
        <v>216</v>
      </c>
      <c r="B2442" s="87">
        <v>46141</v>
      </c>
      <c r="C2442" t="s">
        <v>511</v>
      </c>
      <c r="D2442" t="s">
        <v>2110</v>
      </c>
      <c r="E2442" t="s">
        <v>512</v>
      </c>
      <c r="F2442" t="s">
        <v>1259</v>
      </c>
      <c r="G2442" t="s">
        <v>474</v>
      </c>
      <c r="H2442" t="s">
        <v>470</v>
      </c>
      <c r="I2442" t="s">
        <v>475</v>
      </c>
      <c r="J2442">
        <v>54590</v>
      </c>
    </row>
    <row r="2443" spans="1:10">
      <c r="A2443" s="90" t="s">
        <v>216</v>
      </c>
      <c r="B2443" s="87">
        <v>46142</v>
      </c>
      <c r="C2443" t="s">
        <v>3936</v>
      </c>
      <c r="D2443" t="s">
        <v>2110</v>
      </c>
      <c r="E2443" t="s">
        <v>2300</v>
      </c>
      <c r="F2443" t="s">
        <v>1259</v>
      </c>
      <c r="G2443" t="s">
        <v>220</v>
      </c>
      <c r="H2443" t="s">
        <v>3937</v>
      </c>
      <c r="I2443" t="s">
        <v>796</v>
      </c>
      <c r="J2443">
        <v>3132.66</v>
      </c>
    </row>
    <row r="2444" spans="1:10">
      <c r="A2444" s="90" t="s">
        <v>216</v>
      </c>
      <c r="B2444" s="87">
        <v>46142</v>
      </c>
      <c r="C2444" t="s">
        <v>3938</v>
      </c>
      <c r="D2444" t="s">
        <v>2110</v>
      </c>
      <c r="E2444" t="s">
        <v>3639</v>
      </c>
      <c r="F2444" t="s">
        <v>1259</v>
      </c>
      <c r="G2444" t="s">
        <v>60</v>
      </c>
      <c r="H2444" t="s">
        <v>2483</v>
      </c>
      <c r="I2444" t="s">
        <v>796</v>
      </c>
      <c r="J2444">
        <v>609.71</v>
      </c>
    </row>
    <row r="2445" spans="1:10">
      <c r="A2445" s="90" t="s">
        <v>216</v>
      </c>
      <c r="B2445" s="87">
        <v>46142</v>
      </c>
      <c r="C2445" t="s">
        <v>3939</v>
      </c>
      <c r="D2445" t="s">
        <v>2110</v>
      </c>
      <c r="E2445" t="s">
        <v>1137</v>
      </c>
      <c r="F2445" t="s">
        <v>3940</v>
      </c>
      <c r="G2445" t="s">
        <v>61</v>
      </c>
      <c r="H2445" t="s">
        <v>2483</v>
      </c>
      <c r="I2445" t="s">
        <v>487</v>
      </c>
      <c r="J2445">
        <v>1621</v>
      </c>
    </row>
    <row r="2446" spans="1:10">
      <c r="A2446" s="90" t="s">
        <v>216</v>
      </c>
      <c r="B2446" s="87">
        <v>46142</v>
      </c>
      <c r="C2446" t="s">
        <v>2784</v>
      </c>
      <c r="D2446" t="s">
        <v>2110</v>
      </c>
      <c r="E2446" t="s">
        <v>480</v>
      </c>
      <c r="F2446" t="s">
        <v>1259</v>
      </c>
      <c r="G2446" t="s">
        <v>71</v>
      </c>
      <c r="H2446" t="s">
        <v>2483</v>
      </c>
      <c r="I2446" t="s">
        <v>475</v>
      </c>
      <c r="J2446">
        <v>2314</v>
      </c>
    </row>
    <row r="2447" spans="1:10">
      <c r="A2447" s="90" t="s">
        <v>216</v>
      </c>
      <c r="B2447" s="87">
        <v>46142</v>
      </c>
      <c r="C2447" t="s">
        <v>3941</v>
      </c>
      <c r="D2447" t="s">
        <v>2110</v>
      </c>
      <c r="E2447" t="s">
        <v>480</v>
      </c>
      <c r="F2447" t="s">
        <v>1259</v>
      </c>
      <c r="G2447" t="s">
        <v>62</v>
      </c>
      <c r="H2447" t="s">
        <v>470</v>
      </c>
      <c r="I2447" t="s">
        <v>475</v>
      </c>
      <c r="J2447">
        <v>1776.35</v>
      </c>
    </row>
    <row r="2448" spans="1:10">
      <c r="A2448" s="90" t="s">
        <v>216</v>
      </c>
      <c r="B2448" s="87">
        <v>46142</v>
      </c>
      <c r="C2448" t="s">
        <v>3942</v>
      </c>
      <c r="D2448" t="s">
        <v>2110</v>
      </c>
      <c r="E2448" t="s">
        <v>1756</v>
      </c>
      <c r="F2448" t="s">
        <v>1186</v>
      </c>
      <c r="G2448" t="s">
        <v>67</v>
      </c>
      <c r="H2448" t="s">
        <v>470</v>
      </c>
      <c r="I2448" t="s">
        <v>796</v>
      </c>
      <c r="J2448">
        <v>46.5</v>
      </c>
    </row>
    <row r="2449" spans="1:10">
      <c r="A2449" s="90" t="s">
        <v>216</v>
      </c>
      <c r="B2449" s="87">
        <v>46142</v>
      </c>
      <c r="C2449" t="s">
        <v>3943</v>
      </c>
      <c r="D2449" t="s">
        <v>2110</v>
      </c>
      <c r="E2449" t="s">
        <v>1756</v>
      </c>
      <c r="F2449" t="s">
        <v>1186</v>
      </c>
      <c r="G2449" t="s">
        <v>59</v>
      </c>
      <c r="H2449" t="s">
        <v>470</v>
      </c>
      <c r="I2449" t="s">
        <v>796</v>
      </c>
      <c r="J2449">
        <v>39.9</v>
      </c>
    </row>
    <row r="2450" spans="1:10">
      <c r="A2450" s="90" t="s">
        <v>216</v>
      </c>
      <c r="B2450" s="87">
        <v>46142</v>
      </c>
      <c r="C2450" t="s">
        <v>3633</v>
      </c>
      <c r="D2450" t="s">
        <v>2110</v>
      </c>
      <c r="E2450" t="s">
        <v>480</v>
      </c>
      <c r="F2450" t="s">
        <v>1259</v>
      </c>
      <c r="G2450" t="s">
        <v>180</v>
      </c>
      <c r="H2450" t="s">
        <v>470</v>
      </c>
      <c r="I2450" t="s">
        <v>475</v>
      </c>
      <c r="J2450">
        <v>2849.33</v>
      </c>
    </row>
    <row r="2451" spans="1:10">
      <c r="A2451" s="90" t="s">
        <v>216</v>
      </c>
      <c r="B2451" s="87">
        <v>46142</v>
      </c>
      <c r="C2451" t="s">
        <v>3944</v>
      </c>
      <c r="D2451" t="s">
        <v>2110</v>
      </c>
      <c r="E2451" t="s">
        <v>1693</v>
      </c>
      <c r="F2451" t="s">
        <v>3846</v>
      </c>
      <c r="G2451" t="s">
        <v>2112</v>
      </c>
      <c r="H2451" t="s">
        <v>470</v>
      </c>
      <c r="I2451" t="s">
        <v>540</v>
      </c>
      <c r="J2451">
        <v>1100000</v>
      </c>
    </row>
    <row r="2452" spans="1:10">
      <c r="A2452" s="90" t="s">
        <v>216</v>
      </c>
      <c r="B2452" s="87">
        <v>46142</v>
      </c>
      <c r="C2452" t="s">
        <v>3945</v>
      </c>
      <c r="D2452" t="s">
        <v>2110</v>
      </c>
      <c r="E2452" t="s">
        <v>477</v>
      </c>
      <c r="F2452" t="s">
        <v>1259</v>
      </c>
      <c r="G2452" t="s">
        <v>74</v>
      </c>
      <c r="H2452" t="s">
        <v>470</v>
      </c>
      <c r="I2452" t="s">
        <v>471</v>
      </c>
      <c r="J2452">
        <v>4.34</v>
      </c>
    </row>
    <row r="2453" spans="1:10">
      <c r="A2453" s="90" t="s">
        <v>216</v>
      </c>
      <c r="B2453" s="87">
        <v>46142</v>
      </c>
      <c r="C2453" t="s">
        <v>511</v>
      </c>
      <c r="D2453" t="s">
        <v>2110</v>
      </c>
      <c r="E2453" t="s">
        <v>512</v>
      </c>
      <c r="F2453" t="s">
        <v>1259</v>
      </c>
      <c r="G2453" t="s">
        <v>474</v>
      </c>
      <c r="H2453" t="s">
        <v>470</v>
      </c>
      <c r="I2453" t="s">
        <v>475</v>
      </c>
      <c r="J2453">
        <v>434607.05</v>
      </c>
    </row>
    <row r="2454" spans="1:10">
      <c r="A2454" s="90" t="s">
        <v>216</v>
      </c>
      <c r="B2454" s="87">
        <v>46142</v>
      </c>
      <c r="C2454" t="s">
        <v>526</v>
      </c>
      <c r="D2454" t="s">
        <v>2110</v>
      </c>
      <c r="E2454" t="s">
        <v>512</v>
      </c>
      <c r="F2454" t="s">
        <v>1259</v>
      </c>
      <c r="G2454" t="s">
        <v>474</v>
      </c>
      <c r="H2454" t="s">
        <v>470</v>
      </c>
      <c r="I2454" t="s">
        <v>475</v>
      </c>
      <c r="J2454">
        <v>0.01</v>
      </c>
    </row>
    <row r="2455" spans="1:10">
      <c r="A2455" s="90" t="s">
        <v>216</v>
      </c>
      <c r="B2455" s="87">
        <v>46142</v>
      </c>
      <c r="C2455" t="s">
        <v>2347</v>
      </c>
      <c r="D2455" t="s">
        <v>2110</v>
      </c>
      <c r="E2455" t="s">
        <v>477</v>
      </c>
      <c r="F2455" t="s">
        <v>1259</v>
      </c>
      <c r="G2455" t="s">
        <v>68</v>
      </c>
      <c r="H2455" t="s">
        <v>470</v>
      </c>
      <c r="I2455" t="s">
        <v>471</v>
      </c>
      <c r="J2455">
        <v>140.65</v>
      </c>
    </row>
    <row r="2456" spans="1:10">
      <c r="A2456" s="90" t="s">
        <v>216</v>
      </c>
      <c r="B2456" s="87">
        <v>46142</v>
      </c>
      <c r="C2456" t="s">
        <v>2348</v>
      </c>
      <c r="D2456" t="s">
        <v>2110</v>
      </c>
      <c r="E2456" t="s">
        <v>477</v>
      </c>
      <c r="F2456" t="s">
        <v>1259</v>
      </c>
      <c r="G2456" t="s">
        <v>66</v>
      </c>
      <c r="H2456" t="s">
        <v>470</v>
      </c>
      <c r="I2456" t="s">
        <v>471</v>
      </c>
      <c r="J2456">
        <v>107.54</v>
      </c>
    </row>
    <row r="2457" spans="1:10">
      <c r="A2457" s="90" t="s">
        <v>51</v>
      </c>
      <c r="B2457" s="87">
        <v>45659</v>
      </c>
      <c r="C2457" t="s">
        <v>3946</v>
      </c>
      <c r="D2457" t="s">
        <v>2688</v>
      </c>
      <c r="E2457" t="s">
        <v>2262</v>
      </c>
      <c r="F2457" t="s">
        <v>3947</v>
      </c>
      <c r="G2457" t="s">
        <v>73</v>
      </c>
      <c r="H2457" t="s">
        <v>2264</v>
      </c>
      <c r="I2457" t="s">
        <v>796</v>
      </c>
      <c r="J2457">
        <v>588.79999999999995</v>
      </c>
    </row>
    <row r="2458" spans="1:10">
      <c r="A2458" s="90" t="s">
        <v>51</v>
      </c>
      <c r="B2458" s="87">
        <v>45659</v>
      </c>
      <c r="C2458" t="s">
        <v>511</v>
      </c>
      <c r="D2458" t="s">
        <v>2688</v>
      </c>
      <c r="E2458" t="s">
        <v>512</v>
      </c>
      <c r="F2458" t="s">
        <v>509</v>
      </c>
      <c r="G2458" t="s">
        <v>474</v>
      </c>
      <c r="H2458" t="s">
        <v>470</v>
      </c>
      <c r="I2458" t="s">
        <v>475</v>
      </c>
      <c r="J2458">
        <v>588.79999999999995</v>
      </c>
    </row>
    <row r="2459" spans="1:10">
      <c r="A2459" s="90" t="s">
        <v>51</v>
      </c>
      <c r="B2459" s="87">
        <v>45663</v>
      </c>
      <c r="C2459" t="s">
        <v>3948</v>
      </c>
      <c r="D2459" t="s">
        <v>2688</v>
      </c>
      <c r="E2459" t="s">
        <v>3949</v>
      </c>
      <c r="F2459" t="s">
        <v>2314</v>
      </c>
      <c r="G2459" t="s">
        <v>65</v>
      </c>
      <c r="H2459" t="s">
        <v>2279</v>
      </c>
      <c r="I2459" t="s">
        <v>796</v>
      </c>
      <c r="J2459">
        <v>179.9</v>
      </c>
    </row>
    <row r="2460" spans="1:10">
      <c r="A2460" s="90" t="s">
        <v>51</v>
      </c>
      <c r="B2460" s="87">
        <v>45663</v>
      </c>
      <c r="C2460" t="s">
        <v>511</v>
      </c>
      <c r="D2460" t="s">
        <v>2688</v>
      </c>
      <c r="E2460" t="s">
        <v>512</v>
      </c>
      <c r="F2460" t="s">
        <v>509</v>
      </c>
      <c r="G2460" t="s">
        <v>474</v>
      </c>
      <c r="H2460" t="s">
        <v>470</v>
      </c>
      <c r="I2460" t="s">
        <v>475</v>
      </c>
      <c r="J2460">
        <v>179.9</v>
      </c>
    </row>
    <row r="2461" spans="1:10">
      <c r="A2461" s="90" t="s">
        <v>51</v>
      </c>
      <c r="B2461" s="87">
        <v>45664</v>
      </c>
      <c r="C2461" t="s">
        <v>3950</v>
      </c>
      <c r="D2461" t="s">
        <v>2688</v>
      </c>
      <c r="E2461" t="s">
        <v>2247</v>
      </c>
      <c r="F2461" t="s">
        <v>2821</v>
      </c>
      <c r="G2461" t="s">
        <v>71</v>
      </c>
      <c r="H2461" t="s">
        <v>470</v>
      </c>
      <c r="I2461" t="s">
        <v>487</v>
      </c>
      <c r="J2461">
        <v>15500</v>
      </c>
    </row>
    <row r="2462" spans="1:10">
      <c r="A2462" s="90" t="s">
        <v>51</v>
      </c>
      <c r="B2462" s="87">
        <v>45664</v>
      </c>
      <c r="C2462" t="s">
        <v>2275</v>
      </c>
      <c r="D2462" t="s">
        <v>2688</v>
      </c>
      <c r="E2462" t="s">
        <v>477</v>
      </c>
      <c r="F2462" t="s">
        <v>509</v>
      </c>
      <c r="G2462" t="s">
        <v>74</v>
      </c>
      <c r="H2462" t="s">
        <v>470</v>
      </c>
      <c r="I2462" t="s">
        <v>471</v>
      </c>
      <c r="J2462">
        <v>171.2</v>
      </c>
    </row>
    <row r="2463" spans="1:10">
      <c r="A2463" s="90" t="s">
        <v>51</v>
      </c>
      <c r="B2463" s="87">
        <v>45664</v>
      </c>
      <c r="C2463" t="s">
        <v>511</v>
      </c>
      <c r="D2463" t="s">
        <v>2688</v>
      </c>
      <c r="E2463" t="s">
        <v>512</v>
      </c>
      <c r="F2463" t="s">
        <v>509</v>
      </c>
      <c r="G2463" t="s">
        <v>474</v>
      </c>
      <c r="H2463" t="s">
        <v>470</v>
      </c>
      <c r="I2463" t="s">
        <v>475</v>
      </c>
      <c r="J2463">
        <v>15671.2</v>
      </c>
    </row>
    <row r="2464" spans="1:10">
      <c r="A2464" s="90" t="s">
        <v>51</v>
      </c>
      <c r="B2464" s="87">
        <v>45666</v>
      </c>
      <c r="C2464" t="s">
        <v>3951</v>
      </c>
      <c r="D2464" t="s">
        <v>2688</v>
      </c>
      <c r="E2464" t="s">
        <v>2247</v>
      </c>
      <c r="F2464" t="s">
        <v>2821</v>
      </c>
      <c r="G2464" t="s">
        <v>71</v>
      </c>
      <c r="H2464" t="s">
        <v>470</v>
      </c>
      <c r="I2464" t="s">
        <v>475</v>
      </c>
      <c r="J2464">
        <v>8197.08</v>
      </c>
    </row>
    <row r="2465" spans="1:10">
      <c r="A2465" s="90" t="s">
        <v>51</v>
      </c>
      <c r="B2465" s="87">
        <v>45666</v>
      </c>
      <c r="C2465" t="s">
        <v>511</v>
      </c>
      <c r="D2465" t="s">
        <v>2688</v>
      </c>
      <c r="E2465" t="s">
        <v>512</v>
      </c>
      <c r="F2465" t="s">
        <v>509</v>
      </c>
      <c r="G2465" t="s">
        <v>474</v>
      </c>
      <c r="H2465" t="s">
        <v>470</v>
      </c>
      <c r="I2465" t="s">
        <v>475</v>
      </c>
      <c r="J2465">
        <v>8197.08</v>
      </c>
    </row>
    <row r="2466" spans="1:10">
      <c r="A2466" s="90" t="s">
        <v>51</v>
      </c>
      <c r="B2466" s="87">
        <v>45667</v>
      </c>
      <c r="C2466" t="s">
        <v>2295</v>
      </c>
      <c r="D2466" t="s">
        <v>2688</v>
      </c>
      <c r="E2466" t="s">
        <v>477</v>
      </c>
      <c r="F2466" t="s">
        <v>509</v>
      </c>
      <c r="G2466" t="s">
        <v>2295</v>
      </c>
      <c r="H2466" t="s">
        <v>470</v>
      </c>
      <c r="I2466" t="s">
        <v>471</v>
      </c>
      <c r="J2466">
        <v>698.05</v>
      </c>
    </row>
    <row r="2467" spans="1:10">
      <c r="A2467" s="90" t="s">
        <v>51</v>
      </c>
      <c r="B2467" s="87">
        <v>45667</v>
      </c>
      <c r="C2467" t="s">
        <v>511</v>
      </c>
      <c r="D2467" t="s">
        <v>2688</v>
      </c>
      <c r="E2467" t="s">
        <v>512</v>
      </c>
      <c r="F2467" t="s">
        <v>509</v>
      </c>
      <c r="G2467" t="s">
        <v>474</v>
      </c>
      <c r="H2467" t="s">
        <v>470</v>
      </c>
      <c r="I2467" t="s">
        <v>475</v>
      </c>
      <c r="J2467">
        <v>698.05</v>
      </c>
    </row>
    <row r="2468" spans="1:10">
      <c r="A2468" s="90" t="s">
        <v>51</v>
      </c>
      <c r="B2468" s="87">
        <v>45672</v>
      </c>
      <c r="C2468" t="s">
        <v>3952</v>
      </c>
      <c r="D2468" t="s">
        <v>2688</v>
      </c>
      <c r="E2468" t="s">
        <v>3107</v>
      </c>
      <c r="F2468" t="s">
        <v>509</v>
      </c>
      <c r="G2468" t="s">
        <v>60</v>
      </c>
      <c r="H2468" t="s">
        <v>2264</v>
      </c>
      <c r="I2468" t="s">
        <v>796</v>
      </c>
      <c r="J2468">
        <v>890.23</v>
      </c>
    </row>
    <row r="2469" spans="1:10">
      <c r="A2469" s="90" t="s">
        <v>51</v>
      </c>
      <c r="B2469" s="87">
        <v>45672</v>
      </c>
      <c r="C2469" t="s">
        <v>511</v>
      </c>
      <c r="D2469" t="s">
        <v>2688</v>
      </c>
      <c r="E2469" t="s">
        <v>512</v>
      </c>
      <c r="F2469" t="s">
        <v>509</v>
      </c>
      <c r="G2469" t="s">
        <v>474</v>
      </c>
      <c r="H2469" t="s">
        <v>470</v>
      </c>
      <c r="I2469" t="s">
        <v>475</v>
      </c>
      <c r="J2469">
        <v>890.23</v>
      </c>
    </row>
    <row r="2470" spans="1:10">
      <c r="A2470" s="90" t="s">
        <v>51</v>
      </c>
      <c r="B2470" s="87">
        <v>45673</v>
      </c>
      <c r="C2470" t="s">
        <v>3953</v>
      </c>
      <c r="D2470" t="s">
        <v>2688</v>
      </c>
      <c r="E2470" t="s">
        <v>477</v>
      </c>
      <c r="F2470" t="s">
        <v>3954</v>
      </c>
      <c r="G2470" t="s">
        <v>515</v>
      </c>
      <c r="H2470" t="s">
        <v>3955</v>
      </c>
      <c r="I2470" t="s">
        <v>471</v>
      </c>
      <c r="J2470">
        <v>54166.67</v>
      </c>
    </row>
    <row r="2471" spans="1:10">
      <c r="A2471" s="90" t="s">
        <v>51</v>
      </c>
      <c r="B2471" s="87">
        <v>45673</v>
      </c>
      <c r="C2471" t="s">
        <v>3953</v>
      </c>
      <c r="D2471" t="s">
        <v>2688</v>
      </c>
      <c r="E2471" t="s">
        <v>477</v>
      </c>
      <c r="F2471" t="s">
        <v>3954</v>
      </c>
      <c r="G2471" t="s">
        <v>69</v>
      </c>
      <c r="H2471" t="s">
        <v>3955</v>
      </c>
      <c r="I2471" t="s">
        <v>471</v>
      </c>
      <c r="J2471">
        <v>10422.030000000001</v>
      </c>
    </row>
    <row r="2472" spans="1:10">
      <c r="A2472" s="90" t="s">
        <v>51</v>
      </c>
      <c r="B2472" s="87">
        <v>45673</v>
      </c>
      <c r="C2472" t="s">
        <v>511</v>
      </c>
      <c r="D2472" t="s">
        <v>2688</v>
      </c>
      <c r="E2472" t="s">
        <v>512</v>
      </c>
      <c r="F2472" t="s">
        <v>509</v>
      </c>
      <c r="G2472" t="s">
        <v>474</v>
      </c>
      <c r="H2472" t="s">
        <v>470</v>
      </c>
      <c r="I2472" t="s">
        <v>475</v>
      </c>
      <c r="J2472">
        <v>67963.7</v>
      </c>
    </row>
    <row r="2473" spans="1:10">
      <c r="A2473" s="90" t="s">
        <v>51</v>
      </c>
      <c r="B2473" s="87">
        <v>45673</v>
      </c>
      <c r="C2473" t="s">
        <v>2301</v>
      </c>
      <c r="D2473" t="s">
        <v>2688</v>
      </c>
      <c r="E2473" t="s">
        <v>2287</v>
      </c>
      <c r="F2473" t="s">
        <v>509</v>
      </c>
      <c r="G2473" t="s">
        <v>77</v>
      </c>
      <c r="H2473" t="s">
        <v>2285</v>
      </c>
      <c r="I2473" t="s">
        <v>487</v>
      </c>
      <c r="J2473">
        <v>3375</v>
      </c>
    </row>
    <row r="2474" spans="1:10">
      <c r="A2474" s="90" t="s">
        <v>51</v>
      </c>
      <c r="B2474" s="87">
        <v>45674</v>
      </c>
      <c r="C2474" t="s">
        <v>3956</v>
      </c>
      <c r="D2474" t="s">
        <v>2688</v>
      </c>
      <c r="E2474" t="s">
        <v>3030</v>
      </c>
      <c r="F2474" t="s">
        <v>509</v>
      </c>
      <c r="G2474" t="s">
        <v>76</v>
      </c>
      <c r="H2474" t="s">
        <v>470</v>
      </c>
      <c r="I2474" t="s">
        <v>487</v>
      </c>
      <c r="J2474">
        <v>118.5</v>
      </c>
    </row>
    <row r="2475" spans="1:10">
      <c r="A2475" s="90" t="s">
        <v>51</v>
      </c>
      <c r="B2475" s="87">
        <v>45674</v>
      </c>
      <c r="C2475" t="s">
        <v>511</v>
      </c>
      <c r="D2475" t="s">
        <v>2688</v>
      </c>
      <c r="E2475" t="s">
        <v>512</v>
      </c>
      <c r="F2475" t="s">
        <v>509</v>
      </c>
      <c r="G2475" t="s">
        <v>474</v>
      </c>
      <c r="H2475" t="s">
        <v>470</v>
      </c>
      <c r="I2475" t="s">
        <v>475</v>
      </c>
      <c r="J2475">
        <v>118.5</v>
      </c>
    </row>
    <row r="2476" spans="1:10">
      <c r="A2476" s="90" t="s">
        <v>51</v>
      </c>
      <c r="B2476" s="87">
        <v>45677</v>
      </c>
      <c r="C2476" t="s">
        <v>2454</v>
      </c>
      <c r="D2476" t="s">
        <v>2688</v>
      </c>
      <c r="E2476" t="s">
        <v>1667</v>
      </c>
      <c r="F2476" t="s">
        <v>509</v>
      </c>
      <c r="G2476" t="s">
        <v>71</v>
      </c>
      <c r="H2476" t="s">
        <v>470</v>
      </c>
      <c r="I2476" t="s">
        <v>475</v>
      </c>
      <c r="J2476">
        <v>8155.39</v>
      </c>
    </row>
    <row r="2477" spans="1:10">
      <c r="A2477" s="90" t="s">
        <v>51</v>
      </c>
      <c r="B2477" s="87">
        <v>45677</v>
      </c>
      <c r="C2477" t="s">
        <v>3957</v>
      </c>
      <c r="D2477" t="s">
        <v>2688</v>
      </c>
      <c r="E2477" t="s">
        <v>3958</v>
      </c>
      <c r="F2477" t="s">
        <v>128</v>
      </c>
      <c r="G2477" t="s">
        <v>2112</v>
      </c>
      <c r="H2477" t="s">
        <v>470</v>
      </c>
      <c r="I2477" t="s">
        <v>540</v>
      </c>
      <c r="J2477">
        <v>250000</v>
      </c>
    </row>
    <row r="2478" spans="1:10">
      <c r="A2478" s="90" t="s">
        <v>51</v>
      </c>
      <c r="B2478" s="87">
        <v>45677</v>
      </c>
      <c r="C2478" t="s">
        <v>3957</v>
      </c>
      <c r="D2478" t="s">
        <v>2688</v>
      </c>
      <c r="E2478" t="s">
        <v>3958</v>
      </c>
      <c r="F2478" t="s">
        <v>128</v>
      </c>
      <c r="G2478" t="s">
        <v>2112</v>
      </c>
      <c r="H2478" t="s">
        <v>470</v>
      </c>
      <c r="I2478" t="s">
        <v>540</v>
      </c>
      <c r="J2478">
        <v>250000</v>
      </c>
    </row>
    <row r="2479" spans="1:10">
      <c r="A2479" s="90" t="s">
        <v>51</v>
      </c>
      <c r="B2479" s="87">
        <v>45677</v>
      </c>
      <c r="C2479" t="s">
        <v>517</v>
      </c>
      <c r="D2479" t="s">
        <v>2688</v>
      </c>
      <c r="E2479" t="s">
        <v>512</v>
      </c>
      <c r="F2479" t="s">
        <v>509</v>
      </c>
      <c r="G2479" t="s">
        <v>474</v>
      </c>
      <c r="H2479" t="s">
        <v>470</v>
      </c>
      <c r="I2479" t="s">
        <v>475</v>
      </c>
      <c r="J2479">
        <v>991844.61</v>
      </c>
    </row>
    <row r="2480" spans="1:10">
      <c r="A2480" s="90" t="s">
        <v>51</v>
      </c>
      <c r="B2480" s="87">
        <v>45678</v>
      </c>
      <c r="C2480" t="s">
        <v>3959</v>
      </c>
      <c r="D2480" t="s">
        <v>2688</v>
      </c>
      <c r="E2480" t="s">
        <v>3960</v>
      </c>
      <c r="F2480" t="s">
        <v>136</v>
      </c>
      <c r="G2480" t="s">
        <v>2112</v>
      </c>
      <c r="H2480" t="s">
        <v>470</v>
      </c>
      <c r="I2480" t="s">
        <v>540</v>
      </c>
      <c r="J2480">
        <v>120000</v>
      </c>
    </row>
    <row r="2481" spans="1:10">
      <c r="A2481" s="90" t="s">
        <v>51</v>
      </c>
      <c r="B2481" s="87">
        <v>45678</v>
      </c>
      <c r="C2481" t="s">
        <v>511</v>
      </c>
      <c r="D2481" t="s">
        <v>2688</v>
      </c>
      <c r="E2481" t="s">
        <v>512</v>
      </c>
      <c r="F2481" t="s">
        <v>509</v>
      </c>
      <c r="G2481" t="s">
        <v>474</v>
      </c>
      <c r="H2481" t="s">
        <v>470</v>
      </c>
      <c r="I2481" t="s">
        <v>475</v>
      </c>
      <c r="J2481">
        <v>120000</v>
      </c>
    </row>
    <row r="2482" spans="1:10">
      <c r="A2482" s="90" t="s">
        <v>51</v>
      </c>
      <c r="B2482" s="87">
        <v>45679</v>
      </c>
      <c r="C2482" t="s">
        <v>3961</v>
      </c>
      <c r="D2482" t="s">
        <v>2688</v>
      </c>
      <c r="E2482" t="s">
        <v>3962</v>
      </c>
      <c r="F2482" t="s">
        <v>3963</v>
      </c>
      <c r="G2482" t="s">
        <v>63</v>
      </c>
      <c r="H2482" t="s">
        <v>2264</v>
      </c>
      <c r="I2482" t="s">
        <v>475</v>
      </c>
      <c r="J2482">
        <v>84</v>
      </c>
    </row>
    <row r="2483" spans="1:10">
      <c r="A2483" s="90" t="s">
        <v>51</v>
      </c>
      <c r="B2483" s="87">
        <v>45679</v>
      </c>
      <c r="C2483" t="s">
        <v>3964</v>
      </c>
      <c r="D2483" t="s">
        <v>2688</v>
      </c>
      <c r="E2483" t="s">
        <v>2300</v>
      </c>
      <c r="F2483" t="s">
        <v>509</v>
      </c>
      <c r="G2483" t="s">
        <v>70</v>
      </c>
      <c r="H2483" t="s">
        <v>470</v>
      </c>
      <c r="I2483" t="s">
        <v>796</v>
      </c>
      <c r="J2483">
        <v>56</v>
      </c>
    </row>
    <row r="2484" spans="1:10">
      <c r="A2484" s="90" t="s">
        <v>51</v>
      </c>
      <c r="B2484" s="87">
        <v>45679</v>
      </c>
      <c r="C2484" t="s">
        <v>511</v>
      </c>
      <c r="D2484" t="s">
        <v>2688</v>
      </c>
      <c r="E2484" t="s">
        <v>512</v>
      </c>
      <c r="F2484" t="s">
        <v>1321</v>
      </c>
      <c r="G2484" t="s">
        <v>474</v>
      </c>
      <c r="H2484" t="s">
        <v>470</v>
      </c>
      <c r="I2484" t="s">
        <v>475</v>
      </c>
      <c r="J2484">
        <v>140</v>
      </c>
    </row>
    <row r="2485" spans="1:10">
      <c r="A2485" s="90" t="s">
        <v>51</v>
      </c>
      <c r="B2485" s="87">
        <v>45680</v>
      </c>
      <c r="C2485" t="s">
        <v>3965</v>
      </c>
      <c r="D2485" t="s">
        <v>2688</v>
      </c>
      <c r="E2485" t="s">
        <v>2318</v>
      </c>
      <c r="F2485" t="s">
        <v>2314</v>
      </c>
      <c r="G2485" t="s">
        <v>64</v>
      </c>
      <c r="H2485" t="s">
        <v>2279</v>
      </c>
      <c r="I2485" t="s">
        <v>487</v>
      </c>
      <c r="J2485">
        <v>813.97</v>
      </c>
    </row>
    <row r="2486" spans="1:10">
      <c r="A2486" s="90" t="s">
        <v>51</v>
      </c>
      <c r="B2486" s="87">
        <v>45680</v>
      </c>
      <c r="C2486" t="s">
        <v>511</v>
      </c>
      <c r="D2486" t="s">
        <v>2688</v>
      </c>
      <c r="E2486" t="s">
        <v>512</v>
      </c>
      <c r="F2486" t="s">
        <v>509</v>
      </c>
      <c r="G2486" t="s">
        <v>474</v>
      </c>
      <c r="H2486" t="s">
        <v>470</v>
      </c>
      <c r="I2486" t="s">
        <v>475</v>
      </c>
      <c r="J2486">
        <v>813.97</v>
      </c>
    </row>
    <row r="2487" spans="1:10">
      <c r="A2487" s="90" t="s">
        <v>51</v>
      </c>
      <c r="B2487" s="87">
        <v>45681</v>
      </c>
      <c r="C2487" t="s">
        <v>3959</v>
      </c>
      <c r="D2487" t="s">
        <v>2688</v>
      </c>
      <c r="E2487" t="s">
        <v>3960</v>
      </c>
      <c r="F2487" t="s">
        <v>3966</v>
      </c>
      <c r="G2487" t="s">
        <v>2112</v>
      </c>
      <c r="H2487" t="s">
        <v>470</v>
      </c>
      <c r="I2487" t="s">
        <v>540</v>
      </c>
      <c r="J2487">
        <v>80000</v>
      </c>
    </row>
    <row r="2488" spans="1:10">
      <c r="A2488" s="90" t="s">
        <v>51</v>
      </c>
      <c r="B2488" s="87">
        <v>45681</v>
      </c>
      <c r="C2488" t="s">
        <v>3967</v>
      </c>
      <c r="D2488" t="s">
        <v>2688</v>
      </c>
      <c r="E2488" t="s">
        <v>3968</v>
      </c>
      <c r="F2488" t="s">
        <v>1327</v>
      </c>
      <c r="G2488" t="s">
        <v>2112</v>
      </c>
      <c r="H2488" t="s">
        <v>470</v>
      </c>
      <c r="I2488" t="s">
        <v>475</v>
      </c>
      <c r="J2488">
        <v>83057.33</v>
      </c>
    </row>
    <row r="2489" spans="1:10">
      <c r="A2489" s="90" t="s">
        <v>51</v>
      </c>
      <c r="B2489" s="87">
        <v>45681</v>
      </c>
      <c r="C2489" t="s">
        <v>3969</v>
      </c>
      <c r="D2489" t="s">
        <v>2688</v>
      </c>
      <c r="E2489" t="s">
        <v>3968</v>
      </c>
      <c r="F2489" t="s">
        <v>1329</v>
      </c>
      <c r="G2489" t="s">
        <v>2112</v>
      </c>
      <c r="H2489" t="s">
        <v>470</v>
      </c>
      <c r="I2489" t="s">
        <v>475</v>
      </c>
      <c r="J2489">
        <v>82464.06</v>
      </c>
    </row>
    <row r="2490" spans="1:10">
      <c r="A2490" s="90" t="s">
        <v>51</v>
      </c>
      <c r="B2490" s="87">
        <v>45681</v>
      </c>
      <c r="C2490" t="s">
        <v>511</v>
      </c>
      <c r="D2490" t="s">
        <v>2688</v>
      </c>
      <c r="E2490" t="s">
        <v>512</v>
      </c>
      <c r="F2490" t="s">
        <v>509</v>
      </c>
      <c r="G2490" t="s">
        <v>474</v>
      </c>
      <c r="H2490" t="s">
        <v>470</v>
      </c>
      <c r="I2490" t="s">
        <v>475</v>
      </c>
      <c r="J2490">
        <v>245521.39</v>
      </c>
    </row>
    <row r="2491" spans="1:10">
      <c r="A2491" s="90" t="s">
        <v>51</v>
      </c>
      <c r="B2491" s="87">
        <v>45684</v>
      </c>
      <c r="C2491" t="s">
        <v>3970</v>
      </c>
      <c r="D2491" t="s">
        <v>2688</v>
      </c>
      <c r="E2491" t="s">
        <v>3968</v>
      </c>
      <c r="F2491" t="s">
        <v>1331</v>
      </c>
      <c r="G2491" t="s">
        <v>2112</v>
      </c>
      <c r="H2491" t="s">
        <v>470</v>
      </c>
      <c r="I2491" t="s">
        <v>475</v>
      </c>
      <c r="J2491">
        <v>82882.84</v>
      </c>
    </row>
    <row r="2492" spans="1:10">
      <c r="A2492" s="90" t="s">
        <v>51</v>
      </c>
      <c r="B2492" s="87">
        <v>45684</v>
      </c>
      <c r="C2492" t="s">
        <v>3971</v>
      </c>
      <c r="D2492" t="s">
        <v>2688</v>
      </c>
      <c r="E2492" t="s">
        <v>3968</v>
      </c>
      <c r="F2492" t="s">
        <v>1333</v>
      </c>
      <c r="G2492" t="s">
        <v>2112</v>
      </c>
      <c r="H2492" t="s">
        <v>470</v>
      </c>
      <c r="I2492" t="s">
        <v>475</v>
      </c>
      <c r="J2492">
        <v>79794.36</v>
      </c>
    </row>
    <row r="2493" spans="1:10">
      <c r="A2493" s="90" t="s">
        <v>51</v>
      </c>
      <c r="B2493" s="87">
        <v>45684</v>
      </c>
      <c r="C2493" t="s">
        <v>3972</v>
      </c>
      <c r="D2493" t="s">
        <v>2688</v>
      </c>
      <c r="E2493" t="s">
        <v>3968</v>
      </c>
      <c r="F2493" t="s">
        <v>1335</v>
      </c>
      <c r="G2493" t="s">
        <v>2112</v>
      </c>
      <c r="H2493" t="s">
        <v>470</v>
      </c>
      <c r="I2493" t="s">
        <v>475</v>
      </c>
      <c r="J2493">
        <v>82010.39</v>
      </c>
    </row>
    <row r="2494" spans="1:10">
      <c r="A2494" s="90" t="s">
        <v>51</v>
      </c>
      <c r="B2494" s="87">
        <v>45684</v>
      </c>
      <c r="C2494" t="s">
        <v>3973</v>
      </c>
      <c r="D2494" t="s">
        <v>2688</v>
      </c>
      <c r="E2494" t="s">
        <v>3968</v>
      </c>
      <c r="F2494" t="s">
        <v>1337</v>
      </c>
      <c r="G2494" t="s">
        <v>2112</v>
      </c>
      <c r="H2494" t="s">
        <v>470</v>
      </c>
      <c r="I2494" t="s">
        <v>475</v>
      </c>
      <c r="J2494">
        <v>81469.47</v>
      </c>
    </row>
    <row r="2495" spans="1:10">
      <c r="A2495" s="90" t="s">
        <v>51</v>
      </c>
      <c r="B2495" s="87">
        <v>45684</v>
      </c>
      <c r="C2495" t="s">
        <v>3974</v>
      </c>
      <c r="D2495" t="s">
        <v>2688</v>
      </c>
      <c r="E2495" t="s">
        <v>3968</v>
      </c>
      <c r="F2495" t="s">
        <v>1343</v>
      </c>
      <c r="G2495" t="s">
        <v>2112</v>
      </c>
      <c r="H2495" t="s">
        <v>470</v>
      </c>
      <c r="I2495" t="s">
        <v>475</v>
      </c>
      <c r="J2495">
        <v>86215.6</v>
      </c>
    </row>
    <row r="2496" spans="1:10">
      <c r="A2496" s="90" t="s">
        <v>51</v>
      </c>
      <c r="B2496" s="87">
        <v>45684</v>
      </c>
      <c r="C2496" t="s">
        <v>3975</v>
      </c>
      <c r="D2496" t="s">
        <v>2688</v>
      </c>
      <c r="E2496" t="s">
        <v>3968</v>
      </c>
      <c r="F2496" t="s">
        <v>1361</v>
      </c>
      <c r="G2496" t="s">
        <v>2112</v>
      </c>
      <c r="H2496" t="s">
        <v>470</v>
      </c>
      <c r="I2496" t="s">
        <v>475</v>
      </c>
      <c r="J2496">
        <v>80858.75</v>
      </c>
    </row>
    <row r="2497" spans="1:10">
      <c r="A2497" s="90" t="s">
        <v>51</v>
      </c>
      <c r="B2497" s="87">
        <v>45684</v>
      </c>
      <c r="C2497" t="s">
        <v>3976</v>
      </c>
      <c r="D2497" t="s">
        <v>2688</v>
      </c>
      <c r="E2497" t="s">
        <v>3968</v>
      </c>
      <c r="F2497" t="s">
        <v>1363</v>
      </c>
      <c r="G2497" t="s">
        <v>2112</v>
      </c>
      <c r="H2497" t="s">
        <v>470</v>
      </c>
      <c r="I2497" t="s">
        <v>475</v>
      </c>
      <c r="J2497">
        <v>65695.56</v>
      </c>
    </row>
    <row r="2498" spans="1:10">
      <c r="A2498" s="90" t="s">
        <v>51</v>
      </c>
      <c r="B2498" s="87">
        <v>45684</v>
      </c>
      <c r="C2498" t="s">
        <v>3977</v>
      </c>
      <c r="D2498" t="s">
        <v>2688</v>
      </c>
      <c r="E2498" t="s">
        <v>3968</v>
      </c>
      <c r="F2498" t="s">
        <v>1365</v>
      </c>
      <c r="G2498" t="s">
        <v>2112</v>
      </c>
      <c r="H2498" t="s">
        <v>470</v>
      </c>
      <c r="I2498" t="s">
        <v>475</v>
      </c>
      <c r="J2498">
        <v>82062.73</v>
      </c>
    </row>
    <row r="2499" spans="1:10">
      <c r="A2499" s="90" t="s">
        <v>51</v>
      </c>
      <c r="B2499" s="87">
        <v>45684</v>
      </c>
      <c r="C2499" t="s">
        <v>1322</v>
      </c>
      <c r="D2499" t="s">
        <v>2688</v>
      </c>
      <c r="E2499" t="s">
        <v>512</v>
      </c>
      <c r="F2499" t="s">
        <v>509</v>
      </c>
      <c r="G2499" t="s">
        <v>474</v>
      </c>
      <c r="H2499" t="s">
        <v>470</v>
      </c>
      <c r="I2499" t="s">
        <v>475</v>
      </c>
      <c r="J2499">
        <v>198489.23</v>
      </c>
    </row>
    <row r="2500" spans="1:10">
      <c r="A2500" s="90" t="s">
        <v>51</v>
      </c>
      <c r="B2500" s="87">
        <v>45684</v>
      </c>
      <c r="C2500" t="s">
        <v>511</v>
      </c>
      <c r="D2500" t="s">
        <v>2688</v>
      </c>
      <c r="E2500" t="s">
        <v>512</v>
      </c>
      <c r="F2500" t="s">
        <v>509</v>
      </c>
      <c r="G2500" t="s">
        <v>474</v>
      </c>
      <c r="H2500" t="s">
        <v>470</v>
      </c>
      <c r="I2500" t="s">
        <v>475</v>
      </c>
      <c r="J2500">
        <v>610517.06999999995</v>
      </c>
    </row>
    <row r="2501" spans="1:10">
      <c r="A2501" s="90" t="s">
        <v>51</v>
      </c>
      <c r="B2501" s="87">
        <v>45684</v>
      </c>
      <c r="C2501" t="s">
        <v>3978</v>
      </c>
      <c r="D2501" t="s">
        <v>2688</v>
      </c>
      <c r="E2501" t="s">
        <v>3968</v>
      </c>
      <c r="F2501" t="s">
        <v>1382</v>
      </c>
      <c r="G2501" t="s">
        <v>2112</v>
      </c>
      <c r="H2501" t="s">
        <v>470</v>
      </c>
      <c r="I2501" t="s">
        <v>475</v>
      </c>
      <c r="J2501">
        <v>82446.61</v>
      </c>
    </row>
    <row r="2502" spans="1:10">
      <c r="A2502" s="90" t="s">
        <v>51</v>
      </c>
      <c r="B2502" s="87">
        <v>45684</v>
      </c>
      <c r="C2502" t="s">
        <v>3979</v>
      </c>
      <c r="D2502" t="s">
        <v>2688</v>
      </c>
      <c r="E2502" t="s">
        <v>3968</v>
      </c>
      <c r="F2502" t="s">
        <v>1384</v>
      </c>
      <c r="G2502" t="s">
        <v>2112</v>
      </c>
      <c r="H2502" t="s">
        <v>470</v>
      </c>
      <c r="I2502" t="s">
        <v>475</v>
      </c>
      <c r="J2502">
        <v>85569.99</v>
      </c>
    </row>
    <row r="2503" spans="1:10">
      <c r="A2503" s="90" t="s">
        <v>51</v>
      </c>
      <c r="B2503" s="87">
        <v>45685</v>
      </c>
      <c r="C2503" t="s">
        <v>2313</v>
      </c>
      <c r="D2503" t="s">
        <v>2688</v>
      </c>
      <c r="E2503" t="s">
        <v>1756</v>
      </c>
      <c r="F2503" t="s">
        <v>2314</v>
      </c>
      <c r="G2503" t="s">
        <v>59</v>
      </c>
      <c r="H2503" t="s">
        <v>470</v>
      </c>
      <c r="I2503" t="s">
        <v>796</v>
      </c>
      <c r="J2503">
        <v>26408.69</v>
      </c>
    </row>
    <row r="2504" spans="1:10">
      <c r="A2504" s="90" t="s">
        <v>51</v>
      </c>
      <c r="B2504" s="87">
        <v>45685</v>
      </c>
      <c r="C2504" t="s">
        <v>3980</v>
      </c>
      <c r="D2504" t="s">
        <v>2688</v>
      </c>
      <c r="E2504" t="s">
        <v>3968</v>
      </c>
      <c r="F2504" t="s">
        <v>1367</v>
      </c>
      <c r="G2504" t="s">
        <v>2112</v>
      </c>
      <c r="H2504" t="s">
        <v>470</v>
      </c>
      <c r="I2504" t="s">
        <v>475</v>
      </c>
      <c r="J2504">
        <v>83039.88</v>
      </c>
    </row>
    <row r="2505" spans="1:10">
      <c r="A2505" s="90" t="s">
        <v>51</v>
      </c>
      <c r="B2505" s="87">
        <v>45685</v>
      </c>
      <c r="C2505" t="s">
        <v>3981</v>
      </c>
      <c r="D2505" t="s">
        <v>2688</v>
      </c>
      <c r="E2505" t="s">
        <v>2300</v>
      </c>
      <c r="F2505" t="s">
        <v>509</v>
      </c>
      <c r="G2505" t="s">
        <v>70</v>
      </c>
      <c r="H2505" t="s">
        <v>470</v>
      </c>
      <c r="I2505" t="s">
        <v>796</v>
      </c>
      <c r="J2505">
        <v>56</v>
      </c>
    </row>
    <row r="2506" spans="1:10">
      <c r="A2506" s="90" t="s">
        <v>51</v>
      </c>
      <c r="B2506" s="87">
        <v>45685</v>
      </c>
      <c r="C2506" t="s">
        <v>3982</v>
      </c>
      <c r="D2506" t="s">
        <v>2688</v>
      </c>
      <c r="E2506" t="s">
        <v>3968</v>
      </c>
      <c r="F2506" t="s">
        <v>1376</v>
      </c>
      <c r="G2506" t="s">
        <v>2112</v>
      </c>
      <c r="H2506" t="s">
        <v>470</v>
      </c>
      <c r="I2506" t="s">
        <v>475</v>
      </c>
      <c r="J2506">
        <v>65486.17</v>
      </c>
    </row>
    <row r="2507" spans="1:10">
      <c r="A2507" s="90" t="s">
        <v>51</v>
      </c>
      <c r="B2507" s="87">
        <v>45685</v>
      </c>
      <c r="C2507" t="s">
        <v>3983</v>
      </c>
      <c r="D2507" t="s">
        <v>2688</v>
      </c>
      <c r="E2507" t="s">
        <v>3968</v>
      </c>
      <c r="F2507" t="s">
        <v>1378</v>
      </c>
      <c r="G2507" t="s">
        <v>2112</v>
      </c>
      <c r="H2507" t="s">
        <v>470</v>
      </c>
      <c r="I2507" t="s">
        <v>475</v>
      </c>
      <c r="J2507">
        <v>87524.28</v>
      </c>
    </row>
    <row r="2508" spans="1:10">
      <c r="A2508" s="90" t="s">
        <v>51</v>
      </c>
      <c r="B2508" s="87">
        <v>45685</v>
      </c>
      <c r="C2508" t="s">
        <v>3984</v>
      </c>
      <c r="D2508" t="s">
        <v>2688</v>
      </c>
      <c r="E2508" t="s">
        <v>3968</v>
      </c>
      <c r="F2508" t="s">
        <v>1380</v>
      </c>
      <c r="G2508" t="s">
        <v>2112</v>
      </c>
      <c r="H2508" t="s">
        <v>470</v>
      </c>
      <c r="I2508" t="s">
        <v>475</v>
      </c>
      <c r="J2508">
        <v>85412.95</v>
      </c>
    </row>
    <row r="2509" spans="1:10">
      <c r="A2509" s="90" t="s">
        <v>51</v>
      </c>
      <c r="B2509" s="87">
        <v>45685</v>
      </c>
      <c r="C2509" t="s">
        <v>517</v>
      </c>
      <c r="D2509" t="s">
        <v>2688</v>
      </c>
      <c r="E2509" t="s">
        <v>512</v>
      </c>
      <c r="F2509" t="s">
        <v>509</v>
      </c>
      <c r="G2509" t="s">
        <v>474</v>
      </c>
      <c r="H2509" t="s">
        <v>470</v>
      </c>
      <c r="I2509" t="s">
        <v>475</v>
      </c>
      <c r="J2509">
        <v>652072.03</v>
      </c>
    </row>
    <row r="2510" spans="1:10">
      <c r="A2510" s="90" t="s">
        <v>51</v>
      </c>
      <c r="B2510" s="87">
        <v>45687</v>
      </c>
      <c r="C2510" t="s">
        <v>3985</v>
      </c>
      <c r="D2510" t="s">
        <v>2688</v>
      </c>
      <c r="E2510" t="s">
        <v>1137</v>
      </c>
      <c r="F2510" t="s">
        <v>3986</v>
      </c>
      <c r="G2510" t="s">
        <v>61</v>
      </c>
      <c r="H2510" t="s">
        <v>2264</v>
      </c>
      <c r="I2510" t="s">
        <v>487</v>
      </c>
      <c r="J2510">
        <v>1518</v>
      </c>
    </row>
    <row r="2511" spans="1:10">
      <c r="A2511" s="90" t="s">
        <v>51</v>
      </c>
      <c r="B2511" s="87">
        <v>45687</v>
      </c>
      <c r="C2511" t="s">
        <v>2336</v>
      </c>
      <c r="D2511" t="s">
        <v>2688</v>
      </c>
      <c r="E2511" t="s">
        <v>1667</v>
      </c>
      <c r="F2511" t="s">
        <v>509</v>
      </c>
      <c r="G2511" t="s">
        <v>71</v>
      </c>
      <c r="H2511" t="s">
        <v>2264</v>
      </c>
      <c r="I2511" t="s">
        <v>475</v>
      </c>
      <c r="J2511">
        <v>2314</v>
      </c>
    </row>
    <row r="2512" spans="1:10">
      <c r="A2512" s="90" t="s">
        <v>51</v>
      </c>
      <c r="B2512" s="87">
        <v>45687</v>
      </c>
      <c r="C2512" t="s">
        <v>2335</v>
      </c>
      <c r="D2512" t="s">
        <v>2688</v>
      </c>
      <c r="E2512" t="s">
        <v>1756</v>
      </c>
      <c r="F2512" t="s">
        <v>3987</v>
      </c>
      <c r="G2512" t="s">
        <v>67</v>
      </c>
      <c r="H2512" t="s">
        <v>470</v>
      </c>
      <c r="I2512" t="s">
        <v>796</v>
      </c>
      <c r="J2512">
        <v>52501.37</v>
      </c>
    </row>
    <row r="2513" spans="1:10">
      <c r="A2513" s="90" t="s">
        <v>51</v>
      </c>
      <c r="B2513" s="87">
        <v>45687</v>
      </c>
      <c r="C2513" t="s">
        <v>3988</v>
      </c>
      <c r="D2513" t="s">
        <v>2688</v>
      </c>
      <c r="E2513" t="s">
        <v>3968</v>
      </c>
      <c r="F2513" t="s">
        <v>1370</v>
      </c>
      <c r="G2513" t="s">
        <v>2112</v>
      </c>
      <c r="H2513" t="s">
        <v>470</v>
      </c>
      <c r="I2513" t="s">
        <v>475</v>
      </c>
      <c r="J2513">
        <v>83004.98</v>
      </c>
    </row>
    <row r="2514" spans="1:10">
      <c r="A2514" s="90" t="s">
        <v>51</v>
      </c>
      <c r="B2514" s="87">
        <v>45687</v>
      </c>
      <c r="C2514" t="s">
        <v>3989</v>
      </c>
      <c r="D2514" t="s">
        <v>2688</v>
      </c>
      <c r="E2514" t="s">
        <v>3968</v>
      </c>
      <c r="F2514" t="s">
        <v>1372</v>
      </c>
      <c r="G2514" t="s">
        <v>2112</v>
      </c>
      <c r="H2514" t="s">
        <v>470</v>
      </c>
      <c r="I2514" t="s">
        <v>475</v>
      </c>
      <c r="J2514">
        <v>68557.19</v>
      </c>
    </row>
    <row r="2515" spans="1:10">
      <c r="A2515" s="90" t="s">
        <v>51</v>
      </c>
      <c r="B2515" s="87">
        <v>45687</v>
      </c>
      <c r="C2515" t="s">
        <v>3990</v>
      </c>
      <c r="D2515" t="s">
        <v>2688</v>
      </c>
      <c r="E2515" t="s">
        <v>3968</v>
      </c>
      <c r="F2515" t="s">
        <v>1374</v>
      </c>
      <c r="G2515" t="s">
        <v>2112</v>
      </c>
      <c r="H2515" t="s">
        <v>470</v>
      </c>
      <c r="I2515" t="s">
        <v>475</v>
      </c>
      <c r="J2515">
        <v>67440.460000000006</v>
      </c>
    </row>
    <row r="2516" spans="1:10">
      <c r="A2516" s="90" t="s">
        <v>51</v>
      </c>
      <c r="B2516" s="87">
        <v>45687</v>
      </c>
      <c r="C2516" t="s">
        <v>3991</v>
      </c>
      <c r="D2516" t="s">
        <v>2688</v>
      </c>
      <c r="E2516" t="s">
        <v>3958</v>
      </c>
      <c r="F2516" t="s">
        <v>128</v>
      </c>
      <c r="G2516" t="s">
        <v>2112</v>
      </c>
      <c r="H2516" t="s">
        <v>470</v>
      </c>
      <c r="I2516" t="s">
        <v>540</v>
      </c>
      <c r="J2516">
        <v>500000</v>
      </c>
    </row>
    <row r="2517" spans="1:10">
      <c r="A2517" s="90" t="s">
        <v>51</v>
      </c>
      <c r="B2517" s="87">
        <v>45687</v>
      </c>
      <c r="C2517" t="s">
        <v>511</v>
      </c>
      <c r="D2517" t="s">
        <v>2688</v>
      </c>
      <c r="E2517" t="s">
        <v>512</v>
      </c>
      <c r="F2517" t="s">
        <v>509</v>
      </c>
      <c r="G2517" t="s">
        <v>474</v>
      </c>
      <c r="H2517" t="s">
        <v>470</v>
      </c>
      <c r="I2517" t="s">
        <v>475</v>
      </c>
      <c r="J2517">
        <v>475336</v>
      </c>
    </row>
    <row r="2518" spans="1:10">
      <c r="A2518" s="90" t="s">
        <v>51</v>
      </c>
      <c r="B2518" s="87">
        <v>45688</v>
      </c>
      <c r="C2518" t="s">
        <v>2347</v>
      </c>
      <c r="D2518" t="s">
        <v>2688</v>
      </c>
      <c r="E2518" t="s">
        <v>477</v>
      </c>
      <c r="F2518" t="s">
        <v>509</v>
      </c>
      <c r="G2518" t="s">
        <v>68</v>
      </c>
      <c r="H2518" t="s">
        <v>470</v>
      </c>
      <c r="I2518" t="s">
        <v>471</v>
      </c>
      <c r="J2518">
        <v>296.07</v>
      </c>
    </row>
    <row r="2519" spans="1:10">
      <c r="A2519" s="90" t="s">
        <v>51</v>
      </c>
      <c r="B2519" s="87">
        <v>45688</v>
      </c>
      <c r="C2519" t="s">
        <v>2347</v>
      </c>
      <c r="D2519" t="s">
        <v>2688</v>
      </c>
      <c r="E2519" t="s">
        <v>477</v>
      </c>
      <c r="F2519" t="s">
        <v>509</v>
      </c>
      <c r="G2519" t="s">
        <v>68</v>
      </c>
      <c r="H2519" t="s">
        <v>470</v>
      </c>
      <c r="I2519" t="s">
        <v>471</v>
      </c>
      <c r="J2519">
        <v>10.01</v>
      </c>
    </row>
    <row r="2520" spans="1:10">
      <c r="A2520" s="90" t="s">
        <v>51</v>
      </c>
      <c r="B2520" s="87">
        <v>45688</v>
      </c>
      <c r="C2520" t="s">
        <v>2348</v>
      </c>
      <c r="D2520" t="s">
        <v>2688</v>
      </c>
      <c r="E2520" t="s">
        <v>477</v>
      </c>
      <c r="F2520" t="s">
        <v>509</v>
      </c>
      <c r="G2520" t="s">
        <v>66</v>
      </c>
      <c r="H2520" t="s">
        <v>470</v>
      </c>
      <c r="I2520" t="s">
        <v>471</v>
      </c>
      <c r="J2520">
        <v>191.89</v>
      </c>
    </row>
    <row r="2521" spans="1:10">
      <c r="A2521" s="90" t="s">
        <v>51</v>
      </c>
      <c r="B2521" s="87">
        <v>45688</v>
      </c>
      <c r="C2521" t="s">
        <v>2347</v>
      </c>
      <c r="D2521" t="s">
        <v>2688</v>
      </c>
      <c r="E2521" t="s">
        <v>1324</v>
      </c>
      <c r="F2521" t="s">
        <v>509</v>
      </c>
      <c r="G2521" t="s">
        <v>68</v>
      </c>
      <c r="H2521" t="s">
        <v>470</v>
      </c>
      <c r="I2521" t="s">
        <v>471</v>
      </c>
      <c r="J2521">
        <v>2581.4499999999998</v>
      </c>
    </row>
    <row r="2522" spans="1:10">
      <c r="A2522" s="90" t="s">
        <v>51</v>
      </c>
      <c r="B2522" s="87">
        <v>45691</v>
      </c>
      <c r="C2522" t="s">
        <v>3950</v>
      </c>
      <c r="D2522" t="s">
        <v>2688</v>
      </c>
      <c r="E2522" t="s">
        <v>2247</v>
      </c>
      <c r="F2522" t="s">
        <v>2821</v>
      </c>
      <c r="G2522" t="s">
        <v>71</v>
      </c>
      <c r="H2522" t="s">
        <v>470</v>
      </c>
      <c r="I2522" t="s">
        <v>487</v>
      </c>
      <c r="J2522">
        <v>21126.71</v>
      </c>
    </row>
    <row r="2523" spans="1:10">
      <c r="A2523" s="90" t="s">
        <v>51</v>
      </c>
      <c r="B2523" s="87">
        <v>45691</v>
      </c>
      <c r="C2523" t="s">
        <v>3992</v>
      </c>
      <c r="D2523" t="s">
        <v>2688</v>
      </c>
      <c r="E2523" t="s">
        <v>2262</v>
      </c>
      <c r="F2523" t="s">
        <v>3993</v>
      </c>
      <c r="G2523" t="s">
        <v>73</v>
      </c>
      <c r="H2523" t="s">
        <v>2351</v>
      </c>
      <c r="I2523" t="s">
        <v>796</v>
      </c>
      <c r="J2523">
        <v>633.01</v>
      </c>
    </row>
    <row r="2524" spans="1:10">
      <c r="A2524" s="90" t="s">
        <v>51</v>
      </c>
      <c r="B2524" s="87">
        <v>45691</v>
      </c>
      <c r="C2524" t="s">
        <v>563</v>
      </c>
      <c r="D2524" t="s">
        <v>2688</v>
      </c>
      <c r="E2524" t="s">
        <v>512</v>
      </c>
      <c r="F2524" t="s">
        <v>527</v>
      </c>
      <c r="G2524" t="s">
        <v>474</v>
      </c>
      <c r="H2524" t="s">
        <v>470</v>
      </c>
      <c r="I2524" t="s">
        <v>475</v>
      </c>
      <c r="J2524">
        <v>21759.72</v>
      </c>
    </row>
    <row r="2525" spans="1:10">
      <c r="A2525" s="90" t="s">
        <v>51</v>
      </c>
      <c r="B2525" s="87">
        <v>45691</v>
      </c>
      <c r="C2525" t="s">
        <v>517</v>
      </c>
      <c r="D2525" t="s">
        <v>2688</v>
      </c>
      <c r="E2525" t="s">
        <v>512</v>
      </c>
      <c r="F2525" t="s">
        <v>527</v>
      </c>
      <c r="G2525" t="s">
        <v>474</v>
      </c>
      <c r="H2525" t="s">
        <v>470</v>
      </c>
      <c r="I2525" t="s">
        <v>475</v>
      </c>
      <c r="J2525">
        <v>174388.38</v>
      </c>
    </row>
    <row r="2526" spans="1:10">
      <c r="A2526" s="90" t="s">
        <v>51</v>
      </c>
      <c r="B2526" s="87">
        <v>45692</v>
      </c>
      <c r="C2526" t="s">
        <v>3994</v>
      </c>
      <c r="D2526" t="s">
        <v>2688</v>
      </c>
      <c r="E2526" t="s">
        <v>1743</v>
      </c>
      <c r="F2526" t="s">
        <v>1327</v>
      </c>
      <c r="G2526" t="s">
        <v>2125</v>
      </c>
      <c r="H2526" t="s">
        <v>470</v>
      </c>
      <c r="I2526" t="s">
        <v>475</v>
      </c>
      <c r="J2526">
        <v>8092</v>
      </c>
    </row>
    <row r="2527" spans="1:10">
      <c r="A2527" s="90" t="s">
        <v>51</v>
      </c>
      <c r="B2527" s="87">
        <v>45692</v>
      </c>
      <c r="C2527" t="s">
        <v>3995</v>
      </c>
      <c r="D2527" t="s">
        <v>2688</v>
      </c>
      <c r="E2527" t="s">
        <v>1743</v>
      </c>
      <c r="F2527" t="s">
        <v>1329</v>
      </c>
      <c r="G2527" t="s">
        <v>2125</v>
      </c>
      <c r="H2527" t="s">
        <v>470</v>
      </c>
      <c r="I2527" t="s">
        <v>475</v>
      </c>
      <c r="J2527">
        <v>8034.2</v>
      </c>
    </row>
    <row r="2528" spans="1:10">
      <c r="A2528" s="90" t="s">
        <v>51</v>
      </c>
      <c r="B2528" s="87">
        <v>45692</v>
      </c>
      <c r="C2528" t="s">
        <v>3996</v>
      </c>
      <c r="D2528" t="s">
        <v>2688</v>
      </c>
      <c r="E2528" t="s">
        <v>1743</v>
      </c>
      <c r="F2528" t="s">
        <v>1335</v>
      </c>
      <c r="G2528" t="s">
        <v>2125</v>
      </c>
      <c r="H2528" t="s">
        <v>470</v>
      </c>
      <c r="I2528" t="s">
        <v>475</v>
      </c>
      <c r="J2528">
        <v>7723.6</v>
      </c>
    </row>
    <row r="2529" spans="1:10">
      <c r="A2529" s="90" t="s">
        <v>51</v>
      </c>
      <c r="B2529" s="87">
        <v>45692</v>
      </c>
      <c r="C2529" t="s">
        <v>3997</v>
      </c>
      <c r="D2529" t="s">
        <v>2688</v>
      </c>
      <c r="E2529" t="s">
        <v>1743</v>
      </c>
      <c r="F2529" t="s">
        <v>1337</v>
      </c>
      <c r="G2529" t="s">
        <v>2125</v>
      </c>
      <c r="H2529" t="s">
        <v>470</v>
      </c>
      <c r="I2529" t="s">
        <v>475</v>
      </c>
      <c r="J2529">
        <v>7937.3</v>
      </c>
    </row>
    <row r="2530" spans="1:10">
      <c r="A2530" s="90" t="s">
        <v>51</v>
      </c>
      <c r="B2530" s="87">
        <v>45692</v>
      </c>
      <c r="C2530" t="s">
        <v>3998</v>
      </c>
      <c r="D2530" t="s">
        <v>2688</v>
      </c>
      <c r="E2530" t="s">
        <v>3999</v>
      </c>
      <c r="F2530" t="s">
        <v>4000</v>
      </c>
      <c r="G2530" t="s">
        <v>2115</v>
      </c>
      <c r="H2530" t="s">
        <v>470</v>
      </c>
      <c r="I2530" t="s">
        <v>487</v>
      </c>
      <c r="J2530">
        <v>2342.11</v>
      </c>
    </row>
    <row r="2531" spans="1:10">
      <c r="A2531" s="90" t="s">
        <v>51</v>
      </c>
      <c r="B2531" s="87">
        <v>45692</v>
      </c>
      <c r="C2531" t="s">
        <v>511</v>
      </c>
      <c r="D2531" t="s">
        <v>2688</v>
      </c>
      <c r="E2531" t="s">
        <v>512</v>
      </c>
      <c r="F2531" t="s">
        <v>527</v>
      </c>
      <c r="G2531" t="s">
        <v>474</v>
      </c>
      <c r="H2531" t="s">
        <v>470</v>
      </c>
      <c r="I2531" t="s">
        <v>475</v>
      </c>
      <c r="J2531">
        <v>34129.21</v>
      </c>
    </row>
    <row r="2532" spans="1:10">
      <c r="A2532" s="90" t="s">
        <v>51</v>
      </c>
      <c r="B2532" s="87">
        <v>45693</v>
      </c>
      <c r="C2532" t="s">
        <v>4001</v>
      </c>
      <c r="D2532" t="s">
        <v>2688</v>
      </c>
      <c r="E2532" t="s">
        <v>1743</v>
      </c>
      <c r="F2532" t="s">
        <v>1331</v>
      </c>
      <c r="G2532" t="s">
        <v>2125</v>
      </c>
      <c r="H2532" t="s">
        <v>470</v>
      </c>
      <c r="I2532" t="s">
        <v>475</v>
      </c>
      <c r="J2532">
        <v>8075</v>
      </c>
    </row>
    <row r="2533" spans="1:10">
      <c r="A2533" s="90" t="s">
        <v>51</v>
      </c>
      <c r="B2533" s="87">
        <v>45693</v>
      </c>
      <c r="C2533" t="s">
        <v>4002</v>
      </c>
      <c r="D2533" t="s">
        <v>2688</v>
      </c>
      <c r="E2533" t="s">
        <v>1743</v>
      </c>
      <c r="F2533" t="s">
        <v>1333</v>
      </c>
      <c r="G2533" t="s">
        <v>2125</v>
      </c>
      <c r="H2533" t="s">
        <v>470</v>
      </c>
      <c r="I2533" t="s">
        <v>475</v>
      </c>
      <c r="J2533">
        <v>7774.1</v>
      </c>
    </row>
    <row r="2534" spans="1:10">
      <c r="A2534" s="90" t="s">
        <v>51</v>
      </c>
      <c r="B2534" s="87">
        <v>45693</v>
      </c>
      <c r="C2534" t="s">
        <v>4003</v>
      </c>
      <c r="D2534" t="s">
        <v>2688</v>
      </c>
      <c r="E2534" t="s">
        <v>1743</v>
      </c>
      <c r="F2534" t="s">
        <v>1343</v>
      </c>
      <c r="G2534" t="s">
        <v>2125</v>
      </c>
      <c r="H2534" t="s">
        <v>470</v>
      </c>
      <c r="I2534" t="s">
        <v>475</v>
      </c>
      <c r="J2534">
        <v>8399.7000000000007</v>
      </c>
    </row>
    <row r="2535" spans="1:10">
      <c r="A2535" s="90" t="s">
        <v>51</v>
      </c>
      <c r="B2535" s="87">
        <v>45693</v>
      </c>
      <c r="C2535" t="s">
        <v>4004</v>
      </c>
      <c r="D2535" t="s">
        <v>2688</v>
      </c>
      <c r="E2535" t="s">
        <v>3949</v>
      </c>
      <c r="F2535" t="s">
        <v>509</v>
      </c>
      <c r="G2535" t="s">
        <v>65</v>
      </c>
      <c r="H2535" t="s">
        <v>2264</v>
      </c>
      <c r="I2535" t="s">
        <v>796</v>
      </c>
      <c r="J2535">
        <v>179.9</v>
      </c>
    </row>
    <row r="2536" spans="1:10">
      <c r="A2536" s="90" t="s">
        <v>51</v>
      </c>
      <c r="B2536" s="87">
        <v>45693</v>
      </c>
      <c r="C2536" t="s">
        <v>4005</v>
      </c>
      <c r="D2536" t="s">
        <v>2688</v>
      </c>
      <c r="E2536" t="s">
        <v>1401</v>
      </c>
      <c r="F2536" t="s">
        <v>1485</v>
      </c>
      <c r="G2536" t="s">
        <v>2112</v>
      </c>
      <c r="H2536" t="s">
        <v>470</v>
      </c>
      <c r="I2536" t="s">
        <v>487</v>
      </c>
      <c r="J2536">
        <v>69322.600000000006</v>
      </c>
    </row>
    <row r="2537" spans="1:10">
      <c r="A2537" s="90" t="s">
        <v>51</v>
      </c>
      <c r="B2537" s="87">
        <v>45693</v>
      </c>
      <c r="C2537" t="s">
        <v>2275</v>
      </c>
      <c r="D2537" t="s">
        <v>2688</v>
      </c>
      <c r="E2537" t="s">
        <v>477</v>
      </c>
      <c r="F2537" t="s">
        <v>527</v>
      </c>
      <c r="G2537" t="s">
        <v>74</v>
      </c>
      <c r="H2537" t="s">
        <v>470</v>
      </c>
      <c r="I2537" t="s">
        <v>471</v>
      </c>
      <c r="J2537">
        <v>171.2</v>
      </c>
    </row>
    <row r="2538" spans="1:10">
      <c r="A2538" s="90" t="s">
        <v>51</v>
      </c>
      <c r="B2538" s="87">
        <v>45693</v>
      </c>
      <c r="C2538" t="s">
        <v>2364</v>
      </c>
      <c r="D2538" t="s">
        <v>2688</v>
      </c>
      <c r="E2538" t="s">
        <v>1667</v>
      </c>
      <c r="F2538" t="s">
        <v>527</v>
      </c>
      <c r="G2538" t="s">
        <v>71</v>
      </c>
      <c r="H2538" t="s">
        <v>470</v>
      </c>
      <c r="I2538" t="s">
        <v>475</v>
      </c>
      <c r="J2538">
        <v>10000</v>
      </c>
    </row>
    <row r="2539" spans="1:10">
      <c r="A2539" s="90" t="s">
        <v>51</v>
      </c>
      <c r="B2539" s="87">
        <v>45693</v>
      </c>
      <c r="C2539" t="s">
        <v>511</v>
      </c>
      <c r="D2539" t="s">
        <v>2688</v>
      </c>
      <c r="E2539" t="s">
        <v>512</v>
      </c>
      <c r="F2539" t="s">
        <v>527</v>
      </c>
      <c r="G2539" t="s">
        <v>474</v>
      </c>
      <c r="H2539" t="s">
        <v>470</v>
      </c>
      <c r="I2539" t="s">
        <v>475</v>
      </c>
      <c r="J2539">
        <v>103922.5</v>
      </c>
    </row>
    <row r="2540" spans="1:10">
      <c r="A2540" s="90" t="s">
        <v>51</v>
      </c>
      <c r="B2540" s="87">
        <v>45694</v>
      </c>
      <c r="C2540" t="s">
        <v>4006</v>
      </c>
      <c r="D2540" t="s">
        <v>2688</v>
      </c>
      <c r="E2540" t="s">
        <v>3968</v>
      </c>
      <c r="F2540" t="s">
        <v>124</v>
      </c>
      <c r="G2540" t="s">
        <v>2494</v>
      </c>
      <c r="H2540" t="s">
        <v>470</v>
      </c>
      <c r="I2540" t="s">
        <v>796</v>
      </c>
      <c r="J2540">
        <v>42281.55</v>
      </c>
    </row>
    <row r="2541" spans="1:10">
      <c r="A2541" s="90" t="s">
        <v>51</v>
      </c>
      <c r="B2541" s="87">
        <v>45694</v>
      </c>
      <c r="C2541" t="s">
        <v>4007</v>
      </c>
      <c r="D2541" t="s">
        <v>2688</v>
      </c>
      <c r="E2541" t="s">
        <v>3968</v>
      </c>
      <c r="F2541" t="s">
        <v>124</v>
      </c>
      <c r="G2541" t="s">
        <v>2494</v>
      </c>
      <c r="H2541" t="s">
        <v>470</v>
      </c>
      <c r="I2541" t="s">
        <v>796</v>
      </c>
      <c r="J2541">
        <v>2431.19</v>
      </c>
    </row>
    <row r="2542" spans="1:10">
      <c r="A2542" s="90" t="s">
        <v>51</v>
      </c>
      <c r="B2542" s="87">
        <v>45694</v>
      </c>
      <c r="C2542" t="s">
        <v>4008</v>
      </c>
      <c r="D2542" t="s">
        <v>2688</v>
      </c>
      <c r="E2542" t="s">
        <v>3958</v>
      </c>
      <c r="F2542" t="s">
        <v>128</v>
      </c>
      <c r="G2542" t="s">
        <v>2494</v>
      </c>
      <c r="H2542" t="s">
        <v>470</v>
      </c>
      <c r="I2542" t="s">
        <v>796</v>
      </c>
      <c r="J2542">
        <v>29218.799999999999</v>
      </c>
    </row>
    <row r="2543" spans="1:10">
      <c r="A2543" s="90" t="s">
        <v>51</v>
      </c>
      <c r="B2543" s="87">
        <v>45694</v>
      </c>
      <c r="C2543" t="s">
        <v>4009</v>
      </c>
      <c r="D2543" t="s">
        <v>2688</v>
      </c>
      <c r="E2543" t="s">
        <v>3958</v>
      </c>
      <c r="F2543" t="s">
        <v>128</v>
      </c>
      <c r="G2543" t="s">
        <v>2494</v>
      </c>
      <c r="H2543" t="s">
        <v>470</v>
      </c>
      <c r="I2543" t="s">
        <v>796</v>
      </c>
      <c r="J2543">
        <v>1680.08</v>
      </c>
    </row>
    <row r="2544" spans="1:10">
      <c r="A2544" s="90" t="s">
        <v>51</v>
      </c>
      <c r="B2544" s="87">
        <v>45698</v>
      </c>
      <c r="C2544" t="s">
        <v>4010</v>
      </c>
      <c r="D2544" t="s">
        <v>2688</v>
      </c>
      <c r="E2544" t="s">
        <v>1743</v>
      </c>
      <c r="F2544" t="s">
        <v>1361</v>
      </c>
      <c r="G2544" t="s">
        <v>2125</v>
      </c>
      <c r="H2544" t="s">
        <v>470</v>
      </c>
      <c r="I2544" t="s">
        <v>475</v>
      </c>
      <c r="J2544">
        <v>7567</v>
      </c>
    </row>
    <row r="2545" spans="1:10">
      <c r="A2545" s="90" t="s">
        <v>51</v>
      </c>
      <c r="B2545" s="87">
        <v>45698</v>
      </c>
      <c r="C2545" t="s">
        <v>4011</v>
      </c>
      <c r="D2545" t="s">
        <v>2688</v>
      </c>
      <c r="E2545" t="s">
        <v>1743</v>
      </c>
      <c r="F2545" t="s">
        <v>1363</v>
      </c>
      <c r="G2545" t="s">
        <v>2125</v>
      </c>
      <c r="H2545" t="s">
        <v>470</v>
      </c>
      <c r="I2545" t="s">
        <v>475</v>
      </c>
      <c r="J2545">
        <v>6400.5</v>
      </c>
    </row>
    <row r="2546" spans="1:10">
      <c r="A2546" s="90" t="s">
        <v>51</v>
      </c>
      <c r="B2546" s="87">
        <v>45698</v>
      </c>
      <c r="C2546" t="s">
        <v>4012</v>
      </c>
      <c r="D2546" t="s">
        <v>2688</v>
      </c>
      <c r="E2546" t="s">
        <v>1743</v>
      </c>
      <c r="F2546" t="s">
        <v>1367</v>
      </c>
      <c r="G2546" t="s">
        <v>2125</v>
      </c>
      <c r="H2546" t="s">
        <v>470</v>
      </c>
      <c r="I2546" t="s">
        <v>475</v>
      </c>
      <c r="J2546">
        <v>8090.3</v>
      </c>
    </row>
    <row r="2547" spans="1:10">
      <c r="A2547" s="90" t="s">
        <v>51</v>
      </c>
      <c r="B2547" s="87">
        <v>45698</v>
      </c>
      <c r="C2547" t="s">
        <v>4013</v>
      </c>
      <c r="D2547" t="s">
        <v>2688</v>
      </c>
      <c r="E2547" t="s">
        <v>1743</v>
      </c>
      <c r="F2547" t="s">
        <v>1384</v>
      </c>
      <c r="G2547" t="s">
        <v>2125</v>
      </c>
      <c r="H2547" t="s">
        <v>470</v>
      </c>
      <c r="I2547" t="s">
        <v>475</v>
      </c>
      <c r="J2547">
        <v>8336.7999999999993</v>
      </c>
    </row>
    <row r="2548" spans="1:10">
      <c r="A2548" s="90" t="s">
        <v>51</v>
      </c>
      <c r="B2548" s="87">
        <v>45698</v>
      </c>
      <c r="C2548" t="s">
        <v>2295</v>
      </c>
      <c r="D2548" t="s">
        <v>2688</v>
      </c>
      <c r="E2548" t="s">
        <v>477</v>
      </c>
      <c r="F2548" t="s">
        <v>527</v>
      </c>
      <c r="G2548" t="s">
        <v>2295</v>
      </c>
      <c r="H2548" t="s">
        <v>470</v>
      </c>
      <c r="I2548" t="s">
        <v>471</v>
      </c>
      <c r="J2548">
        <v>703</v>
      </c>
    </row>
    <row r="2549" spans="1:10">
      <c r="A2549" s="90" t="s">
        <v>51</v>
      </c>
      <c r="B2549" s="87">
        <v>45698</v>
      </c>
      <c r="C2549" t="s">
        <v>511</v>
      </c>
      <c r="D2549" t="s">
        <v>2688</v>
      </c>
      <c r="E2549" t="s">
        <v>512</v>
      </c>
      <c r="F2549" t="s">
        <v>527</v>
      </c>
      <c r="G2549" t="s">
        <v>474</v>
      </c>
      <c r="H2549" t="s">
        <v>470</v>
      </c>
      <c r="I2549" t="s">
        <v>475</v>
      </c>
      <c r="J2549">
        <v>31097.599999999999</v>
      </c>
    </row>
    <row r="2550" spans="1:10">
      <c r="A2550" s="90" t="s">
        <v>51</v>
      </c>
      <c r="B2550" s="87">
        <v>45702</v>
      </c>
      <c r="C2550" t="s">
        <v>4014</v>
      </c>
      <c r="D2550" t="s">
        <v>2688</v>
      </c>
      <c r="E2550" t="s">
        <v>1743</v>
      </c>
      <c r="F2550" t="s">
        <v>1365</v>
      </c>
      <c r="G2550" t="s">
        <v>2125</v>
      </c>
      <c r="H2550" t="s">
        <v>470</v>
      </c>
      <c r="I2550" t="s">
        <v>475</v>
      </c>
      <c r="J2550">
        <v>7995.1</v>
      </c>
    </row>
    <row r="2551" spans="1:10">
      <c r="A2551" s="90" t="s">
        <v>51</v>
      </c>
      <c r="B2551" s="87">
        <v>45702</v>
      </c>
      <c r="C2551" t="s">
        <v>4015</v>
      </c>
      <c r="D2551" t="s">
        <v>2688</v>
      </c>
      <c r="E2551" t="s">
        <v>1743</v>
      </c>
      <c r="F2551" t="s">
        <v>1370</v>
      </c>
      <c r="G2551" t="s">
        <v>2125</v>
      </c>
      <c r="H2551" t="s">
        <v>470</v>
      </c>
      <c r="I2551" t="s">
        <v>475</v>
      </c>
      <c r="J2551">
        <v>11416.8</v>
      </c>
    </row>
    <row r="2552" spans="1:10">
      <c r="A2552" s="90" t="s">
        <v>51</v>
      </c>
      <c r="B2552" s="87">
        <v>45702</v>
      </c>
      <c r="C2552" t="s">
        <v>4016</v>
      </c>
      <c r="D2552" t="s">
        <v>2688</v>
      </c>
      <c r="E2552" t="s">
        <v>1743</v>
      </c>
      <c r="F2552" t="s">
        <v>1374</v>
      </c>
      <c r="G2552" t="s">
        <v>2125</v>
      </c>
      <c r="H2552" t="s">
        <v>470</v>
      </c>
      <c r="I2552" t="s">
        <v>475</v>
      </c>
      <c r="J2552">
        <v>9276</v>
      </c>
    </row>
    <row r="2553" spans="1:10">
      <c r="A2553" s="90" t="s">
        <v>51</v>
      </c>
      <c r="B2553" s="87">
        <v>45702</v>
      </c>
      <c r="C2553" t="s">
        <v>4017</v>
      </c>
      <c r="D2553" t="s">
        <v>2688</v>
      </c>
      <c r="E2553" t="s">
        <v>1743</v>
      </c>
      <c r="F2553" t="s">
        <v>1376</v>
      </c>
      <c r="G2553" t="s">
        <v>2125</v>
      </c>
      <c r="H2553" t="s">
        <v>470</v>
      </c>
      <c r="I2553" t="s">
        <v>475</v>
      </c>
      <c r="J2553">
        <v>4128.3</v>
      </c>
    </row>
    <row r="2554" spans="1:10">
      <c r="A2554" s="90" t="s">
        <v>51</v>
      </c>
      <c r="B2554" s="87">
        <v>45702</v>
      </c>
      <c r="C2554" t="s">
        <v>4018</v>
      </c>
      <c r="D2554" t="s">
        <v>2688</v>
      </c>
      <c r="E2554" t="s">
        <v>1743</v>
      </c>
      <c r="F2554" t="s">
        <v>1378</v>
      </c>
      <c r="G2554" t="s">
        <v>2125</v>
      </c>
      <c r="H2554" t="s">
        <v>470</v>
      </c>
      <c r="I2554" t="s">
        <v>475</v>
      </c>
      <c r="J2554">
        <v>5517.6</v>
      </c>
    </row>
    <row r="2555" spans="1:10">
      <c r="A2555" s="90" t="s">
        <v>51</v>
      </c>
      <c r="B2555" s="87">
        <v>45702</v>
      </c>
      <c r="C2555" t="s">
        <v>4019</v>
      </c>
      <c r="D2555" t="s">
        <v>2688</v>
      </c>
      <c r="E2555" t="s">
        <v>1743</v>
      </c>
      <c r="F2555" t="s">
        <v>1380</v>
      </c>
      <c r="G2555" t="s">
        <v>2125</v>
      </c>
      <c r="H2555" t="s">
        <v>470</v>
      </c>
      <c r="I2555" t="s">
        <v>475</v>
      </c>
      <c r="J2555">
        <v>5089.3999999999996</v>
      </c>
    </row>
    <row r="2556" spans="1:10">
      <c r="A2556" s="90" t="s">
        <v>51</v>
      </c>
      <c r="B2556" s="87">
        <v>45702</v>
      </c>
      <c r="C2556" t="s">
        <v>4020</v>
      </c>
      <c r="D2556" t="s">
        <v>2688</v>
      </c>
      <c r="E2556" t="s">
        <v>3107</v>
      </c>
      <c r="F2556" t="s">
        <v>527</v>
      </c>
      <c r="G2556" t="s">
        <v>60</v>
      </c>
      <c r="H2556" t="s">
        <v>2351</v>
      </c>
      <c r="I2556" t="s">
        <v>796</v>
      </c>
      <c r="J2556">
        <v>520.74</v>
      </c>
    </row>
    <row r="2557" spans="1:10">
      <c r="A2557" s="90" t="s">
        <v>51</v>
      </c>
      <c r="B2557" s="87">
        <v>45702</v>
      </c>
      <c r="C2557" t="s">
        <v>2364</v>
      </c>
      <c r="D2557" t="s">
        <v>2688</v>
      </c>
      <c r="E2557" t="s">
        <v>1667</v>
      </c>
      <c r="F2557" t="s">
        <v>527</v>
      </c>
      <c r="G2557" t="s">
        <v>71</v>
      </c>
      <c r="H2557" t="s">
        <v>470</v>
      </c>
      <c r="I2557" t="s">
        <v>475</v>
      </c>
      <c r="J2557">
        <v>4000</v>
      </c>
    </row>
    <row r="2558" spans="1:10">
      <c r="A2558" s="90" t="s">
        <v>51</v>
      </c>
      <c r="B2558" s="87">
        <v>45702</v>
      </c>
      <c r="C2558" t="s">
        <v>511</v>
      </c>
      <c r="D2558" t="s">
        <v>2688</v>
      </c>
      <c r="E2558" t="s">
        <v>512</v>
      </c>
      <c r="F2558" t="s">
        <v>527</v>
      </c>
      <c r="G2558" t="s">
        <v>474</v>
      </c>
      <c r="H2558" t="s">
        <v>470</v>
      </c>
      <c r="I2558" t="s">
        <v>475</v>
      </c>
      <c r="J2558">
        <v>47943.94</v>
      </c>
    </row>
    <row r="2559" spans="1:10">
      <c r="A2559" s="90" t="s">
        <v>51</v>
      </c>
      <c r="B2559" s="87">
        <v>45705</v>
      </c>
      <c r="C2559" t="s">
        <v>4021</v>
      </c>
      <c r="D2559" t="s">
        <v>2688</v>
      </c>
      <c r="E2559" t="s">
        <v>1401</v>
      </c>
      <c r="F2559" t="s">
        <v>1489</v>
      </c>
      <c r="G2559" t="s">
        <v>2112</v>
      </c>
      <c r="H2559" t="s">
        <v>470</v>
      </c>
      <c r="I2559" t="s">
        <v>487</v>
      </c>
      <c r="J2559">
        <v>40000</v>
      </c>
    </row>
    <row r="2560" spans="1:10">
      <c r="A2560" s="90" t="s">
        <v>51</v>
      </c>
      <c r="B2560" s="87">
        <v>45705</v>
      </c>
      <c r="C2560" t="s">
        <v>4022</v>
      </c>
      <c r="D2560" t="s">
        <v>2688</v>
      </c>
      <c r="E2560" t="s">
        <v>477</v>
      </c>
      <c r="F2560" t="s">
        <v>3954</v>
      </c>
      <c r="G2560" t="s">
        <v>515</v>
      </c>
      <c r="H2560" t="s">
        <v>4023</v>
      </c>
      <c r="I2560" t="s">
        <v>471</v>
      </c>
      <c r="J2560">
        <v>54166.67</v>
      </c>
    </row>
    <row r="2561" spans="1:10">
      <c r="A2561" s="90" t="s">
        <v>51</v>
      </c>
      <c r="B2561" s="87">
        <v>45705</v>
      </c>
      <c r="C2561" t="s">
        <v>4022</v>
      </c>
      <c r="D2561" t="s">
        <v>2688</v>
      </c>
      <c r="E2561" t="s">
        <v>477</v>
      </c>
      <c r="F2561" t="s">
        <v>3954</v>
      </c>
      <c r="G2561" t="s">
        <v>69</v>
      </c>
      <c r="H2561" t="s">
        <v>4023</v>
      </c>
      <c r="I2561" t="s">
        <v>471</v>
      </c>
      <c r="J2561">
        <v>9677.6</v>
      </c>
    </row>
    <row r="2562" spans="1:10">
      <c r="A2562" s="90" t="s">
        <v>51</v>
      </c>
      <c r="B2562" s="87">
        <v>45705</v>
      </c>
      <c r="C2562" t="s">
        <v>511</v>
      </c>
      <c r="D2562" t="s">
        <v>2688</v>
      </c>
      <c r="E2562" t="s">
        <v>512</v>
      </c>
      <c r="F2562" t="s">
        <v>527</v>
      </c>
      <c r="G2562" t="s">
        <v>474</v>
      </c>
      <c r="H2562" t="s">
        <v>470</v>
      </c>
      <c r="I2562" t="s">
        <v>475</v>
      </c>
      <c r="J2562">
        <v>103844.27</v>
      </c>
    </row>
    <row r="2563" spans="1:10">
      <c r="A2563" s="90" t="s">
        <v>51</v>
      </c>
      <c r="B2563" s="87">
        <v>45707</v>
      </c>
      <c r="C2563" t="s">
        <v>4024</v>
      </c>
      <c r="D2563" t="s">
        <v>2688</v>
      </c>
      <c r="E2563" t="s">
        <v>1743</v>
      </c>
      <c r="F2563" t="s">
        <v>1372</v>
      </c>
      <c r="G2563" t="s">
        <v>2125</v>
      </c>
      <c r="H2563" t="s">
        <v>470</v>
      </c>
      <c r="I2563" t="s">
        <v>475</v>
      </c>
      <c r="J2563">
        <v>9429.6</v>
      </c>
    </row>
    <row r="2564" spans="1:10">
      <c r="A2564" s="90" t="s">
        <v>51</v>
      </c>
      <c r="B2564" s="87">
        <v>45707</v>
      </c>
      <c r="C2564" t="s">
        <v>4025</v>
      </c>
      <c r="D2564" t="s">
        <v>2688</v>
      </c>
      <c r="E2564" t="s">
        <v>1743</v>
      </c>
      <c r="F2564" t="s">
        <v>1382</v>
      </c>
      <c r="G2564" t="s">
        <v>2125</v>
      </c>
      <c r="H2564" t="s">
        <v>470</v>
      </c>
      <c r="I2564" t="s">
        <v>475</v>
      </c>
      <c r="J2564">
        <v>5197.5</v>
      </c>
    </row>
    <row r="2565" spans="1:10">
      <c r="A2565" s="90" t="s">
        <v>51</v>
      </c>
      <c r="B2565" s="87">
        <v>45707</v>
      </c>
      <c r="C2565" t="s">
        <v>4026</v>
      </c>
      <c r="D2565" t="s">
        <v>2688</v>
      </c>
      <c r="E2565" t="s">
        <v>4027</v>
      </c>
      <c r="F2565" t="s">
        <v>527</v>
      </c>
      <c r="G2565" t="s">
        <v>70</v>
      </c>
      <c r="H2565" t="s">
        <v>470</v>
      </c>
      <c r="I2565" t="s">
        <v>796</v>
      </c>
      <c r="J2565">
        <v>1968.8</v>
      </c>
    </row>
    <row r="2566" spans="1:10">
      <c r="A2566" s="90" t="s">
        <v>51</v>
      </c>
      <c r="B2566" s="87">
        <v>45707</v>
      </c>
      <c r="C2566" t="s">
        <v>511</v>
      </c>
      <c r="D2566" t="s">
        <v>2688</v>
      </c>
      <c r="E2566" t="s">
        <v>512</v>
      </c>
      <c r="F2566" t="s">
        <v>527</v>
      </c>
      <c r="G2566" t="s">
        <v>474</v>
      </c>
      <c r="H2566" t="s">
        <v>470</v>
      </c>
      <c r="I2566" t="s">
        <v>475</v>
      </c>
      <c r="J2566">
        <v>16595.900000000001</v>
      </c>
    </row>
    <row r="2567" spans="1:10">
      <c r="A2567" s="90" t="s">
        <v>51</v>
      </c>
      <c r="B2567" s="87">
        <v>45708</v>
      </c>
      <c r="C2567" t="s">
        <v>4028</v>
      </c>
      <c r="D2567" t="s">
        <v>2688</v>
      </c>
      <c r="E2567" t="s">
        <v>773</v>
      </c>
      <c r="F2567" t="s">
        <v>536</v>
      </c>
      <c r="G2567" t="s">
        <v>537</v>
      </c>
      <c r="H2567" t="s">
        <v>470</v>
      </c>
      <c r="I2567" t="s">
        <v>475</v>
      </c>
      <c r="J2567">
        <v>400000</v>
      </c>
    </row>
    <row r="2568" spans="1:10">
      <c r="A2568" s="90" t="s">
        <v>51</v>
      </c>
      <c r="B2568" s="87">
        <v>45708</v>
      </c>
      <c r="C2568" t="s">
        <v>4029</v>
      </c>
      <c r="D2568" t="s">
        <v>2688</v>
      </c>
      <c r="E2568" t="s">
        <v>773</v>
      </c>
      <c r="F2568" t="s">
        <v>539</v>
      </c>
      <c r="G2568" t="s">
        <v>537</v>
      </c>
      <c r="H2568" t="s">
        <v>470</v>
      </c>
      <c r="I2568" t="s">
        <v>475</v>
      </c>
      <c r="J2568">
        <v>1550000</v>
      </c>
    </row>
    <row r="2569" spans="1:10">
      <c r="A2569" s="90" t="s">
        <v>51</v>
      </c>
      <c r="B2569" s="87">
        <v>45708</v>
      </c>
      <c r="C2569" t="s">
        <v>4030</v>
      </c>
      <c r="D2569" t="s">
        <v>2688</v>
      </c>
      <c r="E2569" t="s">
        <v>3968</v>
      </c>
      <c r="F2569" t="s">
        <v>124</v>
      </c>
      <c r="G2569" t="s">
        <v>2381</v>
      </c>
      <c r="H2569" t="s">
        <v>470</v>
      </c>
      <c r="I2569" t="s">
        <v>796</v>
      </c>
      <c r="J2569">
        <v>3125.66</v>
      </c>
    </row>
    <row r="2570" spans="1:10">
      <c r="A2570" s="90" t="s">
        <v>51</v>
      </c>
      <c r="B2570" s="87">
        <v>45708</v>
      </c>
      <c r="C2570" t="s">
        <v>4021</v>
      </c>
      <c r="D2570" t="s">
        <v>2688</v>
      </c>
      <c r="E2570" t="s">
        <v>1401</v>
      </c>
      <c r="F2570" t="s">
        <v>1489</v>
      </c>
      <c r="G2570" t="s">
        <v>2112</v>
      </c>
      <c r="H2570" t="s">
        <v>470</v>
      </c>
      <c r="I2570" t="s">
        <v>487</v>
      </c>
      <c r="J2570">
        <v>37777.300000000003</v>
      </c>
    </row>
    <row r="2571" spans="1:10">
      <c r="A2571" s="90" t="s">
        <v>51</v>
      </c>
      <c r="B2571" s="87">
        <v>45708</v>
      </c>
      <c r="C2571" t="s">
        <v>4031</v>
      </c>
      <c r="D2571" t="s">
        <v>2688</v>
      </c>
      <c r="E2571" t="s">
        <v>3958</v>
      </c>
      <c r="F2571" t="s">
        <v>128</v>
      </c>
      <c r="G2571" t="s">
        <v>2381</v>
      </c>
      <c r="H2571" t="s">
        <v>470</v>
      </c>
      <c r="I2571" t="s">
        <v>796</v>
      </c>
      <c r="J2571">
        <v>2100</v>
      </c>
    </row>
    <row r="2572" spans="1:10">
      <c r="A2572" s="90" t="s">
        <v>51</v>
      </c>
      <c r="B2572" s="87">
        <v>45708</v>
      </c>
      <c r="C2572" t="s">
        <v>3952</v>
      </c>
      <c r="D2572" t="s">
        <v>2688</v>
      </c>
      <c r="E2572" t="s">
        <v>2318</v>
      </c>
      <c r="F2572" t="s">
        <v>509</v>
      </c>
      <c r="G2572" t="s">
        <v>64</v>
      </c>
      <c r="H2572" t="s">
        <v>2264</v>
      </c>
      <c r="I2572" t="s">
        <v>796</v>
      </c>
      <c r="J2572">
        <v>806</v>
      </c>
    </row>
    <row r="2573" spans="1:10">
      <c r="A2573" s="90" t="s">
        <v>51</v>
      </c>
      <c r="B2573" s="87">
        <v>45708</v>
      </c>
      <c r="C2573" t="s">
        <v>4032</v>
      </c>
      <c r="D2573" t="s">
        <v>2688</v>
      </c>
      <c r="E2573" t="s">
        <v>3958</v>
      </c>
      <c r="F2573" t="s">
        <v>128</v>
      </c>
      <c r="G2573" t="s">
        <v>2112</v>
      </c>
      <c r="H2573" t="s">
        <v>470</v>
      </c>
      <c r="I2573" t="s">
        <v>540</v>
      </c>
      <c r="J2573">
        <v>17001</v>
      </c>
    </row>
    <row r="2574" spans="1:10">
      <c r="A2574" s="90" t="s">
        <v>51</v>
      </c>
      <c r="B2574" s="87">
        <v>45708</v>
      </c>
      <c r="C2574" t="s">
        <v>1399</v>
      </c>
      <c r="D2574" t="s">
        <v>2688</v>
      </c>
      <c r="E2574" t="s">
        <v>512</v>
      </c>
      <c r="F2574" t="s">
        <v>527</v>
      </c>
      <c r="G2574" t="s">
        <v>474</v>
      </c>
      <c r="H2574" t="s">
        <v>470</v>
      </c>
      <c r="I2574" t="s">
        <v>475</v>
      </c>
      <c r="J2574">
        <v>1600000</v>
      </c>
    </row>
    <row r="2575" spans="1:10">
      <c r="A2575" s="90" t="s">
        <v>51</v>
      </c>
      <c r="B2575" s="87">
        <v>45708</v>
      </c>
      <c r="C2575" t="s">
        <v>4033</v>
      </c>
      <c r="D2575" t="s">
        <v>2688</v>
      </c>
      <c r="E2575" t="s">
        <v>1693</v>
      </c>
      <c r="F2575" t="s">
        <v>170</v>
      </c>
      <c r="G2575" t="s">
        <v>2112</v>
      </c>
      <c r="H2575" t="s">
        <v>470</v>
      </c>
      <c r="I2575" t="s">
        <v>487</v>
      </c>
      <c r="J2575">
        <v>100000</v>
      </c>
    </row>
    <row r="2576" spans="1:10">
      <c r="A2576" s="90" t="s">
        <v>51</v>
      </c>
      <c r="B2576" s="87">
        <v>45708</v>
      </c>
      <c r="C2576" t="s">
        <v>562</v>
      </c>
      <c r="D2576" t="s">
        <v>2688</v>
      </c>
      <c r="E2576" t="s">
        <v>512</v>
      </c>
      <c r="F2576" t="s">
        <v>527</v>
      </c>
      <c r="G2576" t="s">
        <v>474</v>
      </c>
      <c r="H2576" t="s">
        <v>470</v>
      </c>
      <c r="I2576" t="s">
        <v>475</v>
      </c>
      <c r="J2576">
        <v>589190.03</v>
      </c>
    </row>
    <row r="2577" spans="1:10">
      <c r="A2577" s="90" t="s">
        <v>51</v>
      </c>
      <c r="B2577" s="87">
        <v>45709</v>
      </c>
      <c r="C2577" t="s">
        <v>511</v>
      </c>
      <c r="D2577" t="s">
        <v>2688</v>
      </c>
      <c r="E2577" t="s">
        <v>512</v>
      </c>
      <c r="F2577" t="s">
        <v>527</v>
      </c>
      <c r="G2577" t="s">
        <v>474</v>
      </c>
      <c r="H2577" t="s">
        <v>470</v>
      </c>
      <c r="I2577" t="s">
        <v>475</v>
      </c>
      <c r="J2577">
        <v>550000</v>
      </c>
    </row>
    <row r="2578" spans="1:10">
      <c r="A2578" s="90" t="s">
        <v>51</v>
      </c>
      <c r="B2578" s="87">
        <v>45709</v>
      </c>
      <c r="C2578" t="s">
        <v>517</v>
      </c>
      <c r="D2578" t="s">
        <v>2688</v>
      </c>
      <c r="E2578" t="s">
        <v>512</v>
      </c>
      <c r="F2578" t="s">
        <v>780</v>
      </c>
      <c r="G2578" t="s">
        <v>474</v>
      </c>
      <c r="H2578" t="s">
        <v>470</v>
      </c>
      <c r="I2578" t="s">
        <v>475</v>
      </c>
      <c r="J2578">
        <v>550000</v>
      </c>
    </row>
    <row r="2579" spans="1:10">
      <c r="A2579" s="90" t="s">
        <v>51</v>
      </c>
      <c r="B2579" s="87">
        <v>45712</v>
      </c>
      <c r="C2579" t="s">
        <v>3961</v>
      </c>
      <c r="D2579" t="s">
        <v>2688</v>
      </c>
      <c r="E2579" t="s">
        <v>3962</v>
      </c>
      <c r="F2579" t="s">
        <v>4034</v>
      </c>
      <c r="G2579" t="s">
        <v>63</v>
      </c>
      <c r="H2579" t="s">
        <v>2351</v>
      </c>
      <c r="I2579" t="s">
        <v>475</v>
      </c>
      <c r="J2579">
        <v>84</v>
      </c>
    </row>
    <row r="2580" spans="1:10">
      <c r="A2580" s="90" t="s">
        <v>51</v>
      </c>
      <c r="B2580" s="87">
        <v>45712</v>
      </c>
      <c r="C2580" t="s">
        <v>511</v>
      </c>
      <c r="D2580" t="s">
        <v>2688</v>
      </c>
      <c r="E2580" t="s">
        <v>512</v>
      </c>
      <c r="F2580" t="s">
        <v>527</v>
      </c>
      <c r="G2580" t="s">
        <v>474</v>
      </c>
      <c r="H2580" t="s">
        <v>470</v>
      </c>
      <c r="I2580" t="s">
        <v>475</v>
      </c>
      <c r="J2580">
        <v>84</v>
      </c>
    </row>
    <row r="2581" spans="1:10">
      <c r="A2581" s="90" t="s">
        <v>51</v>
      </c>
      <c r="B2581" s="87">
        <v>45713</v>
      </c>
      <c r="C2581" t="s">
        <v>4035</v>
      </c>
      <c r="D2581" t="s">
        <v>2688</v>
      </c>
      <c r="E2581" t="s">
        <v>4036</v>
      </c>
      <c r="F2581" t="s">
        <v>4037</v>
      </c>
      <c r="G2581" t="s">
        <v>2112</v>
      </c>
      <c r="H2581" t="s">
        <v>470</v>
      </c>
      <c r="I2581" t="s">
        <v>482</v>
      </c>
      <c r="J2581">
        <v>1600</v>
      </c>
    </row>
    <row r="2582" spans="1:10">
      <c r="A2582" s="90" t="s">
        <v>51</v>
      </c>
      <c r="B2582" s="87">
        <v>45713</v>
      </c>
      <c r="C2582" t="s">
        <v>511</v>
      </c>
      <c r="D2582" t="s">
        <v>2688</v>
      </c>
      <c r="E2582" t="s">
        <v>512</v>
      </c>
      <c r="F2582" t="s">
        <v>527</v>
      </c>
      <c r="G2582" t="s">
        <v>474</v>
      </c>
      <c r="H2582" t="s">
        <v>470</v>
      </c>
      <c r="I2582" t="s">
        <v>475</v>
      </c>
      <c r="J2582">
        <v>1600</v>
      </c>
    </row>
    <row r="2583" spans="1:10">
      <c r="A2583" s="90" t="s">
        <v>51</v>
      </c>
      <c r="B2583" s="87">
        <v>45716</v>
      </c>
      <c r="C2583" t="s">
        <v>2336</v>
      </c>
      <c r="D2583" t="s">
        <v>2688</v>
      </c>
      <c r="E2583" t="s">
        <v>1667</v>
      </c>
      <c r="F2583" t="s">
        <v>527</v>
      </c>
      <c r="G2583" t="s">
        <v>71</v>
      </c>
      <c r="H2583" t="s">
        <v>2351</v>
      </c>
      <c r="I2583" t="s">
        <v>475</v>
      </c>
      <c r="J2583">
        <v>2314</v>
      </c>
    </row>
    <row r="2584" spans="1:10">
      <c r="A2584" s="90" t="s">
        <v>51</v>
      </c>
      <c r="B2584" s="87">
        <v>45716</v>
      </c>
      <c r="C2584" t="s">
        <v>4038</v>
      </c>
      <c r="D2584" t="s">
        <v>2688</v>
      </c>
      <c r="E2584" t="s">
        <v>1137</v>
      </c>
      <c r="F2584" t="s">
        <v>4039</v>
      </c>
      <c r="G2584" t="s">
        <v>61</v>
      </c>
      <c r="H2584" t="s">
        <v>2351</v>
      </c>
      <c r="I2584" t="s">
        <v>487</v>
      </c>
      <c r="J2584">
        <v>1518</v>
      </c>
    </row>
    <row r="2585" spans="1:10">
      <c r="A2585" s="90" t="s">
        <v>51</v>
      </c>
      <c r="B2585" s="87">
        <v>45716</v>
      </c>
      <c r="C2585" t="s">
        <v>511</v>
      </c>
      <c r="D2585" t="s">
        <v>2688</v>
      </c>
      <c r="E2585" t="s">
        <v>512</v>
      </c>
      <c r="F2585" t="s">
        <v>527</v>
      </c>
      <c r="G2585" t="s">
        <v>474</v>
      </c>
      <c r="H2585" t="s">
        <v>470</v>
      </c>
      <c r="I2585" t="s">
        <v>475</v>
      </c>
      <c r="J2585">
        <v>3832</v>
      </c>
    </row>
    <row r="2586" spans="1:10">
      <c r="A2586" s="90" t="s">
        <v>51</v>
      </c>
      <c r="B2586" s="87">
        <v>45716</v>
      </c>
      <c r="C2586" t="s">
        <v>526</v>
      </c>
      <c r="D2586" t="s">
        <v>2688</v>
      </c>
      <c r="E2586" t="s">
        <v>512</v>
      </c>
      <c r="F2586" t="s">
        <v>527</v>
      </c>
      <c r="G2586" t="s">
        <v>474</v>
      </c>
      <c r="H2586" t="s">
        <v>470</v>
      </c>
      <c r="I2586" t="s">
        <v>475</v>
      </c>
      <c r="J2586">
        <v>0.01</v>
      </c>
    </row>
    <row r="2587" spans="1:10">
      <c r="A2587" s="90" t="s">
        <v>51</v>
      </c>
      <c r="B2587" s="87">
        <v>45716</v>
      </c>
      <c r="C2587" t="s">
        <v>2347</v>
      </c>
      <c r="D2587" t="s">
        <v>2688</v>
      </c>
      <c r="E2587" t="s">
        <v>477</v>
      </c>
      <c r="F2587" t="s">
        <v>527</v>
      </c>
      <c r="G2587" t="s">
        <v>68</v>
      </c>
      <c r="H2587" t="s">
        <v>470</v>
      </c>
      <c r="I2587" t="s">
        <v>471</v>
      </c>
      <c r="J2587">
        <v>9.02</v>
      </c>
    </row>
    <row r="2588" spans="1:10">
      <c r="A2588" s="90" t="s">
        <v>51</v>
      </c>
      <c r="B2588" s="87">
        <v>45716</v>
      </c>
      <c r="C2588" t="s">
        <v>2348</v>
      </c>
      <c r="D2588" t="s">
        <v>2688</v>
      </c>
      <c r="E2588" t="s">
        <v>477</v>
      </c>
      <c r="F2588" t="s">
        <v>527</v>
      </c>
      <c r="G2588" t="s">
        <v>66</v>
      </c>
      <c r="H2588" t="s">
        <v>470</v>
      </c>
      <c r="I2588" t="s">
        <v>471</v>
      </c>
      <c r="J2588">
        <v>104.04</v>
      </c>
    </row>
    <row r="2589" spans="1:10">
      <c r="A2589" s="90" t="s">
        <v>51</v>
      </c>
      <c r="B2589" s="87">
        <v>45721</v>
      </c>
      <c r="C2589" t="s">
        <v>4040</v>
      </c>
      <c r="D2589" t="s">
        <v>2688</v>
      </c>
      <c r="E2589" t="s">
        <v>4041</v>
      </c>
      <c r="F2589" t="s">
        <v>468</v>
      </c>
      <c r="G2589" t="s">
        <v>71</v>
      </c>
      <c r="H2589" t="s">
        <v>470</v>
      </c>
      <c r="I2589" t="s">
        <v>482</v>
      </c>
      <c r="J2589">
        <v>3000</v>
      </c>
    </row>
    <row r="2590" spans="1:10">
      <c r="A2590" s="90" t="s">
        <v>51</v>
      </c>
      <c r="B2590" s="87">
        <v>45721</v>
      </c>
      <c r="C2590" t="s">
        <v>4042</v>
      </c>
      <c r="D2590" t="s">
        <v>2688</v>
      </c>
      <c r="E2590" t="s">
        <v>2262</v>
      </c>
      <c r="F2590" t="s">
        <v>4043</v>
      </c>
      <c r="G2590" t="s">
        <v>73</v>
      </c>
      <c r="H2590" t="s">
        <v>2409</v>
      </c>
      <c r="I2590" t="s">
        <v>796</v>
      </c>
      <c r="J2590">
        <v>633.01</v>
      </c>
    </row>
    <row r="2591" spans="1:10">
      <c r="A2591" s="90" t="s">
        <v>51</v>
      </c>
      <c r="B2591" s="87">
        <v>45721</v>
      </c>
      <c r="C2591" t="s">
        <v>4044</v>
      </c>
      <c r="D2591" t="s">
        <v>2688</v>
      </c>
      <c r="E2591" t="s">
        <v>3949</v>
      </c>
      <c r="F2591" t="s">
        <v>527</v>
      </c>
      <c r="G2591" t="s">
        <v>65</v>
      </c>
      <c r="H2591" t="s">
        <v>2351</v>
      </c>
      <c r="I2591" t="s">
        <v>796</v>
      </c>
      <c r="J2591">
        <v>179.9</v>
      </c>
    </row>
    <row r="2592" spans="1:10">
      <c r="A2592" s="90" t="s">
        <v>51</v>
      </c>
      <c r="B2592" s="87">
        <v>45721</v>
      </c>
      <c r="C2592" t="s">
        <v>563</v>
      </c>
      <c r="D2592" t="s">
        <v>2688</v>
      </c>
      <c r="E2592" t="s">
        <v>512</v>
      </c>
      <c r="F2592" t="s">
        <v>468</v>
      </c>
      <c r="G2592" t="s">
        <v>474</v>
      </c>
      <c r="H2592" t="s">
        <v>470</v>
      </c>
      <c r="I2592" t="s">
        <v>475</v>
      </c>
      <c r="J2592">
        <v>3812.91</v>
      </c>
    </row>
    <row r="2593" spans="1:10">
      <c r="A2593" s="90" t="s">
        <v>51</v>
      </c>
      <c r="B2593" s="87">
        <v>45722</v>
      </c>
      <c r="C2593" t="s">
        <v>4045</v>
      </c>
      <c r="D2593" t="s">
        <v>2688</v>
      </c>
      <c r="E2593" t="s">
        <v>1401</v>
      </c>
      <c r="F2593" t="s">
        <v>142</v>
      </c>
      <c r="G2593" t="s">
        <v>2494</v>
      </c>
      <c r="H2593" t="s">
        <v>470</v>
      </c>
      <c r="I2593" t="s">
        <v>796</v>
      </c>
      <c r="J2593">
        <v>4774.3999999999996</v>
      </c>
    </row>
    <row r="2594" spans="1:10">
      <c r="A2594" s="90" t="s">
        <v>51</v>
      </c>
      <c r="B2594" s="87">
        <v>45722</v>
      </c>
      <c r="C2594" t="s">
        <v>4046</v>
      </c>
      <c r="D2594" t="s">
        <v>2688</v>
      </c>
      <c r="E2594" t="s">
        <v>1693</v>
      </c>
      <c r="F2594" t="s">
        <v>140</v>
      </c>
      <c r="G2594" t="s">
        <v>2494</v>
      </c>
      <c r="H2594" t="s">
        <v>470</v>
      </c>
      <c r="I2594" t="s">
        <v>796</v>
      </c>
      <c r="J2594">
        <v>53567.8</v>
      </c>
    </row>
    <row r="2595" spans="1:10">
      <c r="A2595" s="90" t="s">
        <v>51</v>
      </c>
      <c r="B2595" s="87">
        <v>45722</v>
      </c>
      <c r="C2595" t="s">
        <v>4047</v>
      </c>
      <c r="D2595" t="s">
        <v>2688</v>
      </c>
      <c r="E2595" t="s">
        <v>1693</v>
      </c>
      <c r="F2595" t="s">
        <v>140</v>
      </c>
      <c r="G2595" t="s">
        <v>2494</v>
      </c>
      <c r="H2595" t="s">
        <v>470</v>
      </c>
      <c r="I2595" t="s">
        <v>796</v>
      </c>
      <c r="J2595">
        <v>3080.15</v>
      </c>
    </row>
    <row r="2596" spans="1:10">
      <c r="A2596" s="90" t="s">
        <v>51</v>
      </c>
      <c r="B2596" s="87">
        <v>45722</v>
      </c>
      <c r="C2596" t="s">
        <v>4048</v>
      </c>
      <c r="D2596" t="s">
        <v>2688</v>
      </c>
      <c r="E2596" t="s">
        <v>3960</v>
      </c>
      <c r="F2596" t="s">
        <v>136</v>
      </c>
      <c r="G2596" t="s">
        <v>2494</v>
      </c>
      <c r="H2596" t="s">
        <v>470</v>
      </c>
      <c r="I2596" t="s">
        <v>796</v>
      </c>
      <c r="J2596">
        <v>42367.26</v>
      </c>
    </row>
    <row r="2597" spans="1:10">
      <c r="A2597" s="90" t="s">
        <v>51</v>
      </c>
      <c r="B2597" s="87">
        <v>45722</v>
      </c>
      <c r="C2597" t="s">
        <v>4049</v>
      </c>
      <c r="D2597" t="s">
        <v>2688</v>
      </c>
      <c r="E2597" t="s">
        <v>3960</v>
      </c>
      <c r="F2597" t="s">
        <v>136</v>
      </c>
      <c r="G2597" t="s">
        <v>2494</v>
      </c>
      <c r="H2597" t="s">
        <v>470</v>
      </c>
      <c r="I2597" t="s">
        <v>796</v>
      </c>
      <c r="J2597">
        <v>2436.12</v>
      </c>
    </row>
    <row r="2598" spans="1:10">
      <c r="A2598" s="90" t="s">
        <v>51</v>
      </c>
      <c r="B2598" s="87">
        <v>45722</v>
      </c>
      <c r="C2598" t="s">
        <v>4050</v>
      </c>
      <c r="D2598" t="s">
        <v>2688</v>
      </c>
      <c r="E2598" t="s">
        <v>1401</v>
      </c>
      <c r="F2598" t="s">
        <v>142</v>
      </c>
      <c r="G2598" t="s">
        <v>2494</v>
      </c>
      <c r="H2598" t="s">
        <v>470</v>
      </c>
      <c r="I2598" t="s">
        <v>796</v>
      </c>
      <c r="J2598">
        <v>274.52999999999997</v>
      </c>
    </row>
    <row r="2599" spans="1:10">
      <c r="A2599" s="90" t="s">
        <v>51</v>
      </c>
      <c r="B2599" s="87">
        <v>45722</v>
      </c>
      <c r="C2599" t="s">
        <v>4051</v>
      </c>
      <c r="D2599" t="s">
        <v>2688</v>
      </c>
      <c r="E2599" t="s">
        <v>2300</v>
      </c>
      <c r="F2599" t="s">
        <v>468</v>
      </c>
      <c r="G2599" t="s">
        <v>70</v>
      </c>
      <c r="H2599" t="s">
        <v>470</v>
      </c>
      <c r="I2599" t="s">
        <v>796</v>
      </c>
      <c r="J2599">
        <v>196.12</v>
      </c>
    </row>
    <row r="2600" spans="1:10">
      <c r="A2600" s="90" t="s">
        <v>51</v>
      </c>
      <c r="B2600" s="87">
        <v>45722</v>
      </c>
      <c r="C2600" t="s">
        <v>4052</v>
      </c>
      <c r="D2600" t="s">
        <v>2688</v>
      </c>
      <c r="E2600" t="s">
        <v>2300</v>
      </c>
      <c r="F2600" t="s">
        <v>468</v>
      </c>
      <c r="G2600" t="s">
        <v>70</v>
      </c>
      <c r="H2600" t="s">
        <v>470</v>
      </c>
      <c r="I2600" t="s">
        <v>796</v>
      </c>
      <c r="J2600">
        <v>245.15</v>
      </c>
    </row>
    <row r="2601" spans="1:10">
      <c r="A2601" s="90" t="s">
        <v>51</v>
      </c>
      <c r="B2601" s="87">
        <v>45722</v>
      </c>
      <c r="C2601" t="s">
        <v>511</v>
      </c>
      <c r="D2601" t="s">
        <v>2688</v>
      </c>
      <c r="E2601" t="s">
        <v>512</v>
      </c>
      <c r="F2601" t="s">
        <v>468</v>
      </c>
      <c r="G2601" t="s">
        <v>474</v>
      </c>
      <c r="H2601" t="s">
        <v>470</v>
      </c>
      <c r="I2601" t="s">
        <v>475</v>
      </c>
      <c r="J2601">
        <v>36616.33</v>
      </c>
    </row>
    <row r="2602" spans="1:10">
      <c r="A2602" s="90" t="s">
        <v>51</v>
      </c>
      <c r="B2602" s="87">
        <v>45722</v>
      </c>
      <c r="C2602" t="s">
        <v>511</v>
      </c>
      <c r="D2602" t="s">
        <v>2688</v>
      </c>
      <c r="E2602" t="s">
        <v>512</v>
      </c>
      <c r="F2602" t="s">
        <v>468</v>
      </c>
      <c r="G2602" t="s">
        <v>474</v>
      </c>
      <c r="H2602" t="s">
        <v>470</v>
      </c>
      <c r="I2602" t="s">
        <v>475</v>
      </c>
      <c r="J2602">
        <v>70325.2</v>
      </c>
    </row>
    <row r="2603" spans="1:10">
      <c r="A2603" s="90" t="s">
        <v>51</v>
      </c>
      <c r="B2603" s="87">
        <v>45723</v>
      </c>
      <c r="C2603" t="s">
        <v>4053</v>
      </c>
      <c r="D2603" t="s">
        <v>2688</v>
      </c>
      <c r="E2603" t="s">
        <v>477</v>
      </c>
      <c r="F2603" t="s">
        <v>468</v>
      </c>
      <c r="G2603" t="s">
        <v>74</v>
      </c>
      <c r="H2603" t="s">
        <v>470</v>
      </c>
      <c r="I2603" t="s">
        <v>471</v>
      </c>
      <c r="J2603">
        <v>174.9</v>
      </c>
    </row>
    <row r="2604" spans="1:10">
      <c r="A2604" s="90" t="s">
        <v>51</v>
      </c>
      <c r="B2604" s="87">
        <v>45723</v>
      </c>
      <c r="C2604" t="s">
        <v>511</v>
      </c>
      <c r="D2604" t="s">
        <v>2688</v>
      </c>
      <c r="E2604" t="s">
        <v>512</v>
      </c>
      <c r="F2604" t="s">
        <v>468</v>
      </c>
      <c r="G2604" t="s">
        <v>474</v>
      </c>
      <c r="H2604" t="s">
        <v>470</v>
      </c>
      <c r="I2604" t="s">
        <v>540</v>
      </c>
      <c r="J2604">
        <v>174.9</v>
      </c>
    </row>
    <row r="2605" spans="1:10">
      <c r="A2605" s="90" t="s">
        <v>51</v>
      </c>
      <c r="B2605" s="87">
        <v>45726</v>
      </c>
      <c r="C2605" t="s">
        <v>2294</v>
      </c>
      <c r="D2605" t="s">
        <v>2688</v>
      </c>
      <c r="E2605" t="s">
        <v>477</v>
      </c>
      <c r="F2605" t="s">
        <v>468</v>
      </c>
      <c r="G2605" t="s">
        <v>2295</v>
      </c>
      <c r="H2605" t="s">
        <v>470</v>
      </c>
      <c r="I2605" t="s">
        <v>471</v>
      </c>
      <c r="J2605">
        <v>708.78</v>
      </c>
    </row>
    <row r="2606" spans="1:10">
      <c r="A2606" s="90" t="s">
        <v>51</v>
      </c>
      <c r="B2606" s="87">
        <v>45726</v>
      </c>
      <c r="C2606" t="s">
        <v>511</v>
      </c>
      <c r="D2606" t="s">
        <v>2688</v>
      </c>
      <c r="E2606" t="s">
        <v>512</v>
      </c>
      <c r="F2606" t="s">
        <v>468</v>
      </c>
      <c r="G2606" t="s">
        <v>474</v>
      </c>
      <c r="H2606" t="s">
        <v>470</v>
      </c>
      <c r="I2606" t="s">
        <v>475</v>
      </c>
      <c r="J2606">
        <v>708.78</v>
      </c>
    </row>
    <row r="2607" spans="1:10">
      <c r="A2607" s="90" t="s">
        <v>51</v>
      </c>
      <c r="B2607" s="87">
        <v>45729</v>
      </c>
      <c r="C2607" t="s">
        <v>2364</v>
      </c>
      <c r="D2607" t="s">
        <v>2688</v>
      </c>
      <c r="E2607" t="s">
        <v>1667</v>
      </c>
      <c r="F2607" t="s">
        <v>468</v>
      </c>
      <c r="G2607" t="s">
        <v>71</v>
      </c>
      <c r="H2607" t="s">
        <v>470</v>
      </c>
      <c r="I2607" t="s">
        <v>475</v>
      </c>
      <c r="J2607">
        <v>1000</v>
      </c>
    </row>
    <row r="2608" spans="1:10">
      <c r="A2608" s="90" t="s">
        <v>51</v>
      </c>
      <c r="B2608" s="87">
        <v>45729</v>
      </c>
      <c r="C2608" t="s">
        <v>511</v>
      </c>
      <c r="D2608" t="s">
        <v>2688</v>
      </c>
      <c r="E2608" t="s">
        <v>512</v>
      </c>
      <c r="F2608" t="s">
        <v>468</v>
      </c>
      <c r="G2608" t="s">
        <v>474</v>
      </c>
      <c r="H2608" t="s">
        <v>470</v>
      </c>
      <c r="I2608" t="s">
        <v>475</v>
      </c>
      <c r="J2608">
        <v>1000</v>
      </c>
    </row>
    <row r="2609" spans="1:10">
      <c r="A2609" s="90" t="s">
        <v>51</v>
      </c>
      <c r="B2609" s="87">
        <v>45733</v>
      </c>
      <c r="C2609" t="s">
        <v>4054</v>
      </c>
      <c r="D2609" t="s">
        <v>2688</v>
      </c>
      <c r="E2609" t="s">
        <v>3107</v>
      </c>
      <c r="F2609" t="s">
        <v>468</v>
      </c>
      <c r="G2609" t="s">
        <v>60</v>
      </c>
      <c r="H2609" t="s">
        <v>2409</v>
      </c>
      <c r="I2609" t="s">
        <v>796</v>
      </c>
      <c r="J2609">
        <v>447.28</v>
      </c>
    </row>
    <row r="2610" spans="1:10">
      <c r="A2610" s="90" t="s">
        <v>51</v>
      </c>
      <c r="B2610" s="87">
        <v>45733</v>
      </c>
      <c r="C2610" t="s">
        <v>4055</v>
      </c>
      <c r="D2610" t="s">
        <v>2688</v>
      </c>
      <c r="E2610" t="s">
        <v>4041</v>
      </c>
      <c r="F2610" t="s">
        <v>468</v>
      </c>
      <c r="G2610" t="s">
        <v>71</v>
      </c>
      <c r="H2610" t="s">
        <v>470</v>
      </c>
      <c r="I2610" t="s">
        <v>482</v>
      </c>
      <c r="J2610">
        <v>2950</v>
      </c>
    </row>
    <row r="2611" spans="1:10">
      <c r="A2611" s="90" t="s">
        <v>51</v>
      </c>
      <c r="B2611" s="87">
        <v>45733</v>
      </c>
      <c r="C2611" t="s">
        <v>4056</v>
      </c>
      <c r="D2611" t="s">
        <v>2688</v>
      </c>
      <c r="E2611" t="s">
        <v>1667</v>
      </c>
      <c r="F2611" t="s">
        <v>468</v>
      </c>
      <c r="G2611" t="s">
        <v>57</v>
      </c>
      <c r="H2611" t="s">
        <v>470</v>
      </c>
      <c r="I2611" t="s">
        <v>475</v>
      </c>
      <c r="J2611">
        <v>2349.9299999999998</v>
      </c>
    </row>
    <row r="2612" spans="1:10">
      <c r="A2612" s="90" t="s">
        <v>51</v>
      </c>
      <c r="B2612" s="87">
        <v>45733</v>
      </c>
      <c r="C2612" t="s">
        <v>4057</v>
      </c>
      <c r="D2612" t="s">
        <v>2688</v>
      </c>
      <c r="E2612" t="s">
        <v>477</v>
      </c>
      <c r="F2612" t="s">
        <v>3954</v>
      </c>
      <c r="G2612" t="s">
        <v>515</v>
      </c>
      <c r="H2612" t="s">
        <v>4058</v>
      </c>
      <c r="I2612" t="s">
        <v>471</v>
      </c>
      <c r="J2612">
        <v>54166.67</v>
      </c>
    </row>
    <row r="2613" spans="1:10">
      <c r="A2613" s="90" t="s">
        <v>51</v>
      </c>
      <c r="B2613" s="87">
        <v>45733</v>
      </c>
      <c r="C2613" t="s">
        <v>4057</v>
      </c>
      <c r="D2613" t="s">
        <v>2688</v>
      </c>
      <c r="E2613" t="s">
        <v>477</v>
      </c>
      <c r="F2613" t="s">
        <v>3954</v>
      </c>
      <c r="G2613" t="s">
        <v>69</v>
      </c>
      <c r="H2613" t="s">
        <v>4058</v>
      </c>
      <c r="I2613" t="s">
        <v>471</v>
      </c>
      <c r="J2613">
        <v>8068.67</v>
      </c>
    </row>
    <row r="2614" spans="1:10">
      <c r="A2614" s="90" t="s">
        <v>51</v>
      </c>
      <c r="B2614" s="87">
        <v>45735</v>
      </c>
      <c r="C2614" t="s">
        <v>4059</v>
      </c>
      <c r="D2614" t="s">
        <v>2688</v>
      </c>
      <c r="E2614" t="s">
        <v>2300</v>
      </c>
      <c r="F2614" t="s">
        <v>468</v>
      </c>
      <c r="G2614" t="s">
        <v>70</v>
      </c>
      <c r="H2614" t="s">
        <v>470</v>
      </c>
      <c r="I2614" t="s">
        <v>796</v>
      </c>
      <c r="J2614">
        <v>245.15</v>
      </c>
    </row>
    <row r="2615" spans="1:10">
      <c r="A2615" s="90" t="s">
        <v>51</v>
      </c>
      <c r="B2615" s="87">
        <v>45735</v>
      </c>
      <c r="C2615" t="s">
        <v>4060</v>
      </c>
      <c r="D2615" t="s">
        <v>2688</v>
      </c>
      <c r="E2615" t="s">
        <v>2300</v>
      </c>
      <c r="F2615" t="s">
        <v>468</v>
      </c>
      <c r="G2615" t="s">
        <v>70</v>
      </c>
      <c r="H2615" t="s">
        <v>470</v>
      </c>
      <c r="I2615" t="s">
        <v>796</v>
      </c>
      <c r="J2615">
        <v>67.42</v>
      </c>
    </row>
    <row r="2616" spans="1:10">
      <c r="A2616" s="90" t="s">
        <v>51</v>
      </c>
      <c r="B2616" s="87">
        <v>45735</v>
      </c>
      <c r="C2616" t="s">
        <v>4061</v>
      </c>
      <c r="D2616" t="s">
        <v>2688</v>
      </c>
      <c r="E2616" t="s">
        <v>4041</v>
      </c>
      <c r="F2616" t="s">
        <v>468</v>
      </c>
      <c r="G2616" t="s">
        <v>71</v>
      </c>
      <c r="H2616" t="s">
        <v>470</v>
      </c>
      <c r="I2616" t="s">
        <v>482</v>
      </c>
      <c r="J2616">
        <v>3000</v>
      </c>
    </row>
    <row r="2617" spans="1:10">
      <c r="A2617" s="90" t="s">
        <v>51</v>
      </c>
      <c r="B2617" s="87">
        <v>45736</v>
      </c>
      <c r="C2617" t="s">
        <v>4062</v>
      </c>
      <c r="D2617" t="s">
        <v>2688</v>
      </c>
      <c r="E2617" t="s">
        <v>1401</v>
      </c>
      <c r="F2617" t="s">
        <v>142</v>
      </c>
      <c r="G2617" t="s">
        <v>2381</v>
      </c>
      <c r="H2617" t="s">
        <v>470</v>
      </c>
      <c r="I2617" t="s">
        <v>475</v>
      </c>
      <c r="J2617">
        <v>304.93</v>
      </c>
    </row>
    <row r="2618" spans="1:10">
      <c r="A2618" s="90" t="s">
        <v>51</v>
      </c>
      <c r="B2618" s="87">
        <v>45736</v>
      </c>
      <c r="C2618" t="s">
        <v>4063</v>
      </c>
      <c r="D2618" t="s">
        <v>2688</v>
      </c>
      <c r="E2618" t="s">
        <v>1445</v>
      </c>
      <c r="F2618" t="s">
        <v>4064</v>
      </c>
      <c r="G2618" t="s">
        <v>2213</v>
      </c>
      <c r="H2618" t="s">
        <v>470</v>
      </c>
      <c r="I2618" t="s">
        <v>487</v>
      </c>
      <c r="J2618">
        <v>4449.7299999999996</v>
      </c>
    </row>
    <row r="2619" spans="1:10">
      <c r="A2619" s="90" t="s">
        <v>51</v>
      </c>
      <c r="B2619" s="87">
        <v>45736</v>
      </c>
      <c r="C2619" t="s">
        <v>511</v>
      </c>
      <c r="D2619" t="s">
        <v>2688</v>
      </c>
      <c r="E2619" t="s">
        <v>512</v>
      </c>
      <c r="F2619" t="s">
        <v>468</v>
      </c>
      <c r="G2619" t="s">
        <v>474</v>
      </c>
      <c r="H2619" t="s">
        <v>470</v>
      </c>
      <c r="I2619" t="s">
        <v>475</v>
      </c>
      <c r="J2619">
        <v>4449.7299999999996</v>
      </c>
    </row>
    <row r="2620" spans="1:10">
      <c r="A2620" s="90" t="s">
        <v>51</v>
      </c>
      <c r="B2620" s="87">
        <v>45741</v>
      </c>
      <c r="C2620" t="s">
        <v>4065</v>
      </c>
      <c r="D2620" t="s">
        <v>2688</v>
      </c>
      <c r="E2620" t="s">
        <v>1667</v>
      </c>
      <c r="F2620" t="s">
        <v>468</v>
      </c>
      <c r="G2620" t="s">
        <v>57</v>
      </c>
      <c r="H2620" t="s">
        <v>470</v>
      </c>
      <c r="I2620" t="s">
        <v>475</v>
      </c>
      <c r="J2620">
        <v>1645.57</v>
      </c>
    </row>
    <row r="2621" spans="1:10">
      <c r="A2621" s="90" t="s">
        <v>51</v>
      </c>
      <c r="B2621" s="87">
        <v>45741</v>
      </c>
      <c r="C2621" t="s">
        <v>511</v>
      </c>
      <c r="D2621" t="s">
        <v>2688</v>
      </c>
      <c r="E2621" t="s">
        <v>512</v>
      </c>
      <c r="F2621" t="s">
        <v>468</v>
      </c>
      <c r="G2621" t="s">
        <v>474</v>
      </c>
      <c r="H2621" t="s">
        <v>470</v>
      </c>
      <c r="I2621" t="s">
        <v>475</v>
      </c>
      <c r="J2621">
        <v>1645.57</v>
      </c>
    </row>
    <row r="2622" spans="1:10">
      <c r="A2622" s="90" t="s">
        <v>51</v>
      </c>
      <c r="B2622" s="87">
        <v>45742</v>
      </c>
      <c r="C2622" t="s">
        <v>4061</v>
      </c>
      <c r="D2622" t="s">
        <v>2688</v>
      </c>
      <c r="E2622" t="s">
        <v>4041</v>
      </c>
      <c r="F2622" t="s">
        <v>468</v>
      </c>
      <c r="G2622" t="s">
        <v>71</v>
      </c>
      <c r="H2622" t="s">
        <v>470</v>
      </c>
      <c r="I2622" t="s">
        <v>482</v>
      </c>
      <c r="J2622">
        <v>3000</v>
      </c>
    </row>
    <row r="2623" spans="1:10">
      <c r="A2623" s="90" t="s">
        <v>51</v>
      </c>
      <c r="B2623" s="87">
        <v>45742</v>
      </c>
      <c r="C2623" t="s">
        <v>511</v>
      </c>
      <c r="D2623" t="s">
        <v>2688</v>
      </c>
      <c r="E2623" t="s">
        <v>512</v>
      </c>
      <c r="F2623" t="s">
        <v>468</v>
      </c>
      <c r="G2623" t="s">
        <v>474</v>
      </c>
      <c r="H2623" t="s">
        <v>470</v>
      </c>
      <c r="I2623" t="s">
        <v>475</v>
      </c>
      <c r="J2623">
        <v>3000</v>
      </c>
    </row>
    <row r="2624" spans="1:10">
      <c r="A2624" s="90" t="s">
        <v>51</v>
      </c>
      <c r="B2624" s="87">
        <v>45744</v>
      </c>
      <c r="C2624" t="s">
        <v>2336</v>
      </c>
      <c r="D2624" t="s">
        <v>2688</v>
      </c>
      <c r="E2624" t="s">
        <v>1667</v>
      </c>
      <c r="F2624" t="s">
        <v>468</v>
      </c>
      <c r="G2624" t="s">
        <v>71</v>
      </c>
      <c r="H2624" t="s">
        <v>2409</v>
      </c>
      <c r="I2624" t="s">
        <v>475</v>
      </c>
      <c r="J2624">
        <v>2314</v>
      </c>
    </row>
    <row r="2625" spans="1:10">
      <c r="A2625" s="90" t="s">
        <v>51</v>
      </c>
      <c r="B2625" s="87">
        <v>45744</v>
      </c>
      <c r="C2625" t="s">
        <v>511</v>
      </c>
      <c r="D2625" t="s">
        <v>2688</v>
      </c>
      <c r="E2625" t="s">
        <v>512</v>
      </c>
      <c r="F2625" t="s">
        <v>468</v>
      </c>
      <c r="G2625" t="s">
        <v>474</v>
      </c>
      <c r="H2625" t="s">
        <v>470</v>
      </c>
      <c r="I2625" t="s">
        <v>475</v>
      </c>
      <c r="J2625">
        <v>2314</v>
      </c>
    </row>
    <row r="2626" spans="1:10">
      <c r="A2626" s="90" t="s">
        <v>51</v>
      </c>
      <c r="B2626" s="87">
        <v>45747</v>
      </c>
      <c r="C2626" t="s">
        <v>4066</v>
      </c>
      <c r="D2626" t="s">
        <v>2688</v>
      </c>
      <c r="E2626" t="s">
        <v>1137</v>
      </c>
      <c r="F2626" t="s">
        <v>4067</v>
      </c>
      <c r="G2626" t="s">
        <v>61</v>
      </c>
      <c r="H2626" t="s">
        <v>2409</v>
      </c>
      <c r="I2626" t="s">
        <v>487</v>
      </c>
      <c r="J2626">
        <v>1518</v>
      </c>
    </row>
    <row r="2627" spans="1:10">
      <c r="A2627" s="90" t="s">
        <v>51</v>
      </c>
      <c r="B2627" s="87">
        <v>45747</v>
      </c>
      <c r="C2627" t="s">
        <v>3961</v>
      </c>
      <c r="D2627" t="s">
        <v>2688</v>
      </c>
      <c r="E2627" t="s">
        <v>3962</v>
      </c>
      <c r="F2627" t="s">
        <v>4068</v>
      </c>
      <c r="G2627" t="s">
        <v>63</v>
      </c>
      <c r="H2627" t="s">
        <v>2409</v>
      </c>
      <c r="I2627" t="s">
        <v>475</v>
      </c>
      <c r="J2627">
        <v>84</v>
      </c>
    </row>
    <row r="2628" spans="1:10">
      <c r="A2628" s="90" t="s">
        <v>51</v>
      </c>
      <c r="B2628" s="87">
        <v>45747</v>
      </c>
      <c r="C2628" t="s">
        <v>4069</v>
      </c>
      <c r="D2628" t="s">
        <v>2688</v>
      </c>
      <c r="E2628" t="s">
        <v>1667</v>
      </c>
      <c r="F2628" t="s">
        <v>468</v>
      </c>
      <c r="G2628" t="s">
        <v>57</v>
      </c>
      <c r="H2628" t="s">
        <v>470</v>
      </c>
      <c r="I2628" t="s">
        <v>475</v>
      </c>
      <c r="J2628">
        <v>1680</v>
      </c>
    </row>
    <row r="2629" spans="1:10">
      <c r="A2629" s="90" t="s">
        <v>51</v>
      </c>
      <c r="B2629" s="87">
        <v>45747</v>
      </c>
      <c r="C2629" t="s">
        <v>2478</v>
      </c>
      <c r="D2629" t="s">
        <v>2688</v>
      </c>
      <c r="E2629" t="s">
        <v>1667</v>
      </c>
      <c r="F2629" t="s">
        <v>468</v>
      </c>
      <c r="G2629" t="s">
        <v>72</v>
      </c>
      <c r="H2629" t="s">
        <v>470</v>
      </c>
      <c r="I2629" t="s">
        <v>475</v>
      </c>
      <c r="J2629">
        <v>209.95</v>
      </c>
    </row>
    <row r="2630" spans="1:10">
      <c r="A2630" s="90" t="s">
        <v>51</v>
      </c>
      <c r="B2630" s="87">
        <v>45747</v>
      </c>
      <c r="C2630" t="s">
        <v>2478</v>
      </c>
      <c r="D2630" t="s">
        <v>2688</v>
      </c>
      <c r="E2630" t="s">
        <v>1667</v>
      </c>
      <c r="F2630" t="s">
        <v>468</v>
      </c>
      <c r="G2630" t="s">
        <v>58</v>
      </c>
      <c r="H2630" t="s">
        <v>470</v>
      </c>
      <c r="I2630" t="s">
        <v>475</v>
      </c>
      <c r="J2630">
        <v>3416.71</v>
      </c>
    </row>
    <row r="2631" spans="1:10">
      <c r="A2631" s="90" t="s">
        <v>51</v>
      </c>
      <c r="B2631" s="87">
        <v>45747</v>
      </c>
      <c r="C2631" t="s">
        <v>2478</v>
      </c>
      <c r="D2631" t="s">
        <v>2688</v>
      </c>
      <c r="E2631" t="s">
        <v>1667</v>
      </c>
      <c r="F2631" t="s">
        <v>468</v>
      </c>
      <c r="G2631" t="s">
        <v>75</v>
      </c>
      <c r="H2631" t="s">
        <v>470</v>
      </c>
      <c r="I2631" t="s">
        <v>475</v>
      </c>
      <c r="J2631">
        <v>360</v>
      </c>
    </row>
    <row r="2632" spans="1:10">
      <c r="A2632" s="90" t="s">
        <v>51</v>
      </c>
      <c r="B2632" s="87">
        <v>45747</v>
      </c>
      <c r="C2632" t="s">
        <v>562</v>
      </c>
      <c r="D2632" t="s">
        <v>2688</v>
      </c>
      <c r="E2632" t="s">
        <v>512</v>
      </c>
      <c r="F2632" t="s">
        <v>468</v>
      </c>
      <c r="G2632" t="s">
        <v>474</v>
      </c>
      <c r="H2632" t="s">
        <v>470</v>
      </c>
      <c r="I2632" t="s">
        <v>475</v>
      </c>
      <c r="J2632">
        <v>18399.34</v>
      </c>
    </row>
    <row r="2633" spans="1:10">
      <c r="A2633" s="90" t="s">
        <v>51</v>
      </c>
      <c r="B2633" s="87">
        <v>45747</v>
      </c>
      <c r="C2633" t="s">
        <v>2347</v>
      </c>
      <c r="D2633" t="s">
        <v>2688</v>
      </c>
      <c r="E2633" t="s">
        <v>477</v>
      </c>
      <c r="F2633" t="s">
        <v>468</v>
      </c>
      <c r="G2633" t="s">
        <v>68</v>
      </c>
      <c r="H2633" t="s">
        <v>470</v>
      </c>
      <c r="I2633" t="s">
        <v>471</v>
      </c>
      <c r="J2633">
        <v>297.17</v>
      </c>
    </row>
    <row r="2634" spans="1:10">
      <c r="A2634" s="90" t="s">
        <v>51</v>
      </c>
      <c r="B2634" s="87">
        <v>45747</v>
      </c>
      <c r="C2634" t="s">
        <v>66</v>
      </c>
      <c r="D2634" t="s">
        <v>2688</v>
      </c>
      <c r="E2634" t="s">
        <v>477</v>
      </c>
      <c r="F2634" t="s">
        <v>468</v>
      </c>
      <c r="G2634" t="s">
        <v>66</v>
      </c>
      <c r="H2634" t="s">
        <v>470</v>
      </c>
      <c r="I2634" t="s">
        <v>471</v>
      </c>
      <c r="J2634">
        <v>177.37</v>
      </c>
    </row>
    <row r="2635" spans="1:10">
      <c r="A2635" s="90" t="s">
        <v>51</v>
      </c>
      <c r="B2635" s="87">
        <v>45747</v>
      </c>
      <c r="C2635" t="s">
        <v>2347</v>
      </c>
      <c r="D2635" t="s">
        <v>2688</v>
      </c>
      <c r="E2635" t="s">
        <v>477</v>
      </c>
      <c r="F2635" t="s">
        <v>468</v>
      </c>
      <c r="G2635" t="s">
        <v>68</v>
      </c>
      <c r="H2635" t="s">
        <v>470</v>
      </c>
      <c r="I2635" t="s">
        <v>471</v>
      </c>
      <c r="J2635">
        <v>1.64</v>
      </c>
    </row>
    <row r="2636" spans="1:10">
      <c r="A2636" s="90" t="s">
        <v>51</v>
      </c>
      <c r="B2636" s="87">
        <v>45747</v>
      </c>
      <c r="C2636" t="s">
        <v>66</v>
      </c>
      <c r="D2636" t="s">
        <v>2688</v>
      </c>
      <c r="E2636" t="s">
        <v>477</v>
      </c>
      <c r="F2636" t="s">
        <v>468</v>
      </c>
      <c r="G2636" t="s">
        <v>66</v>
      </c>
      <c r="H2636" t="s">
        <v>470</v>
      </c>
      <c r="I2636" t="s">
        <v>471</v>
      </c>
      <c r="J2636">
        <v>8.33</v>
      </c>
    </row>
    <row r="2637" spans="1:10">
      <c r="A2637" s="90" t="s">
        <v>51</v>
      </c>
      <c r="B2637" s="87">
        <v>45748</v>
      </c>
      <c r="C2637" t="s">
        <v>4070</v>
      </c>
      <c r="D2637" t="s">
        <v>2688</v>
      </c>
      <c r="E2637" t="s">
        <v>2262</v>
      </c>
      <c r="F2637" t="s">
        <v>4071</v>
      </c>
      <c r="G2637" t="s">
        <v>73</v>
      </c>
      <c r="H2637" t="s">
        <v>2483</v>
      </c>
      <c r="I2637" t="s">
        <v>796</v>
      </c>
      <c r="J2637">
        <v>633.01</v>
      </c>
    </row>
    <row r="2638" spans="1:10">
      <c r="A2638" s="90" t="s">
        <v>51</v>
      </c>
      <c r="B2638" s="87">
        <v>45748</v>
      </c>
      <c r="C2638" t="s">
        <v>4072</v>
      </c>
      <c r="D2638" t="s">
        <v>2688</v>
      </c>
      <c r="E2638" t="s">
        <v>1693</v>
      </c>
      <c r="F2638" t="s">
        <v>1405</v>
      </c>
      <c r="G2638" t="s">
        <v>2112</v>
      </c>
      <c r="H2638" t="s">
        <v>470</v>
      </c>
      <c r="I2638" t="s">
        <v>475</v>
      </c>
      <c r="J2638">
        <v>461967.67</v>
      </c>
    </row>
    <row r="2639" spans="1:10">
      <c r="A2639" s="90" t="s">
        <v>51</v>
      </c>
      <c r="B2639" s="87">
        <v>45748</v>
      </c>
      <c r="C2639" t="s">
        <v>4073</v>
      </c>
      <c r="D2639" t="s">
        <v>2688</v>
      </c>
      <c r="E2639" t="s">
        <v>4041</v>
      </c>
      <c r="F2639" t="s">
        <v>569</v>
      </c>
      <c r="G2639" t="s">
        <v>529</v>
      </c>
      <c r="H2639" t="s">
        <v>470</v>
      </c>
      <c r="I2639" t="s">
        <v>487</v>
      </c>
      <c r="J2639">
        <v>116592.12</v>
      </c>
    </row>
    <row r="2640" spans="1:10">
      <c r="A2640" s="90" t="s">
        <v>51</v>
      </c>
      <c r="B2640" s="87">
        <v>45748</v>
      </c>
      <c r="C2640" t="s">
        <v>511</v>
      </c>
      <c r="D2640" t="s">
        <v>2688</v>
      </c>
      <c r="E2640" t="s">
        <v>512</v>
      </c>
      <c r="F2640" t="s">
        <v>569</v>
      </c>
      <c r="G2640" t="s">
        <v>474</v>
      </c>
      <c r="H2640" t="s">
        <v>470</v>
      </c>
      <c r="I2640" t="s">
        <v>475</v>
      </c>
      <c r="J2640">
        <v>18399.38</v>
      </c>
    </row>
    <row r="2641" spans="1:10">
      <c r="A2641" s="90" t="s">
        <v>51</v>
      </c>
      <c r="B2641" s="87">
        <v>45748</v>
      </c>
      <c r="C2641" t="s">
        <v>511</v>
      </c>
      <c r="D2641" t="s">
        <v>2688</v>
      </c>
      <c r="E2641" t="s">
        <v>512</v>
      </c>
      <c r="F2641" t="s">
        <v>569</v>
      </c>
      <c r="G2641" t="s">
        <v>474</v>
      </c>
      <c r="H2641" t="s">
        <v>470</v>
      </c>
      <c r="I2641" t="s">
        <v>475</v>
      </c>
      <c r="J2641">
        <v>90649.84</v>
      </c>
    </row>
    <row r="2642" spans="1:10">
      <c r="A2642" s="90" t="s">
        <v>51</v>
      </c>
      <c r="B2642" s="87">
        <v>45750</v>
      </c>
      <c r="C2642" t="s">
        <v>4061</v>
      </c>
      <c r="D2642" t="s">
        <v>2688</v>
      </c>
      <c r="E2642" t="s">
        <v>4041</v>
      </c>
      <c r="F2642" t="s">
        <v>569</v>
      </c>
      <c r="G2642" t="s">
        <v>71</v>
      </c>
      <c r="H2642" t="s">
        <v>470</v>
      </c>
      <c r="I2642" t="s">
        <v>482</v>
      </c>
      <c r="J2642">
        <v>3000</v>
      </c>
    </row>
    <row r="2643" spans="1:10">
      <c r="A2643" s="90" t="s">
        <v>51</v>
      </c>
      <c r="B2643" s="87">
        <v>45750</v>
      </c>
      <c r="C2643" t="s">
        <v>511</v>
      </c>
      <c r="D2643" t="s">
        <v>2688</v>
      </c>
      <c r="E2643" t="s">
        <v>512</v>
      </c>
      <c r="F2643" t="s">
        <v>569</v>
      </c>
      <c r="G2643" t="s">
        <v>474</v>
      </c>
      <c r="H2643" t="s">
        <v>470</v>
      </c>
      <c r="I2643" t="s">
        <v>475</v>
      </c>
      <c r="J2643">
        <v>3000</v>
      </c>
    </row>
    <row r="2644" spans="1:10">
      <c r="A2644" s="90" t="s">
        <v>51</v>
      </c>
      <c r="B2644" s="87">
        <v>45752</v>
      </c>
      <c r="C2644" t="s">
        <v>2275</v>
      </c>
      <c r="D2644" t="s">
        <v>2688</v>
      </c>
      <c r="E2644" t="s">
        <v>2393</v>
      </c>
      <c r="F2644" t="s">
        <v>569</v>
      </c>
      <c r="G2644" t="s">
        <v>74</v>
      </c>
      <c r="H2644" t="s">
        <v>470</v>
      </c>
      <c r="I2644" t="s">
        <v>471</v>
      </c>
      <c r="J2644">
        <v>40</v>
      </c>
    </row>
    <row r="2645" spans="1:10">
      <c r="A2645" s="90" t="s">
        <v>51</v>
      </c>
      <c r="B2645" s="87">
        <v>45754</v>
      </c>
      <c r="C2645" t="s">
        <v>4074</v>
      </c>
      <c r="D2645" t="s">
        <v>2688</v>
      </c>
      <c r="E2645" t="s">
        <v>3764</v>
      </c>
      <c r="F2645" t="s">
        <v>147</v>
      </c>
      <c r="G2645" t="s">
        <v>2494</v>
      </c>
      <c r="H2645" t="s">
        <v>470</v>
      </c>
      <c r="I2645" t="s">
        <v>796</v>
      </c>
      <c r="J2645">
        <v>1192.8599999999999</v>
      </c>
    </row>
    <row r="2646" spans="1:10">
      <c r="A2646" s="90" t="s">
        <v>51</v>
      </c>
      <c r="B2646" s="87">
        <v>45754</v>
      </c>
      <c r="C2646" t="s">
        <v>4075</v>
      </c>
      <c r="D2646" t="s">
        <v>2688</v>
      </c>
      <c r="E2646" t="s">
        <v>3764</v>
      </c>
      <c r="F2646" t="s">
        <v>147</v>
      </c>
      <c r="G2646" t="s">
        <v>2494</v>
      </c>
      <c r="H2646" t="s">
        <v>470</v>
      </c>
      <c r="I2646" t="s">
        <v>796</v>
      </c>
      <c r="J2646">
        <v>20745.349999999999</v>
      </c>
    </row>
    <row r="2647" spans="1:10">
      <c r="A2647" s="90" t="s">
        <v>51</v>
      </c>
      <c r="B2647" s="87">
        <v>45754</v>
      </c>
      <c r="C2647" t="s">
        <v>4076</v>
      </c>
      <c r="D2647" t="s">
        <v>2688</v>
      </c>
      <c r="E2647" t="s">
        <v>1693</v>
      </c>
      <c r="F2647" t="s">
        <v>159</v>
      </c>
      <c r="G2647" t="s">
        <v>2494</v>
      </c>
      <c r="H2647" t="s">
        <v>470</v>
      </c>
      <c r="I2647" t="s">
        <v>796</v>
      </c>
      <c r="J2647">
        <v>763.13</v>
      </c>
    </row>
    <row r="2648" spans="1:10">
      <c r="A2648" s="90" t="s">
        <v>51</v>
      </c>
      <c r="B2648" s="87">
        <v>45754</v>
      </c>
      <c r="C2648" t="s">
        <v>4077</v>
      </c>
      <c r="D2648" t="s">
        <v>2688</v>
      </c>
      <c r="E2648" t="s">
        <v>1693</v>
      </c>
      <c r="F2648" t="s">
        <v>159</v>
      </c>
      <c r="G2648" t="s">
        <v>2494</v>
      </c>
      <c r="H2648" t="s">
        <v>470</v>
      </c>
      <c r="I2648" t="s">
        <v>796</v>
      </c>
      <c r="J2648">
        <v>13273.04</v>
      </c>
    </row>
    <row r="2649" spans="1:10">
      <c r="A2649" s="90" t="s">
        <v>51</v>
      </c>
      <c r="B2649" s="87">
        <v>45754</v>
      </c>
      <c r="C2649" t="s">
        <v>4078</v>
      </c>
      <c r="D2649" t="s">
        <v>2688</v>
      </c>
      <c r="E2649" t="s">
        <v>1693</v>
      </c>
      <c r="F2649" t="s">
        <v>140</v>
      </c>
      <c r="G2649" t="s">
        <v>2494</v>
      </c>
      <c r="H2649" t="s">
        <v>470</v>
      </c>
      <c r="I2649" t="s">
        <v>796</v>
      </c>
      <c r="J2649">
        <v>356.8</v>
      </c>
    </row>
    <row r="2650" spans="1:10">
      <c r="A2650" s="90" t="s">
        <v>51</v>
      </c>
      <c r="B2650" s="87">
        <v>45754</v>
      </c>
      <c r="C2650" t="s">
        <v>4079</v>
      </c>
      <c r="D2650" t="s">
        <v>2688</v>
      </c>
      <c r="E2650" t="s">
        <v>1693</v>
      </c>
      <c r="F2650" t="s">
        <v>140</v>
      </c>
      <c r="G2650" t="s">
        <v>2494</v>
      </c>
      <c r="H2650" t="s">
        <v>470</v>
      </c>
      <c r="I2650" t="s">
        <v>796</v>
      </c>
      <c r="J2650">
        <v>6204.07</v>
      </c>
    </row>
    <row r="2651" spans="1:10">
      <c r="A2651" s="90" t="s">
        <v>51</v>
      </c>
      <c r="B2651" s="87">
        <v>45754</v>
      </c>
      <c r="C2651" t="s">
        <v>4080</v>
      </c>
      <c r="D2651" t="s">
        <v>2688</v>
      </c>
      <c r="E2651" t="s">
        <v>4081</v>
      </c>
      <c r="F2651" t="s">
        <v>154</v>
      </c>
      <c r="G2651" t="s">
        <v>2494</v>
      </c>
      <c r="H2651" t="s">
        <v>470</v>
      </c>
      <c r="I2651" t="s">
        <v>796</v>
      </c>
      <c r="J2651">
        <v>416.3</v>
      </c>
    </row>
    <row r="2652" spans="1:10">
      <c r="A2652" s="90" t="s">
        <v>51</v>
      </c>
      <c r="B2652" s="87">
        <v>45754</v>
      </c>
      <c r="C2652" t="s">
        <v>4082</v>
      </c>
      <c r="D2652" t="s">
        <v>2688</v>
      </c>
      <c r="E2652" t="s">
        <v>4081</v>
      </c>
      <c r="F2652" t="s">
        <v>4083</v>
      </c>
      <c r="G2652" t="s">
        <v>2494</v>
      </c>
      <c r="H2652" t="s">
        <v>470</v>
      </c>
      <c r="I2652" t="s">
        <v>796</v>
      </c>
      <c r="J2652">
        <v>7239.93</v>
      </c>
    </row>
    <row r="2653" spans="1:10">
      <c r="A2653" s="90" t="s">
        <v>51</v>
      </c>
      <c r="B2653" s="87">
        <v>45754</v>
      </c>
      <c r="C2653" t="s">
        <v>4084</v>
      </c>
      <c r="D2653" t="s">
        <v>2688</v>
      </c>
      <c r="E2653" t="s">
        <v>3949</v>
      </c>
      <c r="F2653" t="s">
        <v>468</v>
      </c>
      <c r="G2653" t="s">
        <v>65</v>
      </c>
      <c r="H2653" t="s">
        <v>2409</v>
      </c>
      <c r="I2653" t="s">
        <v>796</v>
      </c>
      <c r="J2653">
        <v>179.9</v>
      </c>
    </row>
    <row r="2654" spans="1:10">
      <c r="A2654" s="90" t="s">
        <v>51</v>
      </c>
      <c r="B2654" s="87">
        <v>45754</v>
      </c>
      <c r="C2654" t="s">
        <v>2275</v>
      </c>
      <c r="D2654" t="s">
        <v>2688</v>
      </c>
      <c r="E2654" t="s">
        <v>477</v>
      </c>
      <c r="F2654" t="s">
        <v>569</v>
      </c>
      <c r="G2654" t="s">
        <v>74</v>
      </c>
      <c r="H2654" t="s">
        <v>470</v>
      </c>
      <c r="I2654" t="s">
        <v>471</v>
      </c>
      <c r="J2654">
        <v>174.9</v>
      </c>
    </row>
    <row r="2655" spans="1:10">
      <c r="A2655" s="90" t="s">
        <v>51</v>
      </c>
      <c r="B2655" s="87">
        <v>45754</v>
      </c>
      <c r="C2655" t="s">
        <v>4085</v>
      </c>
      <c r="D2655" t="s">
        <v>2688</v>
      </c>
      <c r="E2655" t="s">
        <v>4086</v>
      </c>
      <c r="F2655" t="s">
        <v>4087</v>
      </c>
      <c r="G2655" t="s">
        <v>76</v>
      </c>
      <c r="H2655" t="s">
        <v>470</v>
      </c>
      <c r="I2655" t="s">
        <v>487</v>
      </c>
      <c r="J2655">
        <v>60.03</v>
      </c>
    </row>
    <row r="2656" spans="1:10">
      <c r="A2656" s="90" t="s">
        <v>51</v>
      </c>
      <c r="B2656" s="87">
        <v>45754</v>
      </c>
      <c r="C2656" t="s">
        <v>511</v>
      </c>
      <c r="D2656" t="s">
        <v>2688</v>
      </c>
      <c r="E2656" t="s">
        <v>512</v>
      </c>
      <c r="F2656" t="s">
        <v>569</v>
      </c>
      <c r="G2656" t="s">
        <v>474</v>
      </c>
      <c r="H2656" t="s">
        <v>470</v>
      </c>
      <c r="I2656" t="s">
        <v>475</v>
      </c>
      <c r="J2656">
        <v>50606.31</v>
      </c>
    </row>
    <row r="2657" spans="1:10">
      <c r="A2657" s="90" t="s">
        <v>51</v>
      </c>
      <c r="B2657" s="87">
        <v>45755</v>
      </c>
      <c r="C2657" t="s">
        <v>4061</v>
      </c>
      <c r="D2657" t="s">
        <v>2688</v>
      </c>
      <c r="E2657" t="s">
        <v>4041</v>
      </c>
      <c r="F2657" t="s">
        <v>569</v>
      </c>
      <c r="G2657" t="s">
        <v>71</v>
      </c>
      <c r="H2657" t="s">
        <v>470</v>
      </c>
      <c r="I2657" t="s">
        <v>482</v>
      </c>
      <c r="J2657">
        <v>3000</v>
      </c>
    </row>
    <row r="2658" spans="1:10">
      <c r="A2658" s="90" t="s">
        <v>51</v>
      </c>
      <c r="B2658" s="87">
        <v>45755</v>
      </c>
      <c r="C2658" t="s">
        <v>511</v>
      </c>
      <c r="D2658" t="s">
        <v>2688</v>
      </c>
      <c r="E2658" t="s">
        <v>512</v>
      </c>
      <c r="F2658" t="s">
        <v>569</v>
      </c>
      <c r="G2658" t="s">
        <v>474</v>
      </c>
      <c r="H2658" t="s">
        <v>470</v>
      </c>
      <c r="I2658" t="s">
        <v>475</v>
      </c>
      <c r="J2658">
        <v>3000</v>
      </c>
    </row>
    <row r="2659" spans="1:10">
      <c r="A2659" s="90" t="s">
        <v>51</v>
      </c>
      <c r="B2659" s="87">
        <v>45757</v>
      </c>
      <c r="C2659" t="s">
        <v>4088</v>
      </c>
      <c r="D2659" t="s">
        <v>2688</v>
      </c>
      <c r="E2659" t="s">
        <v>2628</v>
      </c>
      <c r="F2659" t="s">
        <v>4089</v>
      </c>
      <c r="G2659" t="s">
        <v>76</v>
      </c>
      <c r="H2659" t="s">
        <v>470</v>
      </c>
      <c r="I2659" t="s">
        <v>487</v>
      </c>
      <c r="J2659">
        <v>100</v>
      </c>
    </row>
    <row r="2660" spans="1:10">
      <c r="A2660" s="90" t="s">
        <v>51</v>
      </c>
      <c r="B2660" s="87">
        <v>45757</v>
      </c>
      <c r="C2660" t="s">
        <v>4090</v>
      </c>
      <c r="D2660" t="s">
        <v>2688</v>
      </c>
      <c r="E2660" t="s">
        <v>3968</v>
      </c>
      <c r="F2660" t="s">
        <v>1589</v>
      </c>
      <c r="G2660" t="s">
        <v>2112</v>
      </c>
      <c r="H2660" t="s">
        <v>470</v>
      </c>
      <c r="I2660" t="s">
        <v>475</v>
      </c>
      <c r="J2660">
        <v>62259.53</v>
      </c>
    </row>
    <row r="2661" spans="1:10">
      <c r="A2661" s="90" t="s">
        <v>51</v>
      </c>
      <c r="B2661" s="87">
        <v>45757</v>
      </c>
      <c r="C2661" t="s">
        <v>4091</v>
      </c>
      <c r="D2661" t="s">
        <v>2688</v>
      </c>
      <c r="E2661" t="s">
        <v>3968</v>
      </c>
      <c r="F2661" t="s">
        <v>1591</v>
      </c>
      <c r="G2661" t="s">
        <v>2112</v>
      </c>
      <c r="H2661" t="s">
        <v>470</v>
      </c>
      <c r="I2661" t="s">
        <v>475</v>
      </c>
      <c r="J2661">
        <v>66484.759999999995</v>
      </c>
    </row>
    <row r="2662" spans="1:10">
      <c r="A2662" s="90" t="s">
        <v>51</v>
      </c>
      <c r="B2662" s="87">
        <v>45757</v>
      </c>
      <c r="C2662" t="s">
        <v>4092</v>
      </c>
      <c r="D2662" t="s">
        <v>2688</v>
      </c>
      <c r="E2662" t="s">
        <v>3968</v>
      </c>
      <c r="F2662" t="s">
        <v>1593</v>
      </c>
      <c r="G2662" t="s">
        <v>2112</v>
      </c>
      <c r="H2662" t="s">
        <v>470</v>
      </c>
      <c r="I2662" t="s">
        <v>475</v>
      </c>
      <c r="J2662">
        <v>81949.440000000002</v>
      </c>
    </row>
    <row r="2663" spans="1:10">
      <c r="A2663" s="90" t="s">
        <v>51</v>
      </c>
      <c r="B2663" s="87">
        <v>45757</v>
      </c>
      <c r="C2663" t="s">
        <v>4093</v>
      </c>
      <c r="D2663" t="s">
        <v>2688</v>
      </c>
      <c r="E2663" t="s">
        <v>3968</v>
      </c>
      <c r="F2663" t="s">
        <v>1597</v>
      </c>
      <c r="G2663" t="s">
        <v>2112</v>
      </c>
      <c r="H2663" t="s">
        <v>470</v>
      </c>
      <c r="I2663" t="s">
        <v>475</v>
      </c>
      <c r="J2663">
        <v>80813.81</v>
      </c>
    </row>
    <row r="2664" spans="1:10">
      <c r="A2664" s="90" t="s">
        <v>51</v>
      </c>
      <c r="B2664" s="87">
        <v>45757</v>
      </c>
      <c r="C2664" t="s">
        <v>4094</v>
      </c>
      <c r="D2664" t="s">
        <v>2688</v>
      </c>
      <c r="E2664" t="s">
        <v>3968</v>
      </c>
      <c r="F2664" t="s">
        <v>1599</v>
      </c>
      <c r="G2664" t="s">
        <v>2112</v>
      </c>
      <c r="H2664" t="s">
        <v>470</v>
      </c>
      <c r="I2664" t="s">
        <v>475</v>
      </c>
      <c r="J2664">
        <v>44206.27</v>
      </c>
    </row>
    <row r="2665" spans="1:10">
      <c r="A2665" s="90" t="s">
        <v>51</v>
      </c>
      <c r="B2665" s="87">
        <v>45757</v>
      </c>
      <c r="C2665" t="s">
        <v>4095</v>
      </c>
      <c r="D2665" t="s">
        <v>2688</v>
      </c>
      <c r="E2665" t="s">
        <v>4041</v>
      </c>
      <c r="F2665" t="s">
        <v>569</v>
      </c>
      <c r="G2665" t="s">
        <v>71</v>
      </c>
      <c r="H2665" t="s">
        <v>470</v>
      </c>
      <c r="I2665" t="s">
        <v>482</v>
      </c>
      <c r="J2665">
        <v>3000</v>
      </c>
    </row>
    <row r="2666" spans="1:10">
      <c r="A2666" s="90" t="s">
        <v>51</v>
      </c>
      <c r="B2666" s="87">
        <v>45757</v>
      </c>
      <c r="C2666" t="s">
        <v>1322</v>
      </c>
      <c r="D2666" t="s">
        <v>2688</v>
      </c>
      <c r="E2666" t="s">
        <v>512</v>
      </c>
      <c r="F2666" t="s">
        <v>569</v>
      </c>
      <c r="G2666" t="s">
        <v>474</v>
      </c>
      <c r="H2666" t="s">
        <v>470</v>
      </c>
      <c r="I2666" t="s">
        <v>475</v>
      </c>
      <c r="J2666">
        <v>214059.35</v>
      </c>
    </row>
    <row r="2667" spans="1:10">
      <c r="A2667" s="90" t="s">
        <v>51</v>
      </c>
      <c r="B2667" s="87">
        <v>45757</v>
      </c>
      <c r="C2667" t="s">
        <v>2295</v>
      </c>
      <c r="D2667" t="s">
        <v>2688</v>
      </c>
      <c r="E2667" t="s">
        <v>477</v>
      </c>
      <c r="F2667" t="s">
        <v>569</v>
      </c>
      <c r="G2667" t="s">
        <v>2295</v>
      </c>
      <c r="H2667" t="s">
        <v>470</v>
      </c>
      <c r="I2667" t="s">
        <v>471</v>
      </c>
      <c r="J2667">
        <v>711.08</v>
      </c>
    </row>
    <row r="2668" spans="1:10">
      <c r="A2668" s="90" t="s">
        <v>51</v>
      </c>
      <c r="B2668" s="87">
        <v>45757</v>
      </c>
      <c r="C2668" t="s">
        <v>511</v>
      </c>
      <c r="D2668" t="s">
        <v>2688</v>
      </c>
      <c r="E2668" t="s">
        <v>512</v>
      </c>
      <c r="F2668" t="s">
        <v>569</v>
      </c>
      <c r="G2668" t="s">
        <v>474</v>
      </c>
      <c r="H2668" t="s">
        <v>470</v>
      </c>
      <c r="I2668" t="s">
        <v>475</v>
      </c>
      <c r="J2668">
        <v>259751.73</v>
      </c>
    </row>
    <row r="2669" spans="1:10">
      <c r="A2669" s="90" t="s">
        <v>51</v>
      </c>
      <c r="B2669" s="87">
        <v>45757</v>
      </c>
      <c r="C2669" t="s">
        <v>4096</v>
      </c>
      <c r="D2669" t="s">
        <v>2688</v>
      </c>
      <c r="E2669" t="s">
        <v>3968</v>
      </c>
      <c r="F2669" t="s">
        <v>1601</v>
      </c>
      <c r="G2669" t="s">
        <v>2112</v>
      </c>
      <c r="H2669" t="s">
        <v>470</v>
      </c>
      <c r="I2669" t="s">
        <v>475</v>
      </c>
      <c r="J2669">
        <v>82700.97</v>
      </c>
    </row>
    <row r="2670" spans="1:10">
      <c r="A2670" s="90" t="s">
        <v>51</v>
      </c>
      <c r="B2670" s="87">
        <v>45757</v>
      </c>
      <c r="C2670" t="s">
        <v>4097</v>
      </c>
      <c r="D2670" t="s">
        <v>2688</v>
      </c>
      <c r="E2670" t="s">
        <v>3968</v>
      </c>
      <c r="F2670" t="s">
        <v>1603</v>
      </c>
      <c r="G2670" t="s">
        <v>2112</v>
      </c>
      <c r="H2670" t="s">
        <v>470</v>
      </c>
      <c r="I2670" t="s">
        <v>475</v>
      </c>
      <c r="J2670">
        <v>21733.18</v>
      </c>
    </row>
    <row r="2671" spans="1:10">
      <c r="A2671" s="90" t="s">
        <v>51</v>
      </c>
      <c r="B2671" s="87">
        <v>45757</v>
      </c>
      <c r="C2671" t="s">
        <v>2347</v>
      </c>
      <c r="D2671" t="s">
        <v>2688</v>
      </c>
      <c r="E2671" t="s">
        <v>1324</v>
      </c>
      <c r="F2671" t="s">
        <v>569</v>
      </c>
      <c r="G2671" t="s">
        <v>68</v>
      </c>
      <c r="H2671" t="s">
        <v>470</v>
      </c>
      <c r="I2671" t="s">
        <v>471</v>
      </c>
      <c r="J2671">
        <v>469.49</v>
      </c>
    </row>
    <row r="2672" spans="1:10">
      <c r="A2672" s="90" t="s">
        <v>51</v>
      </c>
      <c r="B2672" s="87">
        <v>45757</v>
      </c>
      <c r="C2672" t="s">
        <v>2348</v>
      </c>
      <c r="D2672" t="s">
        <v>2688</v>
      </c>
      <c r="E2672" t="s">
        <v>1324</v>
      </c>
      <c r="F2672" t="s">
        <v>569</v>
      </c>
      <c r="G2672" t="s">
        <v>66</v>
      </c>
      <c r="H2672" t="s">
        <v>470</v>
      </c>
      <c r="I2672" t="s">
        <v>471</v>
      </c>
      <c r="J2672">
        <v>231.85</v>
      </c>
    </row>
    <row r="2673" spans="1:10">
      <c r="A2673" s="90" t="s">
        <v>51</v>
      </c>
      <c r="B2673" s="87">
        <v>45758</v>
      </c>
      <c r="C2673" t="s">
        <v>4097</v>
      </c>
      <c r="D2673" t="s">
        <v>2688</v>
      </c>
      <c r="E2673" t="s">
        <v>3968</v>
      </c>
      <c r="F2673" t="s">
        <v>1603</v>
      </c>
      <c r="G2673" t="s">
        <v>2112</v>
      </c>
      <c r="H2673" t="s">
        <v>470</v>
      </c>
      <c r="I2673" t="s">
        <v>475</v>
      </c>
      <c r="J2673">
        <v>27257.94</v>
      </c>
    </row>
    <row r="2674" spans="1:10">
      <c r="A2674" s="90" t="s">
        <v>51</v>
      </c>
      <c r="B2674" s="87">
        <v>45758</v>
      </c>
      <c r="C2674" t="s">
        <v>4097</v>
      </c>
      <c r="D2674" t="s">
        <v>2688</v>
      </c>
      <c r="E2674" t="s">
        <v>3968</v>
      </c>
      <c r="F2674" t="s">
        <v>1603</v>
      </c>
      <c r="G2674" t="s">
        <v>2112</v>
      </c>
      <c r="H2674" t="s">
        <v>470</v>
      </c>
      <c r="I2674" t="s">
        <v>475</v>
      </c>
      <c r="J2674">
        <v>29852.03</v>
      </c>
    </row>
    <row r="2675" spans="1:10">
      <c r="A2675" s="90" t="s">
        <v>51</v>
      </c>
      <c r="B2675" s="87">
        <v>45758</v>
      </c>
      <c r="C2675" t="s">
        <v>4098</v>
      </c>
      <c r="D2675" t="s">
        <v>2688</v>
      </c>
      <c r="E2675" t="s">
        <v>3968</v>
      </c>
      <c r="F2675" t="s">
        <v>1605</v>
      </c>
      <c r="G2675" t="s">
        <v>2112</v>
      </c>
      <c r="H2675" t="s">
        <v>470</v>
      </c>
      <c r="I2675" t="s">
        <v>475</v>
      </c>
      <c r="J2675">
        <v>78442.34</v>
      </c>
    </row>
    <row r="2676" spans="1:10">
      <c r="A2676" s="90" t="s">
        <v>51</v>
      </c>
      <c r="B2676" s="87">
        <v>45758</v>
      </c>
      <c r="C2676" t="s">
        <v>4099</v>
      </c>
      <c r="D2676" t="s">
        <v>2688</v>
      </c>
      <c r="E2676" t="s">
        <v>3968</v>
      </c>
      <c r="F2676" t="s">
        <v>1607</v>
      </c>
      <c r="G2676" t="s">
        <v>2112</v>
      </c>
      <c r="H2676" t="s">
        <v>470</v>
      </c>
      <c r="I2676" t="s">
        <v>475</v>
      </c>
      <c r="J2676">
        <v>61975.62</v>
      </c>
    </row>
    <row r="2677" spans="1:10">
      <c r="A2677" s="90" t="s">
        <v>51</v>
      </c>
      <c r="B2677" s="87">
        <v>45758</v>
      </c>
      <c r="C2677" t="s">
        <v>4100</v>
      </c>
      <c r="D2677" t="s">
        <v>2688</v>
      </c>
      <c r="E2677" t="s">
        <v>3968</v>
      </c>
      <c r="F2677" t="s">
        <v>1609</v>
      </c>
      <c r="G2677" t="s">
        <v>2112</v>
      </c>
      <c r="H2677" t="s">
        <v>470</v>
      </c>
      <c r="I2677" t="s">
        <v>475</v>
      </c>
      <c r="J2677">
        <v>78292.03</v>
      </c>
    </row>
    <row r="2678" spans="1:10">
      <c r="A2678" s="90" t="s">
        <v>51</v>
      </c>
      <c r="B2678" s="87">
        <v>45758</v>
      </c>
      <c r="C2678" t="s">
        <v>4101</v>
      </c>
      <c r="D2678" t="s">
        <v>2688</v>
      </c>
      <c r="E2678" t="s">
        <v>3968</v>
      </c>
      <c r="F2678" t="s">
        <v>1611</v>
      </c>
      <c r="G2678" t="s">
        <v>2112</v>
      </c>
      <c r="H2678" t="s">
        <v>470</v>
      </c>
      <c r="I2678" t="s">
        <v>475</v>
      </c>
      <c r="J2678">
        <v>65332.43</v>
      </c>
    </row>
    <row r="2679" spans="1:10">
      <c r="A2679" s="90" t="s">
        <v>51</v>
      </c>
      <c r="B2679" s="87">
        <v>45758</v>
      </c>
      <c r="C2679" t="s">
        <v>4102</v>
      </c>
      <c r="D2679" t="s">
        <v>2688</v>
      </c>
      <c r="E2679" t="s">
        <v>3968</v>
      </c>
      <c r="F2679" t="s">
        <v>1613</v>
      </c>
      <c r="G2679" t="s">
        <v>2112</v>
      </c>
      <c r="H2679" t="s">
        <v>470</v>
      </c>
      <c r="I2679" t="s">
        <v>475</v>
      </c>
      <c r="J2679">
        <v>84955.54</v>
      </c>
    </row>
    <row r="2680" spans="1:10">
      <c r="A2680" s="90" t="s">
        <v>51</v>
      </c>
      <c r="B2680" s="87">
        <v>45758</v>
      </c>
      <c r="C2680" t="s">
        <v>4103</v>
      </c>
      <c r="D2680" t="s">
        <v>2688</v>
      </c>
      <c r="E2680" t="s">
        <v>3968</v>
      </c>
      <c r="F2680" t="s">
        <v>1615</v>
      </c>
      <c r="G2680" t="s">
        <v>2112</v>
      </c>
      <c r="H2680" t="s">
        <v>470</v>
      </c>
      <c r="I2680" t="s">
        <v>475</v>
      </c>
      <c r="J2680">
        <v>83435.789999999994</v>
      </c>
    </row>
    <row r="2681" spans="1:10">
      <c r="A2681" s="90" t="s">
        <v>51</v>
      </c>
      <c r="B2681" s="87">
        <v>45758</v>
      </c>
      <c r="C2681" t="s">
        <v>4104</v>
      </c>
      <c r="D2681" t="s">
        <v>2688</v>
      </c>
      <c r="E2681" t="s">
        <v>3968</v>
      </c>
      <c r="F2681" t="s">
        <v>1617</v>
      </c>
      <c r="G2681" t="s">
        <v>2112</v>
      </c>
      <c r="H2681" t="s">
        <v>470</v>
      </c>
      <c r="I2681" t="s">
        <v>475</v>
      </c>
      <c r="J2681">
        <v>20308.310000000001</v>
      </c>
    </row>
    <row r="2682" spans="1:10">
      <c r="A2682" s="90" t="s">
        <v>51</v>
      </c>
      <c r="B2682" s="87">
        <v>45758</v>
      </c>
      <c r="C2682" t="s">
        <v>4104</v>
      </c>
      <c r="D2682" t="s">
        <v>2688</v>
      </c>
      <c r="E2682" t="s">
        <v>3968</v>
      </c>
      <c r="F2682" t="s">
        <v>1617</v>
      </c>
      <c r="G2682" t="s">
        <v>2112</v>
      </c>
      <c r="H2682" t="s">
        <v>470</v>
      </c>
      <c r="I2682" t="s">
        <v>475</v>
      </c>
      <c r="J2682">
        <v>46777.67</v>
      </c>
    </row>
    <row r="2683" spans="1:10">
      <c r="A2683" s="90" t="s">
        <v>51</v>
      </c>
      <c r="B2683" s="87">
        <v>45758</v>
      </c>
      <c r="C2683" t="s">
        <v>517</v>
      </c>
      <c r="D2683" t="s">
        <v>2688</v>
      </c>
      <c r="E2683" t="s">
        <v>512</v>
      </c>
      <c r="F2683" t="s">
        <v>569</v>
      </c>
      <c r="G2683" t="s">
        <v>474</v>
      </c>
      <c r="H2683" t="s">
        <v>470</v>
      </c>
      <c r="I2683" t="s">
        <v>475</v>
      </c>
      <c r="J2683">
        <v>353222.33</v>
      </c>
    </row>
    <row r="2684" spans="1:10">
      <c r="A2684" s="90" t="s">
        <v>51</v>
      </c>
      <c r="B2684" s="87">
        <v>45761</v>
      </c>
      <c r="C2684" t="s">
        <v>4105</v>
      </c>
      <c r="D2684" t="s">
        <v>2688</v>
      </c>
      <c r="E2684" t="s">
        <v>3107</v>
      </c>
      <c r="F2684" t="s">
        <v>569</v>
      </c>
      <c r="G2684" t="s">
        <v>60</v>
      </c>
      <c r="H2684" t="s">
        <v>2483</v>
      </c>
      <c r="I2684" t="s">
        <v>796</v>
      </c>
      <c r="J2684">
        <v>151.88</v>
      </c>
    </row>
    <row r="2685" spans="1:10">
      <c r="A2685" s="90" t="s">
        <v>51</v>
      </c>
      <c r="B2685" s="87">
        <v>45761</v>
      </c>
      <c r="C2685" t="s">
        <v>4106</v>
      </c>
      <c r="D2685" t="s">
        <v>2688</v>
      </c>
      <c r="E2685" t="s">
        <v>3968</v>
      </c>
      <c r="F2685" t="s">
        <v>1619</v>
      </c>
      <c r="G2685" t="s">
        <v>2112</v>
      </c>
      <c r="H2685" t="s">
        <v>470</v>
      </c>
      <c r="I2685" t="s">
        <v>475</v>
      </c>
      <c r="J2685">
        <v>65950.350000000006</v>
      </c>
    </row>
    <row r="2686" spans="1:10">
      <c r="A2686" s="90" t="s">
        <v>51</v>
      </c>
      <c r="B2686" s="87">
        <v>45761</v>
      </c>
      <c r="C2686" t="s">
        <v>4107</v>
      </c>
      <c r="D2686" t="s">
        <v>2688</v>
      </c>
      <c r="E2686" t="s">
        <v>3968</v>
      </c>
      <c r="F2686" t="s">
        <v>1621</v>
      </c>
      <c r="G2686" t="s">
        <v>2112</v>
      </c>
      <c r="H2686" t="s">
        <v>470</v>
      </c>
      <c r="I2686" t="s">
        <v>475</v>
      </c>
      <c r="J2686">
        <v>59721.05</v>
      </c>
    </row>
    <row r="2687" spans="1:10">
      <c r="A2687" s="90" t="s">
        <v>51</v>
      </c>
      <c r="B2687" s="87">
        <v>45761</v>
      </c>
      <c r="C2687" t="s">
        <v>4108</v>
      </c>
      <c r="D2687" t="s">
        <v>2688</v>
      </c>
      <c r="E2687" t="s">
        <v>3968</v>
      </c>
      <c r="F2687" t="s">
        <v>1623</v>
      </c>
      <c r="G2687" t="s">
        <v>2112</v>
      </c>
      <c r="H2687" t="s">
        <v>470</v>
      </c>
      <c r="I2687" t="s">
        <v>475</v>
      </c>
      <c r="J2687">
        <v>78742.95</v>
      </c>
    </row>
    <row r="2688" spans="1:10">
      <c r="A2688" s="90" t="s">
        <v>51</v>
      </c>
      <c r="B2688" s="87">
        <v>45761</v>
      </c>
      <c r="C2688" t="s">
        <v>4109</v>
      </c>
      <c r="D2688" t="s">
        <v>2688</v>
      </c>
      <c r="E2688" t="s">
        <v>3968</v>
      </c>
      <c r="F2688" t="s">
        <v>1625</v>
      </c>
      <c r="G2688" t="s">
        <v>2112</v>
      </c>
      <c r="H2688" t="s">
        <v>470</v>
      </c>
      <c r="I2688" t="s">
        <v>475</v>
      </c>
      <c r="J2688">
        <v>66384.56</v>
      </c>
    </row>
    <row r="2689" spans="1:10">
      <c r="A2689" s="90" t="s">
        <v>51</v>
      </c>
      <c r="B2689" s="87">
        <v>45761</v>
      </c>
      <c r="C2689" t="s">
        <v>4110</v>
      </c>
      <c r="D2689" t="s">
        <v>2688</v>
      </c>
      <c r="E2689" t="s">
        <v>3968</v>
      </c>
      <c r="F2689" t="s">
        <v>1627</v>
      </c>
      <c r="G2689" t="s">
        <v>2112</v>
      </c>
      <c r="H2689" t="s">
        <v>470</v>
      </c>
      <c r="I2689" t="s">
        <v>475</v>
      </c>
      <c r="J2689">
        <v>79310.759999999995</v>
      </c>
    </row>
    <row r="2690" spans="1:10">
      <c r="A2690" s="90" t="s">
        <v>51</v>
      </c>
      <c r="B2690" s="87">
        <v>45761</v>
      </c>
      <c r="C2690" t="s">
        <v>2454</v>
      </c>
      <c r="D2690" t="s">
        <v>2688</v>
      </c>
      <c r="E2690" t="s">
        <v>1667</v>
      </c>
      <c r="F2690" t="s">
        <v>569</v>
      </c>
      <c r="G2690" t="s">
        <v>71</v>
      </c>
      <c r="H2690" t="s">
        <v>470</v>
      </c>
      <c r="I2690" t="s">
        <v>475</v>
      </c>
      <c r="J2690">
        <v>2000</v>
      </c>
    </row>
    <row r="2691" spans="1:10">
      <c r="A2691" s="90" t="s">
        <v>51</v>
      </c>
      <c r="B2691" s="87">
        <v>45761</v>
      </c>
      <c r="C2691" t="s">
        <v>511</v>
      </c>
      <c r="D2691" t="s">
        <v>2688</v>
      </c>
      <c r="E2691" t="s">
        <v>512</v>
      </c>
      <c r="F2691" t="s">
        <v>569</v>
      </c>
      <c r="G2691" t="s">
        <v>474</v>
      </c>
      <c r="H2691" t="s">
        <v>470</v>
      </c>
      <c r="I2691" t="s">
        <v>475</v>
      </c>
      <c r="J2691">
        <v>87415.55</v>
      </c>
    </row>
    <row r="2692" spans="1:10">
      <c r="A2692" s="90" t="s">
        <v>51</v>
      </c>
      <c r="B2692" s="87">
        <v>45762</v>
      </c>
      <c r="C2692" t="s">
        <v>4111</v>
      </c>
      <c r="D2692" t="s">
        <v>2688</v>
      </c>
      <c r="E2692" t="s">
        <v>3968</v>
      </c>
      <c r="F2692" t="s">
        <v>1629</v>
      </c>
      <c r="G2692" t="s">
        <v>2112</v>
      </c>
      <c r="H2692" t="s">
        <v>470</v>
      </c>
      <c r="I2692" t="s">
        <v>475</v>
      </c>
      <c r="J2692">
        <v>71945.83</v>
      </c>
    </row>
    <row r="2693" spans="1:10">
      <c r="A2693" s="90" t="s">
        <v>51</v>
      </c>
      <c r="B2693" s="87">
        <v>45762</v>
      </c>
      <c r="C2693" t="s">
        <v>4112</v>
      </c>
      <c r="D2693" t="s">
        <v>2688</v>
      </c>
      <c r="E2693" t="s">
        <v>3968</v>
      </c>
      <c r="F2693" t="s">
        <v>1631</v>
      </c>
      <c r="G2693" t="s">
        <v>2112</v>
      </c>
      <c r="H2693" t="s">
        <v>470</v>
      </c>
      <c r="I2693" t="s">
        <v>475</v>
      </c>
      <c r="J2693">
        <v>83335.59</v>
      </c>
    </row>
    <row r="2694" spans="1:10">
      <c r="A2694" s="90" t="s">
        <v>51</v>
      </c>
      <c r="B2694" s="87">
        <v>45762</v>
      </c>
      <c r="C2694" t="s">
        <v>4113</v>
      </c>
      <c r="D2694" t="s">
        <v>2688</v>
      </c>
      <c r="E2694" t="s">
        <v>3968</v>
      </c>
      <c r="F2694" t="s">
        <v>1633</v>
      </c>
      <c r="G2694" t="s">
        <v>2112</v>
      </c>
      <c r="H2694" t="s">
        <v>470</v>
      </c>
      <c r="I2694" t="s">
        <v>475</v>
      </c>
      <c r="J2694">
        <v>80646.8</v>
      </c>
    </row>
    <row r="2695" spans="1:10">
      <c r="A2695" s="90" t="s">
        <v>51</v>
      </c>
      <c r="B2695" s="87">
        <v>45762</v>
      </c>
      <c r="C2695" t="s">
        <v>511</v>
      </c>
      <c r="D2695" t="s">
        <v>2688</v>
      </c>
      <c r="E2695" t="s">
        <v>512</v>
      </c>
      <c r="F2695" t="s">
        <v>569</v>
      </c>
      <c r="G2695" t="s">
        <v>474</v>
      </c>
      <c r="H2695" t="s">
        <v>470</v>
      </c>
      <c r="I2695" t="s">
        <v>475</v>
      </c>
      <c r="J2695">
        <v>235928.22</v>
      </c>
    </row>
    <row r="2696" spans="1:10">
      <c r="A2696" s="90" t="s">
        <v>51</v>
      </c>
      <c r="B2696" s="87">
        <v>45763</v>
      </c>
      <c r="C2696" t="s">
        <v>4114</v>
      </c>
      <c r="D2696" t="s">
        <v>2688</v>
      </c>
      <c r="E2696" t="s">
        <v>3968</v>
      </c>
      <c r="F2696" t="s">
        <v>1635</v>
      </c>
      <c r="G2696" t="s">
        <v>2112</v>
      </c>
      <c r="H2696" t="s">
        <v>470</v>
      </c>
      <c r="I2696" t="s">
        <v>475</v>
      </c>
      <c r="J2696">
        <v>66000.45</v>
      </c>
    </row>
    <row r="2697" spans="1:10">
      <c r="A2697" s="90" t="s">
        <v>51</v>
      </c>
      <c r="B2697" s="87">
        <v>45763</v>
      </c>
      <c r="C2697" t="s">
        <v>4115</v>
      </c>
      <c r="D2697" t="s">
        <v>2688</v>
      </c>
      <c r="E2697" t="s">
        <v>3968</v>
      </c>
      <c r="F2697" t="s">
        <v>1637</v>
      </c>
      <c r="G2697" t="s">
        <v>2112</v>
      </c>
      <c r="H2697" t="s">
        <v>470</v>
      </c>
      <c r="I2697" t="s">
        <v>475</v>
      </c>
      <c r="J2697">
        <v>61641.61</v>
      </c>
    </row>
    <row r="2698" spans="1:10">
      <c r="A2698" s="90" t="s">
        <v>51</v>
      </c>
      <c r="B2698" s="87">
        <v>45763</v>
      </c>
      <c r="C2698" t="s">
        <v>613</v>
      </c>
      <c r="D2698" t="s">
        <v>2688</v>
      </c>
      <c r="E2698" t="s">
        <v>512</v>
      </c>
      <c r="F2698" t="s">
        <v>569</v>
      </c>
      <c r="G2698" t="s">
        <v>474</v>
      </c>
      <c r="H2698" t="s">
        <v>470</v>
      </c>
      <c r="I2698" t="s">
        <v>475</v>
      </c>
      <c r="J2698">
        <v>100000</v>
      </c>
    </row>
    <row r="2699" spans="1:10">
      <c r="A2699" s="90" t="s">
        <v>51</v>
      </c>
      <c r="B2699" s="87">
        <v>45763</v>
      </c>
      <c r="C2699" t="s">
        <v>613</v>
      </c>
      <c r="D2699" t="s">
        <v>2688</v>
      </c>
      <c r="E2699" t="s">
        <v>512</v>
      </c>
      <c r="F2699" t="s">
        <v>569</v>
      </c>
      <c r="G2699" t="s">
        <v>474</v>
      </c>
      <c r="H2699" t="s">
        <v>470</v>
      </c>
      <c r="I2699" t="s">
        <v>475</v>
      </c>
      <c r="J2699">
        <v>100000</v>
      </c>
    </row>
    <row r="2700" spans="1:10">
      <c r="A2700" s="90" t="s">
        <v>51</v>
      </c>
      <c r="B2700" s="87">
        <v>45763</v>
      </c>
      <c r="C2700" t="s">
        <v>4116</v>
      </c>
      <c r="D2700" t="s">
        <v>2688</v>
      </c>
      <c r="E2700" t="s">
        <v>3030</v>
      </c>
      <c r="F2700" t="s">
        <v>569</v>
      </c>
      <c r="G2700" t="s">
        <v>76</v>
      </c>
      <c r="H2700" t="s">
        <v>470</v>
      </c>
      <c r="I2700" t="s">
        <v>487</v>
      </c>
      <c r="J2700">
        <v>47.04</v>
      </c>
    </row>
    <row r="2701" spans="1:10">
      <c r="A2701" s="90" t="s">
        <v>51</v>
      </c>
      <c r="B2701" s="87">
        <v>45763</v>
      </c>
      <c r="C2701" t="s">
        <v>4117</v>
      </c>
      <c r="D2701" t="s">
        <v>2688</v>
      </c>
      <c r="E2701" t="s">
        <v>477</v>
      </c>
      <c r="F2701" t="s">
        <v>3954</v>
      </c>
      <c r="G2701" t="s">
        <v>515</v>
      </c>
      <c r="H2701" t="s">
        <v>4118</v>
      </c>
      <c r="I2701" t="s">
        <v>471</v>
      </c>
      <c r="J2701">
        <v>54166.67</v>
      </c>
    </row>
    <row r="2702" spans="1:10">
      <c r="A2702" s="90" t="s">
        <v>51</v>
      </c>
      <c r="B2702" s="87">
        <v>45763</v>
      </c>
      <c r="C2702" t="s">
        <v>4117</v>
      </c>
      <c r="D2702" t="s">
        <v>2688</v>
      </c>
      <c r="E2702" t="s">
        <v>477</v>
      </c>
      <c r="F2702" t="s">
        <v>3954</v>
      </c>
      <c r="G2702" t="s">
        <v>69</v>
      </c>
      <c r="H2702" t="s">
        <v>4118</v>
      </c>
      <c r="I2702" t="s">
        <v>471</v>
      </c>
      <c r="J2702">
        <v>8188.74</v>
      </c>
    </row>
    <row r="2703" spans="1:10">
      <c r="A2703" s="90" t="s">
        <v>51</v>
      </c>
      <c r="B2703" s="87">
        <v>45763</v>
      </c>
      <c r="C2703" t="s">
        <v>517</v>
      </c>
      <c r="D2703" t="s">
        <v>2688</v>
      </c>
      <c r="E2703" t="s">
        <v>512</v>
      </c>
      <c r="F2703" t="s">
        <v>569</v>
      </c>
      <c r="G2703" t="s">
        <v>474</v>
      </c>
      <c r="H2703" t="s">
        <v>470</v>
      </c>
      <c r="I2703" t="s">
        <v>475</v>
      </c>
      <c r="J2703">
        <v>935422.73</v>
      </c>
    </row>
    <row r="2704" spans="1:10">
      <c r="A2704" s="90" t="s">
        <v>51</v>
      </c>
      <c r="B2704" s="87">
        <v>45763</v>
      </c>
      <c r="C2704" t="s">
        <v>1446</v>
      </c>
      <c r="D2704" t="s">
        <v>2688</v>
      </c>
      <c r="E2704" t="s">
        <v>546</v>
      </c>
      <c r="F2704" t="s">
        <v>1447</v>
      </c>
      <c r="G2704" t="s">
        <v>166</v>
      </c>
      <c r="H2704" t="s">
        <v>470</v>
      </c>
      <c r="I2704" t="s">
        <v>475</v>
      </c>
      <c r="J2704">
        <v>8599.5</v>
      </c>
    </row>
    <row r="2705" spans="1:10">
      <c r="A2705" s="90" t="s">
        <v>51</v>
      </c>
      <c r="B2705" s="87">
        <v>45764</v>
      </c>
      <c r="C2705" t="s">
        <v>4119</v>
      </c>
      <c r="D2705" t="s">
        <v>2688</v>
      </c>
      <c r="E2705" t="s">
        <v>3968</v>
      </c>
      <c r="F2705" t="s">
        <v>1643</v>
      </c>
      <c r="G2705" t="s">
        <v>2112</v>
      </c>
      <c r="H2705" t="s">
        <v>470</v>
      </c>
      <c r="I2705" t="s">
        <v>475</v>
      </c>
      <c r="J2705">
        <v>84454.52</v>
      </c>
    </row>
    <row r="2706" spans="1:10">
      <c r="A2706" s="90" t="s">
        <v>51</v>
      </c>
      <c r="B2706" s="87">
        <v>45764</v>
      </c>
      <c r="C2706" t="s">
        <v>4120</v>
      </c>
      <c r="D2706" t="s">
        <v>2688</v>
      </c>
      <c r="E2706" t="s">
        <v>3968</v>
      </c>
      <c r="F2706" t="s">
        <v>1645</v>
      </c>
      <c r="G2706" t="s">
        <v>2112</v>
      </c>
      <c r="H2706" t="s">
        <v>470</v>
      </c>
      <c r="I2706" t="s">
        <v>475</v>
      </c>
      <c r="J2706">
        <v>79277.36</v>
      </c>
    </row>
    <row r="2707" spans="1:10">
      <c r="A2707" s="90" t="s">
        <v>51</v>
      </c>
      <c r="B2707" s="87">
        <v>45764</v>
      </c>
      <c r="C2707" t="s">
        <v>511</v>
      </c>
      <c r="D2707" t="s">
        <v>2688</v>
      </c>
      <c r="E2707" t="s">
        <v>512</v>
      </c>
      <c r="F2707" t="s">
        <v>569</v>
      </c>
      <c r="G2707" t="s">
        <v>474</v>
      </c>
      <c r="H2707" t="s">
        <v>470</v>
      </c>
      <c r="I2707" t="s">
        <v>475</v>
      </c>
      <c r="J2707">
        <v>163731.88</v>
      </c>
    </row>
    <row r="2708" spans="1:10">
      <c r="A2708" s="90" t="s">
        <v>51</v>
      </c>
      <c r="B2708" s="87">
        <v>45769</v>
      </c>
      <c r="C2708" t="s">
        <v>4121</v>
      </c>
      <c r="D2708" t="s">
        <v>2688</v>
      </c>
      <c r="E2708" t="s">
        <v>2247</v>
      </c>
      <c r="F2708" t="s">
        <v>4000</v>
      </c>
      <c r="G2708" t="s">
        <v>71</v>
      </c>
      <c r="H2708" t="s">
        <v>470</v>
      </c>
      <c r="I2708" t="s">
        <v>487</v>
      </c>
      <c r="J2708">
        <v>50000</v>
      </c>
    </row>
    <row r="2709" spans="1:10">
      <c r="A2709" s="90" t="s">
        <v>51</v>
      </c>
      <c r="B2709" s="87">
        <v>45769</v>
      </c>
      <c r="C2709" t="s">
        <v>4122</v>
      </c>
      <c r="D2709" t="s">
        <v>2688</v>
      </c>
      <c r="E2709" t="s">
        <v>1693</v>
      </c>
      <c r="F2709" t="s">
        <v>140</v>
      </c>
      <c r="G2709" t="s">
        <v>2381</v>
      </c>
      <c r="H2709" t="s">
        <v>470</v>
      </c>
      <c r="I2709" t="s">
        <v>796</v>
      </c>
      <c r="J2709">
        <v>332.31</v>
      </c>
    </row>
    <row r="2710" spans="1:10">
      <c r="A2710" s="90" t="s">
        <v>51</v>
      </c>
      <c r="B2710" s="87">
        <v>45769</v>
      </c>
      <c r="C2710" t="s">
        <v>4123</v>
      </c>
      <c r="D2710" t="s">
        <v>2688</v>
      </c>
      <c r="E2710" t="s">
        <v>1693</v>
      </c>
      <c r="F2710" t="s">
        <v>159</v>
      </c>
      <c r="G2710" t="s">
        <v>2381</v>
      </c>
      <c r="H2710" t="s">
        <v>470</v>
      </c>
      <c r="I2710" t="s">
        <v>796</v>
      </c>
      <c r="J2710">
        <v>953.91</v>
      </c>
    </row>
    <row r="2711" spans="1:10">
      <c r="A2711" s="90" t="s">
        <v>51</v>
      </c>
      <c r="B2711" s="87">
        <v>45769</v>
      </c>
      <c r="C2711" t="s">
        <v>4124</v>
      </c>
      <c r="D2711" t="s">
        <v>2688</v>
      </c>
      <c r="E2711" t="s">
        <v>3764</v>
      </c>
      <c r="F2711" t="s">
        <v>147</v>
      </c>
      <c r="G2711" t="s">
        <v>2381</v>
      </c>
      <c r="H2711" t="s">
        <v>470</v>
      </c>
      <c r="I2711" t="s">
        <v>796</v>
      </c>
      <c r="J2711">
        <v>1059.53</v>
      </c>
    </row>
    <row r="2712" spans="1:10">
      <c r="A2712" s="90" t="s">
        <v>51</v>
      </c>
      <c r="B2712" s="87">
        <v>45769</v>
      </c>
      <c r="C2712" t="s">
        <v>4125</v>
      </c>
      <c r="D2712" t="s">
        <v>2688</v>
      </c>
      <c r="E2712" t="s">
        <v>4081</v>
      </c>
      <c r="F2712" t="s">
        <v>154</v>
      </c>
      <c r="G2712" t="s">
        <v>2381</v>
      </c>
      <c r="H2712" t="s">
        <v>470</v>
      </c>
      <c r="I2712" t="s">
        <v>796</v>
      </c>
      <c r="J2712">
        <v>437.44</v>
      </c>
    </row>
    <row r="2713" spans="1:10">
      <c r="A2713" s="90" t="s">
        <v>51</v>
      </c>
      <c r="B2713" s="87">
        <v>45769</v>
      </c>
      <c r="C2713" t="s">
        <v>4054</v>
      </c>
      <c r="D2713" t="s">
        <v>2688</v>
      </c>
      <c r="E2713" t="s">
        <v>2318</v>
      </c>
      <c r="F2713" t="s">
        <v>468</v>
      </c>
      <c r="G2713" t="s">
        <v>64</v>
      </c>
      <c r="H2713" t="s">
        <v>2409</v>
      </c>
      <c r="I2713" t="s">
        <v>796</v>
      </c>
      <c r="J2713">
        <v>872.73</v>
      </c>
    </row>
    <row r="2714" spans="1:10">
      <c r="A2714" s="90" t="s">
        <v>51</v>
      </c>
      <c r="B2714" s="87">
        <v>45769</v>
      </c>
      <c r="C2714" t="s">
        <v>4054</v>
      </c>
      <c r="D2714" t="s">
        <v>2688</v>
      </c>
      <c r="E2714" t="s">
        <v>2318</v>
      </c>
      <c r="F2714" t="s">
        <v>468</v>
      </c>
      <c r="G2714" t="s">
        <v>78</v>
      </c>
      <c r="H2714" t="s">
        <v>2409</v>
      </c>
      <c r="I2714" t="s">
        <v>796</v>
      </c>
      <c r="J2714">
        <v>12.05</v>
      </c>
    </row>
    <row r="2715" spans="1:10">
      <c r="A2715" s="90" t="s">
        <v>51</v>
      </c>
      <c r="B2715" s="87">
        <v>45769</v>
      </c>
      <c r="C2715" t="s">
        <v>2301</v>
      </c>
      <c r="D2715" t="s">
        <v>2688</v>
      </c>
      <c r="E2715" t="s">
        <v>2287</v>
      </c>
      <c r="F2715" t="s">
        <v>569</v>
      </c>
      <c r="G2715" t="s">
        <v>77</v>
      </c>
      <c r="H2715" t="s">
        <v>470</v>
      </c>
      <c r="I2715" t="s">
        <v>487</v>
      </c>
      <c r="J2715">
        <v>3375</v>
      </c>
    </row>
    <row r="2716" spans="1:10">
      <c r="A2716" s="90" t="s">
        <v>51</v>
      </c>
      <c r="B2716" s="87">
        <v>45769</v>
      </c>
      <c r="C2716" t="s">
        <v>4116</v>
      </c>
      <c r="D2716" t="s">
        <v>2688</v>
      </c>
      <c r="E2716" t="s">
        <v>3030</v>
      </c>
      <c r="F2716" t="s">
        <v>569</v>
      </c>
      <c r="G2716" t="s">
        <v>76</v>
      </c>
      <c r="H2716" t="s">
        <v>470</v>
      </c>
      <c r="I2716" t="s">
        <v>487</v>
      </c>
      <c r="J2716">
        <v>40</v>
      </c>
    </row>
    <row r="2717" spans="1:10">
      <c r="A2717" s="90" t="s">
        <v>51</v>
      </c>
      <c r="B2717" s="87">
        <v>45769</v>
      </c>
      <c r="C2717" t="s">
        <v>517</v>
      </c>
      <c r="D2717" t="s">
        <v>2688</v>
      </c>
      <c r="E2717" t="s">
        <v>512</v>
      </c>
      <c r="F2717" t="s">
        <v>569</v>
      </c>
      <c r="G2717" t="s">
        <v>474</v>
      </c>
      <c r="H2717" t="s">
        <v>470</v>
      </c>
      <c r="I2717" t="s">
        <v>475</v>
      </c>
      <c r="J2717">
        <v>1442917.03</v>
      </c>
    </row>
    <row r="2718" spans="1:10">
      <c r="A2718" s="90" t="s">
        <v>51</v>
      </c>
      <c r="B2718" s="87">
        <v>45770</v>
      </c>
      <c r="C2718" t="s">
        <v>4126</v>
      </c>
      <c r="D2718" t="s">
        <v>2688</v>
      </c>
      <c r="E2718" t="s">
        <v>3968</v>
      </c>
      <c r="F2718" t="s">
        <v>1647</v>
      </c>
      <c r="G2718" t="s">
        <v>2112</v>
      </c>
      <c r="H2718" t="s">
        <v>470</v>
      </c>
      <c r="I2718" t="s">
        <v>475</v>
      </c>
      <c r="J2718">
        <v>81966.149999999994</v>
      </c>
    </row>
    <row r="2719" spans="1:10">
      <c r="A2719" s="90" t="s">
        <v>51</v>
      </c>
      <c r="B2719" s="87">
        <v>45770</v>
      </c>
      <c r="C2719" t="s">
        <v>4127</v>
      </c>
      <c r="D2719" t="s">
        <v>2688</v>
      </c>
      <c r="E2719" t="s">
        <v>3968</v>
      </c>
      <c r="F2719" t="s">
        <v>4128</v>
      </c>
      <c r="G2719" t="s">
        <v>2112</v>
      </c>
      <c r="H2719" t="s">
        <v>470</v>
      </c>
      <c r="I2719" t="s">
        <v>475</v>
      </c>
      <c r="J2719">
        <v>27906.57</v>
      </c>
    </row>
    <row r="2720" spans="1:10">
      <c r="A2720" s="90" t="s">
        <v>51</v>
      </c>
      <c r="B2720" s="87">
        <v>45770</v>
      </c>
      <c r="C2720" t="s">
        <v>4129</v>
      </c>
      <c r="D2720" t="s">
        <v>2688</v>
      </c>
      <c r="E2720" t="s">
        <v>4130</v>
      </c>
      <c r="F2720" t="s">
        <v>1690</v>
      </c>
      <c r="G2720" t="s">
        <v>2112</v>
      </c>
      <c r="H2720" t="s">
        <v>470</v>
      </c>
      <c r="I2720" t="s">
        <v>487</v>
      </c>
      <c r="J2720">
        <v>38473.81</v>
      </c>
    </row>
    <row r="2721" spans="1:10">
      <c r="A2721" s="90" t="s">
        <v>51</v>
      </c>
      <c r="B2721" s="87">
        <v>45770</v>
      </c>
      <c r="C2721" t="s">
        <v>4131</v>
      </c>
      <c r="D2721" t="s">
        <v>2688</v>
      </c>
      <c r="E2721" t="s">
        <v>4130</v>
      </c>
      <c r="F2721" t="s">
        <v>1649</v>
      </c>
      <c r="G2721" t="s">
        <v>2112</v>
      </c>
      <c r="H2721" t="s">
        <v>470</v>
      </c>
      <c r="I2721" t="s">
        <v>487</v>
      </c>
      <c r="J2721">
        <v>78922.34</v>
      </c>
    </row>
    <row r="2722" spans="1:10">
      <c r="A2722" s="90" t="s">
        <v>51</v>
      </c>
      <c r="B2722" s="87">
        <v>45770</v>
      </c>
      <c r="C2722" t="s">
        <v>4132</v>
      </c>
      <c r="D2722" t="s">
        <v>2688</v>
      </c>
      <c r="E2722" t="s">
        <v>4130</v>
      </c>
      <c r="F2722" t="s">
        <v>1651</v>
      </c>
      <c r="G2722" t="s">
        <v>2112</v>
      </c>
      <c r="H2722" t="s">
        <v>470</v>
      </c>
      <c r="I2722" t="s">
        <v>487</v>
      </c>
      <c r="J2722">
        <v>82018.33</v>
      </c>
    </row>
    <row r="2723" spans="1:10">
      <c r="A2723" s="90" t="s">
        <v>51</v>
      </c>
      <c r="B2723" s="87">
        <v>45770</v>
      </c>
      <c r="C2723" t="s">
        <v>4133</v>
      </c>
      <c r="D2723" t="s">
        <v>2688</v>
      </c>
      <c r="E2723" t="s">
        <v>4130</v>
      </c>
      <c r="F2723" t="s">
        <v>1653</v>
      </c>
      <c r="G2723" t="s">
        <v>2112</v>
      </c>
      <c r="H2723" t="s">
        <v>470</v>
      </c>
      <c r="I2723" t="s">
        <v>487</v>
      </c>
      <c r="J2723">
        <v>84210.61</v>
      </c>
    </row>
    <row r="2724" spans="1:10">
      <c r="A2724" s="90" t="s">
        <v>51</v>
      </c>
      <c r="B2724" s="87">
        <v>45770</v>
      </c>
      <c r="C2724" t="s">
        <v>4134</v>
      </c>
      <c r="D2724" t="s">
        <v>2688</v>
      </c>
      <c r="E2724" t="s">
        <v>4130</v>
      </c>
      <c r="F2724" t="s">
        <v>1655</v>
      </c>
      <c r="G2724" t="s">
        <v>2112</v>
      </c>
      <c r="H2724" t="s">
        <v>470</v>
      </c>
      <c r="I2724" t="s">
        <v>487</v>
      </c>
      <c r="J2724">
        <v>78922.350000000006</v>
      </c>
    </row>
    <row r="2725" spans="1:10">
      <c r="A2725" s="90" t="s">
        <v>51</v>
      </c>
      <c r="B2725" s="87">
        <v>45770</v>
      </c>
      <c r="C2725" t="s">
        <v>4135</v>
      </c>
      <c r="D2725" t="s">
        <v>2688</v>
      </c>
      <c r="E2725" t="s">
        <v>4130</v>
      </c>
      <c r="F2725" t="s">
        <v>1657</v>
      </c>
      <c r="G2725" t="s">
        <v>2112</v>
      </c>
      <c r="H2725" t="s">
        <v>470</v>
      </c>
      <c r="I2725" t="s">
        <v>487</v>
      </c>
      <c r="J2725">
        <v>60262.8</v>
      </c>
    </row>
    <row r="2726" spans="1:10">
      <c r="A2726" s="90" t="s">
        <v>51</v>
      </c>
      <c r="B2726" s="87">
        <v>45770</v>
      </c>
      <c r="C2726" t="s">
        <v>511</v>
      </c>
      <c r="D2726" t="s">
        <v>2688</v>
      </c>
      <c r="E2726" t="s">
        <v>512</v>
      </c>
      <c r="F2726" t="s">
        <v>569</v>
      </c>
      <c r="G2726" t="s">
        <v>474</v>
      </c>
      <c r="H2726" t="s">
        <v>470</v>
      </c>
      <c r="I2726" t="s">
        <v>475</v>
      </c>
      <c r="J2726">
        <v>532682.96</v>
      </c>
    </row>
    <row r="2727" spans="1:10">
      <c r="A2727" s="90" t="s">
        <v>51</v>
      </c>
      <c r="B2727" s="87">
        <v>45771</v>
      </c>
      <c r="C2727" t="s">
        <v>4136</v>
      </c>
      <c r="D2727" t="s">
        <v>2688</v>
      </c>
      <c r="E2727" t="s">
        <v>1743</v>
      </c>
      <c r="F2727" t="s">
        <v>1589</v>
      </c>
      <c r="G2727" t="s">
        <v>2125</v>
      </c>
      <c r="H2727" t="s">
        <v>470</v>
      </c>
      <c r="I2727" t="s">
        <v>475</v>
      </c>
      <c r="J2727">
        <v>9692.7999999999993</v>
      </c>
    </row>
    <row r="2728" spans="1:10">
      <c r="A2728" s="90" t="s">
        <v>51</v>
      </c>
      <c r="B2728" s="87">
        <v>45771</v>
      </c>
      <c r="C2728" t="s">
        <v>4137</v>
      </c>
      <c r="D2728" t="s">
        <v>2688</v>
      </c>
      <c r="E2728" t="s">
        <v>1743</v>
      </c>
      <c r="F2728" t="s">
        <v>1591</v>
      </c>
      <c r="G2728" t="s">
        <v>2125</v>
      </c>
      <c r="H2728" t="s">
        <v>470</v>
      </c>
      <c r="I2728" t="s">
        <v>475</v>
      </c>
      <c r="J2728">
        <v>10350.6</v>
      </c>
    </row>
    <row r="2729" spans="1:10">
      <c r="A2729" s="90" t="s">
        <v>51</v>
      </c>
      <c r="B2729" s="87">
        <v>45771</v>
      </c>
      <c r="C2729" t="s">
        <v>4138</v>
      </c>
      <c r="D2729" t="s">
        <v>2688</v>
      </c>
      <c r="E2729" t="s">
        <v>1743</v>
      </c>
      <c r="F2729" t="s">
        <v>1597</v>
      </c>
      <c r="G2729" t="s">
        <v>2125</v>
      </c>
      <c r="H2729" t="s">
        <v>470</v>
      </c>
      <c r="I2729" t="s">
        <v>475</v>
      </c>
      <c r="J2729">
        <v>12581.4</v>
      </c>
    </row>
    <row r="2730" spans="1:10">
      <c r="A2730" s="90" t="s">
        <v>51</v>
      </c>
      <c r="B2730" s="87">
        <v>45771</v>
      </c>
      <c r="C2730" t="s">
        <v>4139</v>
      </c>
      <c r="D2730" t="s">
        <v>2688</v>
      </c>
      <c r="E2730" t="s">
        <v>1743</v>
      </c>
      <c r="F2730" t="s">
        <v>1599</v>
      </c>
      <c r="G2730" t="s">
        <v>2125</v>
      </c>
      <c r="H2730" t="s">
        <v>470</v>
      </c>
      <c r="I2730" t="s">
        <v>475</v>
      </c>
      <c r="J2730">
        <v>6882.2</v>
      </c>
    </row>
    <row r="2731" spans="1:10">
      <c r="A2731" s="90" t="s">
        <v>51</v>
      </c>
      <c r="B2731" s="87">
        <v>45771</v>
      </c>
      <c r="C2731" t="s">
        <v>4140</v>
      </c>
      <c r="D2731" t="s">
        <v>2688</v>
      </c>
      <c r="E2731" t="s">
        <v>1743</v>
      </c>
      <c r="F2731" t="s">
        <v>1601</v>
      </c>
      <c r="G2731" t="s">
        <v>2125</v>
      </c>
      <c r="H2731" t="s">
        <v>470</v>
      </c>
      <c r="I2731" t="s">
        <v>475</v>
      </c>
      <c r="J2731">
        <v>12875.2</v>
      </c>
    </row>
    <row r="2732" spans="1:10">
      <c r="A2732" s="90" t="s">
        <v>51</v>
      </c>
      <c r="B2732" s="87">
        <v>45771</v>
      </c>
      <c r="C2732" t="s">
        <v>4141</v>
      </c>
      <c r="D2732" t="s">
        <v>2688</v>
      </c>
      <c r="E2732" t="s">
        <v>1743</v>
      </c>
      <c r="F2732" t="s">
        <v>1603</v>
      </c>
      <c r="G2732" t="s">
        <v>2125</v>
      </c>
      <c r="H2732" t="s">
        <v>470</v>
      </c>
      <c r="I2732" t="s">
        <v>475</v>
      </c>
      <c r="J2732">
        <v>12274.6</v>
      </c>
    </row>
    <row r="2733" spans="1:10">
      <c r="A2733" s="90" t="s">
        <v>51</v>
      </c>
      <c r="B2733" s="87">
        <v>45771</v>
      </c>
      <c r="C2733" t="s">
        <v>4142</v>
      </c>
      <c r="D2733" t="s">
        <v>2688</v>
      </c>
      <c r="E2733" t="s">
        <v>1743</v>
      </c>
      <c r="F2733" t="s">
        <v>1607</v>
      </c>
      <c r="G2733" t="s">
        <v>2125</v>
      </c>
      <c r="H2733" t="s">
        <v>470</v>
      </c>
      <c r="I2733" t="s">
        <v>475</v>
      </c>
      <c r="J2733">
        <v>9648.6</v>
      </c>
    </row>
    <row r="2734" spans="1:10">
      <c r="A2734" s="90" t="s">
        <v>51</v>
      </c>
      <c r="B2734" s="87">
        <v>45771</v>
      </c>
      <c r="C2734" t="s">
        <v>4143</v>
      </c>
      <c r="D2734" t="s">
        <v>2688</v>
      </c>
      <c r="E2734" t="s">
        <v>1743</v>
      </c>
      <c r="F2734" t="s">
        <v>1609</v>
      </c>
      <c r="G2734" t="s">
        <v>2125</v>
      </c>
      <c r="H2734" t="s">
        <v>470</v>
      </c>
      <c r="I2734" t="s">
        <v>475</v>
      </c>
      <c r="J2734">
        <v>12188.8</v>
      </c>
    </row>
    <row r="2735" spans="1:10">
      <c r="A2735" s="90" t="s">
        <v>51</v>
      </c>
      <c r="B2735" s="87">
        <v>45771</v>
      </c>
      <c r="C2735" t="s">
        <v>4144</v>
      </c>
      <c r="D2735" t="s">
        <v>2688</v>
      </c>
      <c r="E2735" t="s">
        <v>1743</v>
      </c>
      <c r="F2735" t="s">
        <v>1615</v>
      </c>
      <c r="G2735" t="s">
        <v>2125</v>
      </c>
      <c r="H2735" t="s">
        <v>470</v>
      </c>
      <c r="I2735" t="s">
        <v>475</v>
      </c>
      <c r="J2735">
        <v>12989.6</v>
      </c>
    </row>
    <row r="2736" spans="1:10">
      <c r="A2736" s="90" t="s">
        <v>51</v>
      </c>
      <c r="B2736" s="87">
        <v>45771</v>
      </c>
      <c r="C2736" t="s">
        <v>4145</v>
      </c>
      <c r="D2736" t="s">
        <v>2688</v>
      </c>
      <c r="E2736" t="s">
        <v>1743</v>
      </c>
      <c r="F2736" t="s">
        <v>1617</v>
      </c>
      <c r="G2736" t="s">
        <v>2125</v>
      </c>
      <c r="H2736" t="s">
        <v>470</v>
      </c>
      <c r="I2736" t="s">
        <v>475</v>
      </c>
      <c r="J2736">
        <v>10444.200000000001</v>
      </c>
    </row>
    <row r="2737" spans="1:10">
      <c r="A2737" s="90" t="s">
        <v>51</v>
      </c>
      <c r="B2737" s="87">
        <v>45771</v>
      </c>
      <c r="C2737" t="s">
        <v>4146</v>
      </c>
      <c r="D2737" t="s">
        <v>2688</v>
      </c>
      <c r="E2737" t="s">
        <v>3764</v>
      </c>
      <c r="F2737" t="s">
        <v>1639</v>
      </c>
      <c r="G2737" t="s">
        <v>2112</v>
      </c>
      <c r="H2737" t="s">
        <v>470</v>
      </c>
      <c r="I2737" t="s">
        <v>475</v>
      </c>
      <c r="J2737">
        <v>22335.040000000001</v>
      </c>
    </row>
    <row r="2738" spans="1:10">
      <c r="A2738" s="90" t="s">
        <v>51</v>
      </c>
      <c r="B2738" s="87">
        <v>45771</v>
      </c>
      <c r="C2738" t="s">
        <v>4147</v>
      </c>
      <c r="D2738" t="s">
        <v>2688</v>
      </c>
      <c r="E2738" t="s">
        <v>4130</v>
      </c>
      <c r="F2738" t="s">
        <v>1703</v>
      </c>
      <c r="G2738" t="s">
        <v>2112</v>
      </c>
      <c r="H2738" t="s">
        <v>470</v>
      </c>
      <c r="I2738" t="s">
        <v>487</v>
      </c>
      <c r="J2738">
        <v>63442.46</v>
      </c>
    </row>
    <row r="2739" spans="1:10">
      <c r="A2739" s="90" t="s">
        <v>51</v>
      </c>
      <c r="B2739" s="87">
        <v>45771</v>
      </c>
      <c r="C2739" t="s">
        <v>4148</v>
      </c>
      <c r="D2739" t="s">
        <v>2688</v>
      </c>
      <c r="E2739" t="s">
        <v>4130</v>
      </c>
      <c r="F2739" t="s">
        <v>1659</v>
      </c>
      <c r="G2739" t="s">
        <v>2112</v>
      </c>
      <c r="H2739" t="s">
        <v>470</v>
      </c>
      <c r="I2739" t="s">
        <v>487</v>
      </c>
      <c r="J2739">
        <v>79457.87</v>
      </c>
    </row>
    <row r="2740" spans="1:10">
      <c r="A2740" s="90" t="s">
        <v>51</v>
      </c>
      <c r="B2740" s="87">
        <v>45771</v>
      </c>
      <c r="C2740" t="s">
        <v>511</v>
      </c>
      <c r="D2740" t="s">
        <v>2688</v>
      </c>
      <c r="E2740" t="s">
        <v>512</v>
      </c>
      <c r="F2740" t="s">
        <v>569</v>
      </c>
      <c r="G2740" t="s">
        <v>474</v>
      </c>
      <c r="H2740" t="s">
        <v>470</v>
      </c>
      <c r="I2740" t="s">
        <v>475</v>
      </c>
      <c r="J2740">
        <v>65482.12</v>
      </c>
    </row>
    <row r="2741" spans="1:10">
      <c r="A2741" s="90" t="s">
        <v>51</v>
      </c>
      <c r="B2741" s="87">
        <v>45772</v>
      </c>
      <c r="C2741" t="s">
        <v>4149</v>
      </c>
      <c r="D2741" t="s">
        <v>2688</v>
      </c>
      <c r="E2741" t="s">
        <v>1743</v>
      </c>
      <c r="F2741" t="s">
        <v>1605</v>
      </c>
      <c r="G2741" t="s">
        <v>2125</v>
      </c>
      <c r="H2741" t="s">
        <v>470</v>
      </c>
      <c r="I2741" t="s">
        <v>475</v>
      </c>
      <c r="J2741">
        <v>12212.2</v>
      </c>
    </row>
    <row r="2742" spans="1:10">
      <c r="A2742" s="90" t="s">
        <v>51</v>
      </c>
      <c r="B2742" s="87">
        <v>45772</v>
      </c>
      <c r="C2742" t="s">
        <v>4150</v>
      </c>
      <c r="D2742" t="s">
        <v>2688</v>
      </c>
      <c r="E2742" t="s">
        <v>4130</v>
      </c>
      <c r="F2742" t="s">
        <v>1661</v>
      </c>
      <c r="G2742" t="s">
        <v>2112</v>
      </c>
      <c r="H2742" t="s">
        <v>470</v>
      </c>
      <c r="I2742" t="s">
        <v>487</v>
      </c>
      <c r="J2742">
        <v>78570.91</v>
      </c>
    </row>
    <row r="2743" spans="1:10">
      <c r="A2743" s="90" t="s">
        <v>51</v>
      </c>
      <c r="B2743" s="87">
        <v>45772</v>
      </c>
      <c r="C2743" t="s">
        <v>4151</v>
      </c>
      <c r="D2743" t="s">
        <v>2688</v>
      </c>
      <c r="E2743" t="s">
        <v>4130</v>
      </c>
      <c r="F2743" t="s">
        <v>1663</v>
      </c>
      <c r="G2743" t="s">
        <v>2112</v>
      </c>
      <c r="H2743" t="s">
        <v>470</v>
      </c>
      <c r="I2743" t="s">
        <v>487</v>
      </c>
      <c r="J2743">
        <v>83390.600000000006</v>
      </c>
    </row>
    <row r="2744" spans="1:10">
      <c r="A2744" s="90" t="s">
        <v>51</v>
      </c>
      <c r="B2744" s="87">
        <v>45772</v>
      </c>
      <c r="C2744" t="s">
        <v>2275</v>
      </c>
      <c r="D2744" t="s">
        <v>2688</v>
      </c>
      <c r="E2744" t="s">
        <v>477</v>
      </c>
      <c r="F2744" t="s">
        <v>569</v>
      </c>
      <c r="G2744" t="s">
        <v>74</v>
      </c>
      <c r="H2744" t="s">
        <v>470</v>
      </c>
      <c r="I2744" t="s">
        <v>471</v>
      </c>
      <c r="J2744">
        <v>10</v>
      </c>
    </row>
    <row r="2745" spans="1:10">
      <c r="A2745" s="90" t="s">
        <v>51</v>
      </c>
      <c r="B2745" s="87">
        <v>45772</v>
      </c>
      <c r="C2745" t="s">
        <v>517</v>
      </c>
      <c r="D2745" t="s">
        <v>2688</v>
      </c>
      <c r="E2745" t="s">
        <v>512</v>
      </c>
      <c r="F2745" t="s">
        <v>569</v>
      </c>
      <c r="G2745" t="s">
        <v>474</v>
      </c>
      <c r="H2745" t="s">
        <v>470</v>
      </c>
      <c r="I2745" t="s">
        <v>475</v>
      </c>
      <c r="J2745">
        <v>877816.3</v>
      </c>
    </row>
    <row r="2746" spans="1:10">
      <c r="A2746" s="90" t="s">
        <v>51</v>
      </c>
      <c r="B2746" s="87">
        <v>45775</v>
      </c>
      <c r="C2746" t="s">
        <v>4152</v>
      </c>
      <c r="D2746" t="s">
        <v>2688</v>
      </c>
      <c r="E2746" t="s">
        <v>773</v>
      </c>
      <c r="F2746" t="s">
        <v>669</v>
      </c>
      <c r="G2746" t="s">
        <v>537</v>
      </c>
      <c r="H2746" t="s">
        <v>470</v>
      </c>
      <c r="I2746" t="s">
        <v>475</v>
      </c>
      <c r="J2746">
        <v>1300000</v>
      </c>
    </row>
    <row r="2747" spans="1:10">
      <c r="A2747" s="90" t="s">
        <v>51</v>
      </c>
      <c r="B2747" s="87">
        <v>45775</v>
      </c>
      <c r="C2747" t="s">
        <v>4153</v>
      </c>
      <c r="D2747" t="s">
        <v>2688</v>
      </c>
      <c r="E2747" t="s">
        <v>773</v>
      </c>
      <c r="F2747" t="s">
        <v>671</v>
      </c>
      <c r="G2747" t="s">
        <v>537</v>
      </c>
      <c r="H2747" t="s">
        <v>470</v>
      </c>
      <c r="I2747" t="s">
        <v>475</v>
      </c>
      <c r="J2747">
        <v>1500000</v>
      </c>
    </row>
    <row r="2748" spans="1:10">
      <c r="A2748" s="90" t="s">
        <v>51</v>
      </c>
      <c r="B2748" s="87">
        <v>45775</v>
      </c>
      <c r="C2748" t="s">
        <v>4154</v>
      </c>
      <c r="D2748" t="s">
        <v>2688</v>
      </c>
      <c r="E2748" t="s">
        <v>4130</v>
      </c>
      <c r="F2748" t="s">
        <v>1665</v>
      </c>
      <c r="G2748" t="s">
        <v>2112</v>
      </c>
      <c r="H2748" t="s">
        <v>470</v>
      </c>
      <c r="I2748" t="s">
        <v>487</v>
      </c>
      <c r="J2748">
        <v>60818.9</v>
      </c>
    </row>
    <row r="2749" spans="1:10">
      <c r="A2749" s="90" t="s">
        <v>51</v>
      </c>
      <c r="B2749" s="87">
        <v>45775</v>
      </c>
      <c r="C2749" t="s">
        <v>4154</v>
      </c>
      <c r="D2749" t="s">
        <v>2688</v>
      </c>
      <c r="E2749" t="s">
        <v>4130</v>
      </c>
      <c r="F2749" t="s">
        <v>1665</v>
      </c>
      <c r="G2749" t="s">
        <v>2112</v>
      </c>
      <c r="H2749" t="s">
        <v>470</v>
      </c>
      <c r="I2749" t="s">
        <v>487</v>
      </c>
      <c r="J2749">
        <v>23174.16</v>
      </c>
    </row>
    <row r="2750" spans="1:10">
      <c r="A2750" s="90" t="s">
        <v>51</v>
      </c>
      <c r="B2750" s="87">
        <v>45775</v>
      </c>
      <c r="C2750" t="s">
        <v>4155</v>
      </c>
      <c r="D2750" t="s">
        <v>2688</v>
      </c>
      <c r="E2750" t="s">
        <v>4130</v>
      </c>
      <c r="F2750" t="s">
        <v>1705</v>
      </c>
      <c r="G2750" t="s">
        <v>2112</v>
      </c>
      <c r="H2750" t="s">
        <v>470</v>
      </c>
      <c r="I2750" t="s">
        <v>487</v>
      </c>
      <c r="J2750">
        <v>62153.86</v>
      </c>
    </row>
    <row r="2751" spans="1:10">
      <c r="A2751" s="90" t="s">
        <v>51</v>
      </c>
      <c r="B2751" s="87">
        <v>45775</v>
      </c>
      <c r="C2751" t="s">
        <v>2275</v>
      </c>
      <c r="D2751" t="s">
        <v>2688</v>
      </c>
      <c r="E2751" t="s">
        <v>477</v>
      </c>
      <c r="F2751" t="s">
        <v>569</v>
      </c>
      <c r="G2751" t="s">
        <v>74</v>
      </c>
      <c r="H2751" t="s">
        <v>470</v>
      </c>
      <c r="I2751" t="s">
        <v>471</v>
      </c>
      <c r="J2751">
        <v>30</v>
      </c>
    </row>
    <row r="2752" spans="1:10">
      <c r="A2752" s="90" t="s">
        <v>51</v>
      </c>
      <c r="B2752" s="87">
        <v>45775</v>
      </c>
      <c r="C2752" t="s">
        <v>511</v>
      </c>
      <c r="D2752" t="s">
        <v>2688</v>
      </c>
      <c r="E2752" t="s">
        <v>512</v>
      </c>
      <c r="F2752" t="s">
        <v>569</v>
      </c>
      <c r="G2752" t="s">
        <v>474</v>
      </c>
      <c r="H2752" t="s">
        <v>470</v>
      </c>
      <c r="I2752" t="s">
        <v>475</v>
      </c>
      <c r="J2752">
        <v>1274126.29</v>
      </c>
    </row>
    <row r="2753" spans="1:10">
      <c r="A2753" s="90" t="s">
        <v>51</v>
      </c>
      <c r="B2753" s="87">
        <v>45776</v>
      </c>
      <c r="C2753" t="s">
        <v>4156</v>
      </c>
      <c r="D2753" t="s">
        <v>2688</v>
      </c>
      <c r="E2753" t="s">
        <v>2520</v>
      </c>
      <c r="F2753" t="s">
        <v>1611</v>
      </c>
      <c r="G2753" t="s">
        <v>2125</v>
      </c>
      <c r="H2753" t="s">
        <v>470</v>
      </c>
      <c r="I2753" t="s">
        <v>487</v>
      </c>
      <c r="J2753">
        <v>10171.200000000001</v>
      </c>
    </row>
    <row r="2754" spans="1:10">
      <c r="A2754" s="90" t="s">
        <v>51</v>
      </c>
      <c r="B2754" s="87">
        <v>45776</v>
      </c>
      <c r="C2754" t="s">
        <v>4157</v>
      </c>
      <c r="D2754" t="s">
        <v>2688</v>
      </c>
      <c r="E2754" t="s">
        <v>2520</v>
      </c>
      <c r="F2754" t="s">
        <v>1619</v>
      </c>
      <c r="G2754" t="s">
        <v>2125</v>
      </c>
      <c r="H2754" t="s">
        <v>470</v>
      </c>
      <c r="I2754" t="s">
        <v>487</v>
      </c>
      <c r="J2754">
        <v>10267.4</v>
      </c>
    </row>
    <row r="2755" spans="1:10">
      <c r="A2755" s="90" t="s">
        <v>51</v>
      </c>
      <c r="B2755" s="87">
        <v>45776</v>
      </c>
      <c r="C2755" t="s">
        <v>4158</v>
      </c>
      <c r="D2755" t="s">
        <v>2688</v>
      </c>
      <c r="E2755" t="s">
        <v>2520</v>
      </c>
      <c r="F2755" t="s">
        <v>1631</v>
      </c>
      <c r="G2755" t="s">
        <v>2125</v>
      </c>
      <c r="H2755" t="s">
        <v>470</v>
      </c>
      <c r="I2755" t="s">
        <v>540</v>
      </c>
      <c r="J2755">
        <v>12974</v>
      </c>
    </row>
    <row r="2756" spans="1:10">
      <c r="A2756" s="90" t="s">
        <v>51</v>
      </c>
      <c r="B2756" s="87">
        <v>45776</v>
      </c>
      <c r="C2756" t="s">
        <v>4159</v>
      </c>
      <c r="D2756" t="s">
        <v>2688</v>
      </c>
      <c r="E2756" t="s">
        <v>2520</v>
      </c>
      <c r="F2756" t="s">
        <v>1637</v>
      </c>
      <c r="G2756" t="s">
        <v>2125</v>
      </c>
      <c r="H2756" t="s">
        <v>470</v>
      </c>
      <c r="I2756" t="s">
        <v>487</v>
      </c>
      <c r="J2756">
        <v>9596.6</v>
      </c>
    </row>
    <row r="2757" spans="1:10">
      <c r="A2757" s="90" t="s">
        <v>51</v>
      </c>
      <c r="B2757" s="87">
        <v>45776</v>
      </c>
      <c r="C2757" t="s">
        <v>4160</v>
      </c>
      <c r="D2757" t="s">
        <v>2688</v>
      </c>
      <c r="E2757" t="s">
        <v>4130</v>
      </c>
      <c r="F2757" t="s">
        <v>1707</v>
      </c>
      <c r="G2757" t="s">
        <v>2112</v>
      </c>
      <c r="H2757" t="s">
        <v>470</v>
      </c>
      <c r="I2757" t="s">
        <v>487</v>
      </c>
      <c r="J2757">
        <v>84260.82</v>
      </c>
    </row>
    <row r="2758" spans="1:10">
      <c r="A2758" s="90" t="s">
        <v>51</v>
      </c>
      <c r="B2758" s="87">
        <v>45776</v>
      </c>
      <c r="C2758" t="s">
        <v>3961</v>
      </c>
      <c r="D2758" t="s">
        <v>2688</v>
      </c>
      <c r="E2758" t="s">
        <v>3962</v>
      </c>
      <c r="F2758" t="s">
        <v>4161</v>
      </c>
      <c r="G2758" t="s">
        <v>63</v>
      </c>
      <c r="H2758" t="s">
        <v>2483</v>
      </c>
      <c r="I2758" t="s">
        <v>475</v>
      </c>
      <c r="J2758">
        <v>84</v>
      </c>
    </row>
    <row r="2759" spans="1:10">
      <c r="A2759" s="90" t="s">
        <v>51</v>
      </c>
      <c r="B2759" s="87">
        <v>45776</v>
      </c>
      <c r="C2759" t="s">
        <v>4162</v>
      </c>
      <c r="D2759" t="s">
        <v>2688</v>
      </c>
      <c r="E2759" t="s">
        <v>3030</v>
      </c>
      <c r="F2759" t="s">
        <v>569</v>
      </c>
      <c r="G2759" t="s">
        <v>76</v>
      </c>
      <c r="H2759" t="s">
        <v>470</v>
      </c>
      <c r="I2759" t="s">
        <v>475</v>
      </c>
      <c r="J2759">
        <v>644.89</v>
      </c>
    </row>
    <row r="2760" spans="1:10">
      <c r="A2760" s="90" t="s">
        <v>51</v>
      </c>
      <c r="B2760" s="87">
        <v>45776</v>
      </c>
      <c r="C2760" t="s">
        <v>517</v>
      </c>
      <c r="D2760" t="s">
        <v>2688</v>
      </c>
      <c r="E2760" t="s">
        <v>512</v>
      </c>
      <c r="F2760" t="s">
        <v>569</v>
      </c>
      <c r="G2760" t="s">
        <v>474</v>
      </c>
      <c r="H2760" t="s">
        <v>470</v>
      </c>
      <c r="I2760" t="s">
        <v>475</v>
      </c>
      <c r="J2760">
        <v>1598740</v>
      </c>
    </row>
    <row r="2761" spans="1:10">
      <c r="A2761" s="90" t="s">
        <v>51</v>
      </c>
      <c r="B2761" s="87">
        <v>45776</v>
      </c>
      <c r="C2761" t="s">
        <v>2275</v>
      </c>
      <c r="D2761" t="s">
        <v>2688</v>
      </c>
      <c r="E2761" t="s">
        <v>477</v>
      </c>
      <c r="F2761" t="s">
        <v>569</v>
      </c>
      <c r="G2761" t="s">
        <v>74</v>
      </c>
      <c r="H2761" t="s">
        <v>470</v>
      </c>
      <c r="I2761" t="s">
        <v>471</v>
      </c>
      <c r="J2761">
        <v>20</v>
      </c>
    </row>
    <row r="2762" spans="1:10">
      <c r="A2762" s="90" t="s">
        <v>51</v>
      </c>
      <c r="B2762" s="87">
        <v>45776</v>
      </c>
      <c r="C2762" t="s">
        <v>511</v>
      </c>
      <c r="D2762" t="s">
        <v>2688</v>
      </c>
      <c r="E2762" t="s">
        <v>512</v>
      </c>
      <c r="F2762" t="s">
        <v>569</v>
      </c>
      <c r="G2762" t="s">
        <v>474</v>
      </c>
      <c r="H2762" t="s">
        <v>470</v>
      </c>
      <c r="I2762" t="s">
        <v>475</v>
      </c>
      <c r="J2762">
        <v>128018.91</v>
      </c>
    </row>
    <row r="2763" spans="1:10">
      <c r="A2763" s="90" t="s">
        <v>51</v>
      </c>
      <c r="B2763" s="87">
        <v>45777</v>
      </c>
      <c r="C2763" t="s">
        <v>4163</v>
      </c>
      <c r="D2763" t="s">
        <v>2688</v>
      </c>
      <c r="E2763" t="s">
        <v>1693</v>
      </c>
      <c r="F2763" t="s">
        <v>4164</v>
      </c>
      <c r="G2763" t="s">
        <v>2112</v>
      </c>
      <c r="H2763" t="s">
        <v>470</v>
      </c>
      <c r="I2763" t="s">
        <v>475</v>
      </c>
      <c r="J2763">
        <v>96018</v>
      </c>
    </row>
    <row r="2764" spans="1:10">
      <c r="A2764" s="90" t="s">
        <v>51</v>
      </c>
      <c r="B2764" s="87">
        <v>45777</v>
      </c>
      <c r="C2764" t="s">
        <v>4165</v>
      </c>
      <c r="D2764" t="s">
        <v>2688</v>
      </c>
      <c r="E2764" t="s">
        <v>1137</v>
      </c>
      <c r="F2764" t="s">
        <v>4166</v>
      </c>
      <c r="G2764" t="s">
        <v>61</v>
      </c>
      <c r="H2764" t="s">
        <v>2483</v>
      </c>
      <c r="I2764" t="s">
        <v>487</v>
      </c>
      <c r="J2764">
        <v>1518</v>
      </c>
    </row>
    <row r="2765" spans="1:10">
      <c r="A2765" s="90" t="s">
        <v>51</v>
      </c>
      <c r="B2765" s="87">
        <v>45777</v>
      </c>
      <c r="C2765" t="s">
        <v>2336</v>
      </c>
      <c r="D2765" t="s">
        <v>2688</v>
      </c>
      <c r="E2765" t="s">
        <v>1667</v>
      </c>
      <c r="F2765" t="s">
        <v>569</v>
      </c>
      <c r="G2765" t="s">
        <v>71</v>
      </c>
      <c r="H2765" t="s">
        <v>2483</v>
      </c>
      <c r="I2765" t="s">
        <v>475</v>
      </c>
      <c r="J2765">
        <v>2314</v>
      </c>
    </row>
    <row r="2766" spans="1:10">
      <c r="A2766" s="90" t="s">
        <v>51</v>
      </c>
      <c r="B2766" s="87">
        <v>45777</v>
      </c>
      <c r="C2766" t="s">
        <v>4167</v>
      </c>
      <c r="D2766" t="s">
        <v>2688</v>
      </c>
      <c r="E2766" t="s">
        <v>1756</v>
      </c>
      <c r="F2766" t="s">
        <v>468</v>
      </c>
      <c r="G2766" t="s">
        <v>59</v>
      </c>
      <c r="H2766" t="s">
        <v>470</v>
      </c>
      <c r="I2766" t="s">
        <v>796</v>
      </c>
      <c r="J2766">
        <v>48613.88</v>
      </c>
    </row>
    <row r="2767" spans="1:10">
      <c r="A2767" s="90" t="s">
        <v>51</v>
      </c>
      <c r="B2767" s="87">
        <v>45777</v>
      </c>
      <c r="C2767" t="s">
        <v>4167</v>
      </c>
      <c r="D2767" t="s">
        <v>2688</v>
      </c>
      <c r="E2767" t="s">
        <v>1756</v>
      </c>
      <c r="F2767" t="s">
        <v>468</v>
      </c>
      <c r="G2767" t="s">
        <v>67</v>
      </c>
      <c r="H2767" t="s">
        <v>470</v>
      </c>
      <c r="I2767" t="s">
        <v>796</v>
      </c>
      <c r="J2767">
        <v>125584.65</v>
      </c>
    </row>
    <row r="2768" spans="1:10">
      <c r="A2768" s="90" t="s">
        <v>51</v>
      </c>
      <c r="B2768" s="87">
        <v>45777</v>
      </c>
      <c r="C2768" t="s">
        <v>4168</v>
      </c>
      <c r="D2768" t="s">
        <v>2688</v>
      </c>
      <c r="E2768" t="s">
        <v>2300</v>
      </c>
      <c r="F2768" t="s">
        <v>569</v>
      </c>
      <c r="G2768" t="s">
        <v>70</v>
      </c>
      <c r="H2768" t="s">
        <v>470</v>
      </c>
      <c r="I2768" t="s">
        <v>796</v>
      </c>
      <c r="J2768">
        <v>210</v>
      </c>
    </row>
    <row r="2769" spans="1:10">
      <c r="A2769" s="90" t="s">
        <v>51</v>
      </c>
      <c r="B2769" s="87">
        <v>45777</v>
      </c>
      <c r="C2769" t="s">
        <v>4169</v>
      </c>
      <c r="D2769" t="s">
        <v>2688</v>
      </c>
      <c r="E2769" t="s">
        <v>4041</v>
      </c>
      <c r="F2769" t="s">
        <v>569</v>
      </c>
      <c r="G2769" t="s">
        <v>71</v>
      </c>
      <c r="H2769" t="s">
        <v>470</v>
      </c>
      <c r="I2769" t="s">
        <v>482</v>
      </c>
      <c r="J2769">
        <v>3000</v>
      </c>
    </row>
    <row r="2770" spans="1:10">
      <c r="A2770" s="90" t="s">
        <v>51</v>
      </c>
      <c r="B2770" s="87">
        <v>45777</v>
      </c>
      <c r="C2770" t="s">
        <v>2364</v>
      </c>
      <c r="D2770" t="s">
        <v>2688</v>
      </c>
      <c r="E2770" t="s">
        <v>1667</v>
      </c>
      <c r="F2770" t="s">
        <v>569</v>
      </c>
      <c r="G2770" t="s">
        <v>474</v>
      </c>
      <c r="H2770" t="s">
        <v>470</v>
      </c>
      <c r="I2770" t="s">
        <v>475</v>
      </c>
      <c r="J2770">
        <v>700000</v>
      </c>
    </row>
    <row r="2771" spans="1:10">
      <c r="A2771" s="90" t="s">
        <v>51</v>
      </c>
      <c r="B2771" s="87">
        <v>45777</v>
      </c>
      <c r="C2771" t="s">
        <v>4170</v>
      </c>
      <c r="D2771" t="s">
        <v>2688</v>
      </c>
      <c r="E2771" t="s">
        <v>4130</v>
      </c>
      <c r="F2771" t="s">
        <v>1709</v>
      </c>
      <c r="G2771" t="s">
        <v>2112</v>
      </c>
      <c r="H2771" t="s">
        <v>470</v>
      </c>
      <c r="I2771" t="s">
        <v>487</v>
      </c>
      <c r="J2771">
        <v>79491.34</v>
      </c>
    </row>
    <row r="2772" spans="1:10">
      <c r="A2772" s="90" t="s">
        <v>51</v>
      </c>
      <c r="B2772" s="87">
        <v>45777</v>
      </c>
      <c r="C2772" t="s">
        <v>4171</v>
      </c>
      <c r="D2772" t="s">
        <v>2688</v>
      </c>
      <c r="E2772" t="s">
        <v>4130</v>
      </c>
      <c r="F2772" t="s">
        <v>1711</v>
      </c>
      <c r="G2772" t="s">
        <v>2112</v>
      </c>
      <c r="H2772" t="s">
        <v>470</v>
      </c>
      <c r="I2772" t="s">
        <v>487</v>
      </c>
      <c r="J2772">
        <v>80646.05</v>
      </c>
    </row>
    <row r="2773" spans="1:10">
      <c r="A2773" s="90" t="s">
        <v>51</v>
      </c>
      <c r="B2773" s="87">
        <v>45777</v>
      </c>
      <c r="C2773" t="s">
        <v>1683</v>
      </c>
      <c r="D2773" t="s">
        <v>2688</v>
      </c>
      <c r="E2773" t="s">
        <v>512</v>
      </c>
      <c r="F2773" t="s">
        <v>569</v>
      </c>
      <c r="G2773" t="s">
        <v>474</v>
      </c>
      <c r="H2773" t="s">
        <v>470</v>
      </c>
      <c r="I2773" t="s">
        <v>475</v>
      </c>
      <c r="J2773">
        <v>1260357.92</v>
      </c>
    </row>
    <row r="2774" spans="1:10">
      <c r="A2774" s="90" t="s">
        <v>51</v>
      </c>
      <c r="B2774" s="87">
        <v>45777</v>
      </c>
      <c r="C2774" t="s">
        <v>1688</v>
      </c>
      <c r="D2774" t="s">
        <v>2688</v>
      </c>
      <c r="E2774" t="s">
        <v>512</v>
      </c>
      <c r="F2774" t="s">
        <v>569</v>
      </c>
      <c r="G2774" t="s">
        <v>474</v>
      </c>
      <c r="H2774" t="s">
        <v>470</v>
      </c>
      <c r="I2774" t="s">
        <v>475</v>
      </c>
      <c r="J2774">
        <v>1500000</v>
      </c>
    </row>
    <row r="2775" spans="1:10">
      <c r="A2775" s="90" t="s">
        <v>51</v>
      </c>
      <c r="B2775" s="87">
        <v>45777</v>
      </c>
      <c r="C2775" t="s">
        <v>2479</v>
      </c>
      <c r="D2775" t="s">
        <v>2688</v>
      </c>
      <c r="E2775" t="s">
        <v>477</v>
      </c>
      <c r="F2775" t="s">
        <v>569</v>
      </c>
      <c r="G2775" t="s">
        <v>74</v>
      </c>
      <c r="H2775" t="s">
        <v>470</v>
      </c>
      <c r="I2775" t="s">
        <v>471</v>
      </c>
      <c r="J2775">
        <v>20</v>
      </c>
    </row>
    <row r="2776" spans="1:10">
      <c r="A2776" s="90" t="s">
        <v>51</v>
      </c>
      <c r="B2776" s="87">
        <v>45777</v>
      </c>
      <c r="C2776" t="s">
        <v>517</v>
      </c>
      <c r="D2776" t="s">
        <v>2688</v>
      </c>
      <c r="E2776" t="s">
        <v>512</v>
      </c>
      <c r="F2776" t="s">
        <v>569</v>
      </c>
      <c r="G2776" t="s">
        <v>474</v>
      </c>
      <c r="H2776" t="s">
        <v>470</v>
      </c>
      <c r="I2776" t="s">
        <v>475</v>
      </c>
      <c r="J2776">
        <v>1024260.51</v>
      </c>
    </row>
    <row r="2777" spans="1:10">
      <c r="A2777" s="90" t="s">
        <v>51</v>
      </c>
      <c r="B2777" s="87">
        <v>45777</v>
      </c>
      <c r="C2777" t="s">
        <v>2347</v>
      </c>
      <c r="D2777" t="s">
        <v>2688</v>
      </c>
      <c r="E2777" t="s">
        <v>477</v>
      </c>
      <c r="F2777" t="s">
        <v>569</v>
      </c>
      <c r="G2777" t="s">
        <v>68</v>
      </c>
      <c r="H2777" t="s">
        <v>470</v>
      </c>
      <c r="I2777" t="s">
        <v>471</v>
      </c>
      <c r="J2777">
        <v>24.28</v>
      </c>
    </row>
    <row r="2778" spans="1:10">
      <c r="A2778" s="90" t="s">
        <v>51</v>
      </c>
      <c r="B2778" s="87">
        <v>45777</v>
      </c>
      <c r="C2778" t="s">
        <v>2348</v>
      </c>
      <c r="D2778" t="s">
        <v>2688</v>
      </c>
      <c r="E2778" t="s">
        <v>477</v>
      </c>
      <c r="F2778" t="s">
        <v>569</v>
      </c>
      <c r="G2778" t="s">
        <v>66</v>
      </c>
      <c r="H2778" t="s">
        <v>470</v>
      </c>
      <c r="I2778" t="s">
        <v>471</v>
      </c>
      <c r="J2778">
        <v>355.93</v>
      </c>
    </row>
    <row r="2779" spans="1:10">
      <c r="A2779" s="90" t="s">
        <v>51</v>
      </c>
      <c r="B2779" s="87">
        <v>45777</v>
      </c>
      <c r="C2779" t="s">
        <v>2347</v>
      </c>
      <c r="D2779" t="s">
        <v>2688</v>
      </c>
      <c r="E2779" t="s">
        <v>477</v>
      </c>
      <c r="F2779" t="s">
        <v>569</v>
      </c>
      <c r="G2779" t="s">
        <v>68</v>
      </c>
      <c r="H2779" t="s">
        <v>470</v>
      </c>
      <c r="I2779" t="s">
        <v>471</v>
      </c>
      <c r="J2779">
        <v>1308.28</v>
      </c>
    </row>
    <row r="2780" spans="1:10">
      <c r="A2780" s="90" t="s">
        <v>51</v>
      </c>
      <c r="B2780" s="87">
        <v>45777</v>
      </c>
      <c r="C2780" t="s">
        <v>526</v>
      </c>
      <c r="D2780" t="s">
        <v>2688</v>
      </c>
      <c r="E2780" t="s">
        <v>512</v>
      </c>
      <c r="F2780" t="s">
        <v>1691</v>
      </c>
      <c r="G2780" t="s">
        <v>474</v>
      </c>
      <c r="H2780" t="s">
        <v>470</v>
      </c>
      <c r="I2780" t="s">
        <v>475</v>
      </c>
      <c r="J2780">
        <v>0.01</v>
      </c>
    </row>
    <row r="2781" spans="1:10">
      <c r="A2781" s="90" t="s">
        <v>51</v>
      </c>
      <c r="B2781" s="87">
        <v>45777</v>
      </c>
      <c r="C2781" t="s">
        <v>4172</v>
      </c>
      <c r="D2781" t="s">
        <v>2688</v>
      </c>
      <c r="E2781" t="s">
        <v>1693</v>
      </c>
      <c r="F2781" t="s">
        <v>569</v>
      </c>
      <c r="G2781" t="s">
        <v>526</v>
      </c>
      <c r="H2781" t="s">
        <v>470</v>
      </c>
      <c r="I2781" t="s">
        <v>475</v>
      </c>
      <c r="J2781">
        <v>3270.6</v>
      </c>
    </row>
    <row r="2782" spans="1:10">
      <c r="A2782" s="90" t="s">
        <v>51</v>
      </c>
      <c r="B2782" s="87">
        <v>45779</v>
      </c>
      <c r="C2782" t="s">
        <v>4173</v>
      </c>
      <c r="D2782" t="s">
        <v>2688</v>
      </c>
      <c r="E2782" t="s">
        <v>1743</v>
      </c>
      <c r="F2782" t="s">
        <v>1593</v>
      </c>
      <c r="G2782" t="s">
        <v>2125</v>
      </c>
      <c r="H2782" t="s">
        <v>470</v>
      </c>
      <c r="I2782" t="s">
        <v>475</v>
      </c>
      <c r="J2782">
        <v>12758.2</v>
      </c>
    </row>
    <row r="2783" spans="1:10">
      <c r="A2783" s="90" t="s">
        <v>51</v>
      </c>
      <c r="B2783" s="87">
        <v>45779</v>
      </c>
      <c r="C2783" t="s">
        <v>4174</v>
      </c>
      <c r="D2783" t="s">
        <v>2688</v>
      </c>
      <c r="E2783" t="s">
        <v>1743</v>
      </c>
      <c r="F2783" t="s">
        <v>1621</v>
      </c>
      <c r="G2783" t="s">
        <v>2125</v>
      </c>
      <c r="H2783" t="s">
        <v>470</v>
      </c>
      <c r="I2783" t="s">
        <v>475</v>
      </c>
      <c r="J2783">
        <v>9297.6</v>
      </c>
    </row>
    <row r="2784" spans="1:10">
      <c r="A2784" s="90" t="s">
        <v>51</v>
      </c>
      <c r="B2784" s="87">
        <v>45779</v>
      </c>
      <c r="C2784" t="s">
        <v>4175</v>
      </c>
      <c r="D2784" t="s">
        <v>2688</v>
      </c>
      <c r="E2784" t="s">
        <v>1743</v>
      </c>
      <c r="F2784" t="s">
        <v>1629</v>
      </c>
      <c r="G2784" t="s">
        <v>2125</v>
      </c>
      <c r="H2784" t="s">
        <v>470</v>
      </c>
      <c r="I2784" t="s">
        <v>475</v>
      </c>
      <c r="J2784">
        <v>11200.8</v>
      </c>
    </row>
    <row r="2785" spans="1:10">
      <c r="A2785" s="90" t="s">
        <v>51</v>
      </c>
      <c r="B2785" s="87">
        <v>45779</v>
      </c>
      <c r="C2785" t="s">
        <v>4176</v>
      </c>
      <c r="D2785" t="s">
        <v>2688</v>
      </c>
      <c r="E2785" t="s">
        <v>1743</v>
      </c>
      <c r="F2785" t="s">
        <v>1633</v>
      </c>
      <c r="G2785" t="s">
        <v>2125</v>
      </c>
      <c r="H2785" t="s">
        <v>470</v>
      </c>
      <c r="I2785" t="s">
        <v>475</v>
      </c>
      <c r="J2785">
        <v>12555.4</v>
      </c>
    </row>
    <row r="2786" spans="1:10">
      <c r="A2786" s="90" t="s">
        <v>51</v>
      </c>
      <c r="B2786" s="87">
        <v>45779</v>
      </c>
      <c r="C2786" t="s">
        <v>4177</v>
      </c>
      <c r="D2786" t="s">
        <v>2688</v>
      </c>
      <c r="E2786" t="s">
        <v>1743</v>
      </c>
      <c r="F2786" t="s">
        <v>1635</v>
      </c>
      <c r="G2786" t="s">
        <v>2125</v>
      </c>
      <c r="H2786" t="s">
        <v>470</v>
      </c>
      <c r="I2786" t="s">
        <v>475</v>
      </c>
      <c r="J2786">
        <v>10275.200000000001</v>
      </c>
    </row>
    <row r="2787" spans="1:10">
      <c r="A2787" s="90" t="s">
        <v>51</v>
      </c>
      <c r="B2787" s="87">
        <v>45779</v>
      </c>
      <c r="C2787" t="s">
        <v>4178</v>
      </c>
      <c r="D2787" t="s">
        <v>2688</v>
      </c>
      <c r="E2787" t="s">
        <v>1743</v>
      </c>
      <c r="F2787" t="s">
        <v>1643</v>
      </c>
      <c r="G2787" t="s">
        <v>2125</v>
      </c>
      <c r="H2787" t="s">
        <v>470</v>
      </c>
      <c r="I2787" t="s">
        <v>475</v>
      </c>
      <c r="J2787">
        <v>-49572.22</v>
      </c>
    </row>
    <row r="2788" spans="1:10">
      <c r="A2788" s="90" t="s">
        <v>51</v>
      </c>
      <c r="B2788" s="87">
        <v>45779</v>
      </c>
      <c r="C2788" t="s">
        <v>4179</v>
      </c>
      <c r="D2788" t="s">
        <v>2688</v>
      </c>
      <c r="E2788" t="s">
        <v>1743</v>
      </c>
      <c r="F2788" t="s">
        <v>1645</v>
      </c>
      <c r="G2788" t="s">
        <v>2125</v>
      </c>
      <c r="H2788" t="s">
        <v>470</v>
      </c>
      <c r="I2788" t="s">
        <v>475</v>
      </c>
      <c r="J2788">
        <v>12342.2</v>
      </c>
    </row>
    <row r="2789" spans="1:10">
      <c r="A2789" s="90" t="s">
        <v>51</v>
      </c>
      <c r="B2789" s="87">
        <v>45779</v>
      </c>
      <c r="C2789" t="s">
        <v>4180</v>
      </c>
      <c r="D2789" t="s">
        <v>2688</v>
      </c>
      <c r="E2789" t="s">
        <v>477</v>
      </c>
      <c r="F2789" t="s">
        <v>1449</v>
      </c>
      <c r="G2789" t="s">
        <v>515</v>
      </c>
      <c r="H2789" t="s">
        <v>470</v>
      </c>
      <c r="I2789" t="s">
        <v>471</v>
      </c>
      <c r="J2789">
        <v>1493869.5</v>
      </c>
    </row>
    <row r="2790" spans="1:10">
      <c r="A2790" s="90" t="s">
        <v>51</v>
      </c>
      <c r="B2790" s="87">
        <v>45779</v>
      </c>
      <c r="C2790" t="s">
        <v>4181</v>
      </c>
      <c r="D2790" t="s">
        <v>2688</v>
      </c>
      <c r="E2790" t="s">
        <v>4130</v>
      </c>
      <c r="F2790" t="s">
        <v>1714</v>
      </c>
      <c r="G2790" t="s">
        <v>2112</v>
      </c>
      <c r="H2790" t="s">
        <v>470</v>
      </c>
      <c r="I2790" t="s">
        <v>487</v>
      </c>
      <c r="J2790">
        <v>82353.03</v>
      </c>
    </row>
    <row r="2791" spans="1:10">
      <c r="A2791" s="90" t="s">
        <v>51</v>
      </c>
      <c r="B2791" s="87">
        <v>45779</v>
      </c>
      <c r="C2791" t="s">
        <v>4182</v>
      </c>
      <c r="D2791" t="s">
        <v>2688</v>
      </c>
      <c r="E2791" t="s">
        <v>4130</v>
      </c>
      <c r="F2791" t="s">
        <v>1716</v>
      </c>
      <c r="G2791" t="s">
        <v>2112</v>
      </c>
      <c r="H2791" t="s">
        <v>470</v>
      </c>
      <c r="I2791" t="s">
        <v>487</v>
      </c>
      <c r="J2791">
        <v>52347.13</v>
      </c>
    </row>
    <row r="2792" spans="1:10">
      <c r="A2792" s="90" t="s">
        <v>51</v>
      </c>
      <c r="B2792" s="87">
        <v>45779</v>
      </c>
      <c r="C2792" t="s">
        <v>4183</v>
      </c>
      <c r="D2792" t="s">
        <v>2688</v>
      </c>
      <c r="E2792" t="s">
        <v>2262</v>
      </c>
      <c r="F2792" t="s">
        <v>4184</v>
      </c>
      <c r="G2792" t="s">
        <v>73</v>
      </c>
      <c r="H2792" t="s">
        <v>2613</v>
      </c>
      <c r="I2792" t="s">
        <v>796</v>
      </c>
      <c r="J2792">
        <v>633.01</v>
      </c>
    </row>
    <row r="2793" spans="1:10">
      <c r="A2793" s="90" t="s">
        <v>51</v>
      </c>
      <c r="B2793" s="87">
        <v>45779</v>
      </c>
      <c r="C2793" t="s">
        <v>4185</v>
      </c>
      <c r="D2793" t="s">
        <v>2688</v>
      </c>
      <c r="E2793" t="s">
        <v>1693</v>
      </c>
      <c r="F2793" t="s">
        <v>209</v>
      </c>
      <c r="G2793" t="s">
        <v>2112</v>
      </c>
      <c r="H2793" t="s">
        <v>470</v>
      </c>
      <c r="I2793" t="s">
        <v>487</v>
      </c>
      <c r="J2793">
        <v>500000</v>
      </c>
    </row>
    <row r="2794" spans="1:10">
      <c r="A2794" s="90" t="s">
        <v>51</v>
      </c>
      <c r="B2794" s="87">
        <v>45779</v>
      </c>
      <c r="C2794" t="s">
        <v>511</v>
      </c>
      <c r="D2794" t="s">
        <v>2688</v>
      </c>
      <c r="E2794" t="s">
        <v>512</v>
      </c>
      <c r="F2794" t="s">
        <v>706</v>
      </c>
      <c r="G2794" t="s">
        <v>474</v>
      </c>
      <c r="H2794" t="s">
        <v>470</v>
      </c>
      <c r="I2794" t="s">
        <v>475</v>
      </c>
      <c r="J2794">
        <v>2146397.69</v>
      </c>
    </row>
    <row r="2795" spans="1:10">
      <c r="A2795" s="90" t="s">
        <v>51</v>
      </c>
      <c r="B2795" s="87">
        <v>45779</v>
      </c>
      <c r="C2795" t="s">
        <v>511</v>
      </c>
      <c r="D2795" t="s">
        <v>2688</v>
      </c>
      <c r="E2795" t="s">
        <v>512</v>
      </c>
      <c r="F2795" t="s">
        <v>706</v>
      </c>
      <c r="G2795" t="s">
        <v>474</v>
      </c>
      <c r="H2795" t="s">
        <v>470</v>
      </c>
      <c r="I2795" t="s">
        <v>475</v>
      </c>
      <c r="J2795">
        <v>57297.58</v>
      </c>
    </row>
    <row r="2796" spans="1:10">
      <c r="A2796" s="90" t="s">
        <v>51</v>
      </c>
      <c r="B2796" s="87">
        <v>45782</v>
      </c>
      <c r="C2796" t="s">
        <v>4186</v>
      </c>
      <c r="D2796" t="s">
        <v>2688</v>
      </c>
      <c r="E2796" t="s">
        <v>1743</v>
      </c>
      <c r="F2796" t="s">
        <v>1613</v>
      </c>
      <c r="G2796" t="s">
        <v>2125</v>
      </c>
      <c r="H2796" t="s">
        <v>470</v>
      </c>
      <c r="I2796" t="s">
        <v>475</v>
      </c>
      <c r="J2796">
        <v>13226.2</v>
      </c>
    </row>
    <row r="2797" spans="1:10">
      <c r="A2797" s="90" t="s">
        <v>51</v>
      </c>
      <c r="B2797" s="87">
        <v>45782</v>
      </c>
      <c r="C2797" t="s">
        <v>4187</v>
      </c>
      <c r="D2797" t="s">
        <v>2688</v>
      </c>
      <c r="E2797" t="s">
        <v>1743</v>
      </c>
      <c r="F2797" t="s">
        <v>1649</v>
      </c>
      <c r="G2797" t="s">
        <v>2125</v>
      </c>
      <c r="H2797" t="s">
        <v>470</v>
      </c>
      <c r="I2797" t="s">
        <v>475</v>
      </c>
      <c r="J2797">
        <v>12261.6</v>
      </c>
    </row>
    <row r="2798" spans="1:10">
      <c r="A2798" s="90" t="s">
        <v>51</v>
      </c>
      <c r="B2798" s="87">
        <v>45782</v>
      </c>
      <c r="C2798" t="s">
        <v>4188</v>
      </c>
      <c r="D2798" t="s">
        <v>2688</v>
      </c>
      <c r="E2798" t="s">
        <v>1743</v>
      </c>
      <c r="F2798" t="s">
        <v>4128</v>
      </c>
      <c r="G2798" t="s">
        <v>2125</v>
      </c>
      <c r="H2798" t="s">
        <v>470</v>
      </c>
      <c r="I2798" t="s">
        <v>475</v>
      </c>
      <c r="J2798">
        <v>10322</v>
      </c>
    </row>
    <row r="2799" spans="1:10">
      <c r="A2799" s="90" t="s">
        <v>51</v>
      </c>
      <c r="B2799" s="87">
        <v>45782</v>
      </c>
      <c r="C2799" t="s">
        <v>4189</v>
      </c>
      <c r="D2799" t="s">
        <v>2688</v>
      </c>
      <c r="E2799" t="s">
        <v>3949</v>
      </c>
      <c r="F2799" t="s">
        <v>468</v>
      </c>
      <c r="G2799" t="s">
        <v>65</v>
      </c>
      <c r="H2799" t="s">
        <v>2483</v>
      </c>
      <c r="I2799" t="s">
        <v>796</v>
      </c>
      <c r="J2799">
        <v>179.9</v>
      </c>
    </row>
    <row r="2800" spans="1:10">
      <c r="A2800" s="90" t="s">
        <v>51</v>
      </c>
      <c r="B2800" s="87">
        <v>45782</v>
      </c>
      <c r="C2800" t="s">
        <v>4190</v>
      </c>
      <c r="D2800" t="s">
        <v>2688</v>
      </c>
      <c r="E2800" t="s">
        <v>477</v>
      </c>
      <c r="F2800" t="s">
        <v>1449</v>
      </c>
      <c r="G2800" t="s">
        <v>66</v>
      </c>
      <c r="H2800" t="s">
        <v>470</v>
      </c>
      <c r="I2800" t="s">
        <v>471</v>
      </c>
      <c r="J2800">
        <v>6390.43</v>
      </c>
    </row>
    <row r="2801" spans="1:10">
      <c r="A2801" s="90" t="s">
        <v>51</v>
      </c>
      <c r="B2801" s="87">
        <v>45782</v>
      </c>
      <c r="C2801" t="s">
        <v>511</v>
      </c>
      <c r="D2801" t="s">
        <v>2688</v>
      </c>
      <c r="E2801" t="s">
        <v>512</v>
      </c>
      <c r="F2801" t="s">
        <v>706</v>
      </c>
      <c r="G2801" t="s">
        <v>474</v>
      </c>
      <c r="H2801" t="s">
        <v>470</v>
      </c>
      <c r="I2801" t="s">
        <v>475</v>
      </c>
      <c r="J2801">
        <v>39430.76</v>
      </c>
    </row>
    <row r="2802" spans="1:10">
      <c r="A2802" s="90" t="s">
        <v>51</v>
      </c>
      <c r="B2802" s="87">
        <v>45783</v>
      </c>
      <c r="C2802" t="s">
        <v>4191</v>
      </c>
      <c r="D2802" t="s">
        <v>2688</v>
      </c>
      <c r="E2802" t="s">
        <v>3958</v>
      </c>
      <c r="F2802" t="s">
        <v>1487</v>
      </c>
      <c r="G2802" t="s">
        <v>2494</v>
      </c>
      <c r="H2802" t="s">
        <v>470</v>
      </c>
      <c r="I2802" t="s">
        <v>796</v>
      </c>
      <c r="J2802">
        <v>93.54</v>
      </c>
    </row>
    <row r="2803" spans="1:10">
      <c r="A2803" s="90" t="s">
        <v>51</v>
      </c>
      <c r="B2803" s="87">
        <v>45783</v>
      </c>
      <c r="C2803" t="s">
        <v>4192</v>
      </c>
      <c r="D2803" t="s">
        <v>2688</v>
      </c>
      <c r="E2803" t="s">
        <v>3968</v>
      </c>
      <c r="F2803" t="s">
        <v>163</v>
      </c>
      <c r="G2803" t="s">
        <v>2494</v>
      </c>
      <c r="H2803" t="s">
        <v>470</v>
      </c>
      <c r="I2803" t="s">
        <v>796</v>
      </c>
      <c r="J2803">
        <v>3360.16</v>
      </c>
    </row>
    <row r="2804" spans="1:10">
      <c r="A2804" s="90" t="s">
        <v>51</v>
      </c>
      <c r="B2804" s="87">
        <v>45783</v>
      </c>
      <c r="C2804" t="s">
        <v>4193</v>
      </c>
      <c r="D2804" t="s">
        <v>2688</v>
      </c>
      <c r="E2804" t="s">
        <v>3764</v>
      </c>
      <c r="F2804" t="s">
        <v>1639</v>
      </c>
      <c r="G2804" t="s">
        <v>2494</v>
      </c>
      <c r="H2804" t="s">
        <v>470</v>
      </c>
      <c r="I2804" t="s">
        <v>796</v>
      </c>
      <c r="J2804">
        <v>641.69000000000005</v>
      </c>
    </row>
    <row r="2805" spans="1:10">
      <c r="A2805" s="90" t="s">
        <v>51</v>
      </c>
      <c r="B2805" s="87">
        <v>45783</v>
      </c>
      <c r="C2805" t="s">
        <v>4194</v>
      </c>
      <c r="D2805" t="s">
        <v>2688</v>
      </c>
      <c r="E2805" t="s">
        <v>3968</v>
      </c>
      <c r="F2805" t="s">
        <v>163</v>
      </c>
      <c r="G2805" t="s">
        <v>2494</v>
      </c>
      <c r="H2805" t="s">
        <v>470</v>
      </c>
      <c r="I2805" t="s">
        <v>796</v>
      </c>
      <c r="J2805">
        <v>58437.599999999999</v>
      </c>
    </row>
    <row r="2806" spans="1:10">
      <c r="A2806" s="90" t="s">
        <v>51</v>
      </c>
      <c r="B2806" s="87">
        <v>45783</v>
      </c>
      <c r="C2806" t="s">
        <v>4195</v>
      </c>
      <c r="D2806" t="s">
        <v>2688</v>
      </c>
      <c r="E2806" t="s">
        <v>3960</v>
      </c>
      <c r="F2806" t="s">
        <v>136</v>
      </c>
      <c r="G2806" t="s">
        <v>2494</v>
      </c>
      <c r="H2806" t="s">
        <v>470</v>
      </c>
      <c r="I2806" t="s">
        <v>796</v>
      </c>
      <c r="J2806">
        <v>3239.39</v>
      </c>
    </row>
    <row r="2807" spans="1:10">
      <c r="A2807" s="90" t="s">
        <v>51</v>
      </c>
      <c r="B2807" s="87">
        <v>45783</v>
      </c>
      <c r="C2807" t="s">
        <v>4196</v>
      </c>
      <c r="D2807" t="s">
        <v>2688</v>
      </c>
      <c r="E2807" t="s">
        <v>3960</v>
      </c>
      <c r="F2807" t="s">
        <v>136</v>
      </c>
      <c r="G2807" t="s">
        <v>2494</v>
      </c>
      <c r="H2807" t="s">
        <v>470</v>
      </c>
      <c r="I2807" t="s">
        <v>796</v>
      </c>
      <c r="J2807">
        <v>56337.21</v>
      </c>
    </row>
    <row r="2808" spans="1:10">
      <c r="A2808" s="90" t="s">
        <v>51</v>
      </c>
      <c r="B2808" s="87">
        <v>45783</v>
      </c>
      <c r="C2808" t="s">
        <v>4197</v>
      </c>
      <c r="D2808" t="s">
        <v>2688</v>
      </c>
      <c r="E2808" t="s">
        <v>1693</v>
      </c>
      <c r="F2808" t="s">
        <v>140</v>
      </c>
      <c r="G2808" t="s">
        <v>2494</v>
      </c>
      <c r="H2808" t="s">
        <v>470</v>
      </c>
      <c r="I2808" t="s">
        <v>796</v>
      </c>
      <c r="J2808">
        <v>651.65</v>
      </c>
    </row>
    <row r="2809" spans="1:10">
      <c r="A2809" s="90" t="s">
        <v>51</v>
      </c>
      <c r="B2809" s="87">
        <v>45783</v>
      </c>
      <c r="C2809" t="s">
        <v>4198</v>
      </c>
      <c r="D2809" t="s">
        <v>2688</v>
      </c>
      <c r="E2809" t="s">
        <v>1693</v>
      </c>
      <c r="F2809" t="s">
        <v>140</v>
      </c>
      <c r="G2809" t="s">
        <v>2494</v>
      </c>
      <c r="H2809" t="s">
        <v>470</v>
      </c>
      <c r="I2809" t="s">
        <v>796</v>
      </c>
      <c r="J2809">
        <v>11333</v>
      </c>
    </row>
    <row r="2810" spans="1:10">
      <c r="A2810" s="90" t="s">
        <v>51</v>
      </c>
      <c r="B2810" s="87">
        <v>45783</v>
      </c>
      <c r="C2810" t="s">
        <v>4199</v>
      </c>
      <c r="D2810" t="s">
        <v>2688</v>
      </c>
      <c r="E2810" t="s">
        <v>3764</v>
      </c>
      <c r="F2810" t="s">
        <v>1639</v>
      </c>
      <c r="G2810" t="s">
        <v>2494</v>
      </c>
      <c r="H2810" t="s">
        <v>470</v>
      </c>
      <c r="I2810" t="s">
        <v>796</v>
      </c>
      <c r="J2810">
        <v>36.9</v>
      </c>
    </row>
    <row r="2811" spans="1:10">
      <c r="A2811" s="90" t="s">
        <v>51</v>
      </c>
      <c r="B2811" s="87">
        <v>45783</v>
      </c>
      <c r="C2811" t="s">
        <v>4200</v>
      </c>
      <c r="D2811" t="s">
        <v>2688</v>
      </c>
      <c r="E2811" t="s">
        <v>3958</v>
      </c>
      <c r="F2811" t="s">
        <v>1487</v>
      </c>
      <c r="G2811" t="s">
        <v>2494</v>
      </c>
      <c r="H2811" t="s">
        <v>470</v>
      </c>
      <c r="I2811" t="s">
        <v>796</v>
      </c>
      <c r="J2811">
        <v>1626.76</v>
      </c>
    </row>
    <row r="2812" spans="1:10">
      <c r="A2812" s="90" t="s">
        <v>51</v>
      </c>
      <c r="B2812" s="87">
        <v>45783</v>
      </c>
      <c r="C2812" t="s">
        <v>4201</v>
      </c>
      <c r="D2812" t="s">
        <v>2688</v>
      </c>
      <c r="E2812" t="s">
        <v>4081</v>
      </c>
      <c r="F2812" t="s">
        <v>154</v>
      </c>
      <c r="G2812" t="s">
        <v>2494</v>
      </c>
      <c r="H2812" t="s">
        <v>470</v>
      </c>
      <c r="I2812" t="s">
        <v>796</v>
      </c>
      <c r="J2812">
        <v>1599.8</v>
      </c>
    </row>
    <row r="2813" spans="1:10">
      <c r="A2813" s="90" t="s">
        <v>51</v>
      </c>
      <c r="B2813" s="87">
        <v>45783</v>
      </c>
      <c r="C2813" t="s">
        <v>4202</v>
      </c>
      <c r="D2813" t="s">
        <v>2688</v>
      </c>
      <c r="E2813" t="s">
        <v>4081</v>
      </c>
      <c r="F2813" t="s">
        <v>154</v>
      </c>
      <c r="G2813" t="s">
        <v>2494</v>
      </c>
      <c r="H2813" t="s">
        <v>470</v>
      </c>
      <c r="I2813" t="s">
        <v>796</v>
      </c>
      <c r="J2813">
        <v>27822.68</v>
      </c>
    </row>
    <row r="2814" spans="1:10">
      <c r="A2814" s="90" t="s">
        <v>51</v>
      </c>
      <c r="B2814" s="87">
        <v>45783</v>
      </c>
      <c r="C2814" t="s">
        <v>4203</v>
      </c>
      <c r="D2814" t="s">
        <v>2688</v>
      </c>
      <c r="E2814" t="s">
        <v>4130</v>
      </c>
      <c r="F2814" t="s">
        <v>164</v>
      </c>
      <c r="G2814" t="s">
        <v>2494</v>
      </c>
      <c r="H2814" t="s">
        <v>470</v>
      </c>
      <c r="I2814" t="s">
        <v>796</v>
      </c>
      <c r="J2814">
        <v>32539.52</v>
      </c>
    </row>
    <row r="2815" spans="1:10">
      <c r="A2815" s="90" t="s">
        <v>51</v>
      </c>
      <c r="B2815" s="87">
        <v>45783</v>
      </c>
      <c r="C2815" t="s">
        <v>4203</v>
      </c>
      <c r="D2815" t="s">
        <v>2688</v>
      </c>
      <c r="E2815" t="s">
        <v>4130</v>
      </c>
      <c r="F2815" t="s">
        <v>164</v>
      </c>
      <c r="G2815" t="s">
        <v>2494</v>
      </c>
      <c r="H2815" t="s">
        <v>470</v>
      </c>
      <c r="I2815" t="s">
        <v>796</v>
      </c>
      <c r="J2815">
        <v>1871.02</v>
      </c>
    </row>
    <row r="2816" spans="1:10">
      <c r="A2816" s="90" t="s">
        <v>51</v>
      </c>
      <c r="B2816" s="87">
        <v>45783</v>
      </c>
      <c r="C2816" t="s">
        <v>4204</v>
      </c>
      <c r="D2816" t="s">
        <v>2688</v>
      </c>
      <c r="E2816" t="s">
        <v>3999</v>
      </c>
      <c r="F2816" t="s">
        <v>4205</v>
      </c>
      <c r="G2816" t="s">
        <v>2213</v>
      </c>
      <c r="H2816" t="s">
        <v>470</v>
      </c>
      <c r="I2816" t="s">
        <v>487</v>
      </c>
      <c r="J2816">
        <v>5779.35</v>
      </c>
    </row>
    <row r="2817" spans="1:10">
      <c r="A2817" s="90" t="s">
        <v>51</v>
      </c>
      <c r="B2817" s="87">
        <v>45783</v>
      </c>
      <c r="C2817" t="s">
        <v>4206</v>
      </c>
      <c r="D2817" t="s">
        <v>2688</v>
      </c>
      <c r="E2817" t="s">
        <v>4130</v>
      </c>
      <c r="F2817" t="s">
        <v>1718</v>
      </c>
      <c r="G2817" t="s">
        <v>2112</v>
      </c>
      <c r="H2817" t="s">
        <v>470</v>
      </c>
      <c r="I2817" t="s">
        <v>487</v>
      </c>
      <c r="J2817">
        <v>63576.34</v>
      </c>
    </row>
    <row r="2818" spans="1:10">
      <c r="A2818" s="90" t="s">
        <v>51</v>
      </c>
      <c r="B2818" s="87">
        <v>45783</v>
      </c>
      <c r="C2818" t="s">
        <v>2275</v>
      </c>
      <c r="D2818" t="s">
        <v>2688</v>
      </c>
      <c r="E2818" t="s">
        <v>477</v>
      </c>
      <c r="F2818" t="s">
        <v>706</v>
      </c>
      <c r="G2818" t="s">
        <v>74</v>
      </c>
      <c r="H2818" t="s">
        <v>470</v>
      </c>
      <c r="I2818" t="s">
        <v>471</v>
      </c>
      <c r="J2818">
        <v>174.9</v>
      </c>
    </row>
    <row r="2819" spans="1:10">
      <c r="A2819" s="90" t="s">
        <v>51</v>
      </c>
      <c r="B2819" s="87">
        <v>45783</v>
      </c>
      <c r="C2819" t="s">
        <v>511</v>
      </c>
      <c r="D2819" t="s">
        <v>2688</v>
      </c>
      <c r="E2819" t="s">
        <v>512</v>
      </c>
      <c r="F2819" t="s">
        <v>706</v>
      </c>
      <c r="G2819" t="s">
        <v>474</v>
      </c>
      <c r="H2819" t="s">
        <v>470</v>
      </c>
      <c r="I2819" t="s">
        <v>475</v>
      </c>
      <c r="J2819">
        <v>256330.1</v>
      </c>
    </row>
    <row r="2820" spans="1:10">
      <c r="A2820" s="90" t="s">
        <v>51</v>
      </c>
      <c r="B2820" s="87">
        <v>45784</v>
      </c>
      <c r="C2820" t="s">
        <v>4207</v>
      </c>
      <c r="D2820" t="s">
        <v>2688</v>
      </c>
      <c r="E2820" t="s">
        <v>1743</v>
      </c>
      <c r="F2820" t="s">
        <v>1623</v>
      </c>
      <c r="G2820" t="s">
        <v>2125</v>
      </c>
      <c r="H2820" t="s">
        <v>470</v>
      </c>
      <c r="I2820" t="s">
        <v>475</v>
      </c>
      <c r="J2820">
        <v>12259</v>
      </c>
    </row>
    <row r="2821" spans="1:10">
      <c r="A2821" s="90" t="s">
        <v>51</v>
      </c>
      <c r="B2821" s="87">
        <v>45784</v>
      </c>
      <c r="C2821" t="s">
        <v>4208</v>
      </c>
      <c r="D2821" t="s">
        <v>2688</v>
      </c>
      <c r="E2821" t="s">
        <v>1743</v>
      </c>
      <c r="F2821" t="s">
        <v>1625</v>
      </c>
      <c r="G2821" t="s">
        <v>2125</v>
      </c>
      <c r="H2821" t="s">
        <v>470</v>
      </c>
      <c r="I2821" t="s">
        <v>475</v>
      </c>
      <c r="J2821">
        <v>10335</v>
      </c>
    </row>
    <row r="2822" spans="1:10">
      <c r="A2822" s="90" t="s">
        <v>51</v>
      </c>
      <c r="B2822" s="87">
        <v>45784</v>
      </c>
      <c r="C2822" t="s">
        <v>4209</v>
      </c>
      <c r="D2822" t="s">
        <v>2688</v>
      </c>
      <c r="E2822" t="s">
        <v>1743</v>
      </c>
      <c r="F2822" t="s">
        <v>1627</v>
      </c>
      <c r="G2822" t="s">
        <v>2125</v>
      </c>
      <c r="H2822" t="s">
        <v>470</v>
      </c>
      <c r="I2822" t="s">
        <v>475</v>
      </c>
      <c r="J2822">
        <v>12347.4</v>
      </c>
    </row>
    <row r="2823" spans="1:10">
      <c r="A2823" s="90" t="s">
        <v>51</v>
      </c>
      <c r="B2823" s="87">
        <v>45784</v>
      </c>
      <c r="C2823" t="s">
        <v>4210</v>
      </c>
      <c r="D2823" t="s">
        <v>2688</v>
      </c>
      <c r="E2823" t="s">
        <v>4130</v>
      </c>
      <c r="F2823" t="s">
        <v>1720</v>
      </c>
      <c r="G2823" t="s">
        <v>2112</v>
      </c>
      <c r="H2823" t="s">
        <v>470</v>
      </c>
      <c r="I2823" t="s">
        <v>487</v>
      </c>
      <c r="J2823">
        <v>82369.759999999995</v>
      </c>
    </row>
    <row r="2824" spans="1:10">
      <c r="A2824" s="90" t="s">
        <v>51</v>
      </c>
      <c r="B2824" s="87">
        <v>45784</v>
      </c>
      <c r="C2824" t="s">
        <v>517</v>
      </c>
      <c r="D2824" t="s">
        <v>2688</v>
      </c>
      <c r="E2824" t="s">
        <v>512</v>
      </c>
      <c r="F2824" t="s">
        <v>706</v>
      </c>
      <c r="G2824" t="s">
        <v>474</v>
      </c>
      <c r="H2824" t="s">
        <v>470</v>
      </c>
      <c r="I2824" t="s">
        <v>475</v>
      </c>
      <c r="J2824">
        <v>1000000</v>
      </c>
    </row>
    <row r="2825" spans="1:10">
      <c r="A2825" s="90" t="s">
        <v>51</v>
      </c>
      <c r="B2825" s="87">
        <v>45784</v>
      </c>
      <c r="C2825" t="s">
        <v>517</v>
      </c>
      <c r="D2825" t="s">
        <v>2688</v>
      </c>
      <c r="E2825" t="s">
        <v>512</v>
      </c>
      <c r="F2825" t="s">
        <v>706</v>
      </c>
      <c r="G2825" t="s">
        <v>474</v>
      </c>
      <c r="H2825" t="s">
        <v>470</v>
      </c>
      <c r="I2825" t="s">
        <v>475</v>
      </c>
      <c r="J2825">
        <v>1000000</v>
      </c>
    </row>
    <row r="2826" spans="1:10">
      <c r="A2826" s="90" t="s">
        <v>51</v>
      </c>
      <c r="B2826" s="87">
        <v>45784</v>
      </c>
      <c r="C2826" t="s">
        <v>517</v>
      </c>
      <c r="D2826" t="s">
        <v>2688</v>
      </c>
      <c r="E2826" t="s">
        <v>512</v>
      </c>
      <c r="F2826" t="s">
        <v>706</v>
      </c>
      <c r="G2826" t="s">
        <v>474</v>
      </c>
      <c r="H2826" t="s">
        <v>470</v>
      </c>
      <c r="I2826" t="s">
        <v>475</v>
      </c>
      <c r="J2826">
        <v>35869.22</v>
      </c>
    </row>
    <row r="2827" spans="1:10">
      <c r="A2827" s="90" t="s">
        <v>51</v>
      </c>
      <c r="B2827" s="87">
        <v>45785</v>
      </c>
      <c r="C2827" t="s">
        <v>4211</v>
      </c>
      <c r="D2827" t="s">
        <v>2688</v>
      </c>
      <c r="E2827" t="s">
        <v>3030</v>
      </c>
      <c r="F2827" t="s">
        <v>706</v>
      </c>
      <c r="G2827" t="s">
        <v>76</v>
      </c>
      <c r="H2827" t="s">
        <v>470</v>
      </c>
      <c r="I2827" t="s">
        <v>475</v>
      </c>
      <c r="J2827">
        <v>69.55</v>
      </c>
    </row>
    <row r="2828" spans="1:10">
      <c r="A2828" s="90" t="s">
        <v>51</v>
      </c>
      <c r="B2828" s="87">
        <v>45785</v>
      </c>
      <c r="C2828" t="s">
        <v>4212</v>
      </c>
      <c r="D2828" t="s">
        <v>2688</v>
      </c>
      <c r="E2828" t="s">
        <v>4130</v>
      </c>
      <c r="F2828" t="s">
        <v>1722</v>
      </c>
      <c r="G2828" t="s">
        <v>2112</v>
      </c>
      <c r="H2828" t="s">
        <v>470</v>
      </c>
      <c r="I2828" t="s">
        <v>487</v>
      </c>
      <c r="J2828">
        <v>65634.740000000005</v>
      </c>
    </row>
    <row r="2829" spans="1:10">
      <c r="A2829" s="90" t="s">
        <v>51</v>
      </c>
      <c r="B2829" s="87">
        <v>45785</v>
      </c>
      <c r="C2829" t="s">
        <v>4213</v>
      </c>
      <c r="D2829" t="s">
        <v>2688</v>
      </c>
      <c r="E2829" t="s">
        <v>4130</v>
      </c>
      <c r="F2829" t="s">
        <v>1724</v>
      </c>
      <c r="G2829" t="s">
        <v>2112</v>
      </c>
      <c r="H2829" t="s">
        <v>470</v>
      </c>
      <c r="I2829" t="s">
        <v>487</v>
      </c>
      <c r="J2829">
        <v>63793.89</v>
      </c>
    </row>
    <row r="2830" spans="1:10">
      <c r="A2830" s="90" t="s">
        <v>51</v>
      </c>
      <c r="B2830" s="87">
        <v>45785</v>
      </c>
      <c r="C2830" t="s">
        <v>4214</v>
      </c>
      <c r="D2830" t="s">
        <v>2688</v>
      </c>
      <c r="E2830" t="s">
        <v>3030</v>
      </c>
      <c r="F2830" t="s">
        <v>706</v>
      </c>
      <c r="G2830" t="s">
        <v>76</v>
      </c>
      <c r="H2830" t="s">
        <v>470</v>
      </c>
      <c r="I2830" t="s">
        <v>487</v>
      </c>
      <c r="J2830">
        <v>47.04</v>
      </c>
    </row>
    <row r="2831" spans="1:10">
      <c r="A2831" s="90" t="s">
        <v>51</v>
      </c>
      <c r="B2831" s="87">
        <v>45785</v>
      </c>
      <c r="C2831" t="s">
        <v>4215</v>
      </c>
      <c r="D2831" t="s">
        <v>2688</v>
      </c>
      <c r="E2831" t="s">
        <v>4130</v>
      </c>
      <c r="F2831" t="s">
        <v>1726</v>
      </c>
      <c r="G2831" t="s">
        <v>2112</v>
      </c>
      <c r="H2831" t="s">
        <v>470</v>
      </c>
      <c r="I2831" t="s">
        <v>487</v>
      </c>
      <c r="J2831">
        <v>43310.23</v>
      </c>
    </row>
    <row r="2832" spans="1:10">
      <c r="A2832" s="90" t="s">
        <v>51</v>
      </c>
      <c r="B2832" s="87">
        <v>45785</v>
      </c>
      <c r="C2832" t="s">
        <v>511</v>
      </c>
      <c r="D2832" t="s">
        <v>2688</v>
      </c>
      <c r="E2832" t="s">
        <v>512</v>
      </c>
      <c r="F2832" t="s">
        <v>706</v>
      </c>
      <c r="G2832" t="s">
        <v>474</v>
      </c>
      <c r="H2832" t="s">
        <v>470</v>
      </c>
      <c r="I2832" t="s">
        <v>475</v>
      </c>
      <c r="J2832">
        <v>35869.29</v>
      </c>
    </row>
    <row r="2833" spans="1:10">
      <c r="A2833" s="90" t="s">
        <v>51</v>
      </c>
      <c r="B2833" s="87">
        <v>45785</v>
      </c>
      <c r="C2833" t="s">
        <v>511</v>
      </c>
      <c r="D2833" t="s">
        <v>2688</v>
      </c>
      <c r="E2833" t="s">
        <v>512</v>
      </c>
      <c r="F2833" t="s">
        <v>706</v>
      </c>
      <c r="G2833" t="s">
        <v>474</v>
      </c>
      <c r="H2833" t="s">
        <v>470</v>
      </c>
      <c r="I2833" t="s">
        <v>475</v>
      </c>
      <c r="J2833">
        <v>136986.16</v>
      </c>
    </row>
    <row r="2834" spans="1:10">
      <c r="A2834" s="90" t="s">
        <v>51</v>
      </c>
      <c r="B2834" s="87">
        <v>45786</v>
      </c>
      <c r="C2834" t="s">
        <v>4216</v>
      </c>
      <c r="D2834" t="s">
        <v>2688</v>
      </c>
      <c r="E2834" t="s">
        <v>3030</v>
      </c>
      <c r="F2834" t="s">
        <v>706</v>
      </c>
      <c r="G2834" t="s">
        <v>76</v>
      </c>
      <c r="H2834" t="s">
        <v>470</v>
      </c>
      <c r="I2834" t="s">
        <v>487</v>
      </c>
      <c r="J2834">
        <v>20</v>
      </c>
    </row>
    <row r="2835" spans="1:10">
      <c r="A2835" s="90" t="s">
        <v>51</v>
      </c>
      <c r="B2835" s="87">
        <v>45786</v>
      </c>
      <c r="C2835" t="s">
        <v>4217</v>
      </c>
      <c r="D2835" t="s">
        <v>2688</v>
      </c>
      <c r="E2835" t="s">
        <v>4130</v>
      </c>
      <c r="F2835" t="s">
        <v>1728</v>
      </c>
      <c r="G2835" t="s">
        <v>2112</v>
      </c>
      <c r="H2835" t="s">
        <v>470</v>
      </c>
      <c r="I2835" t="s">
        <v>487</v>
      </c>
      <c r="J2835">
        <v>79775.83</v>
      </c>
    </row>
    <row r="2836" spans="1:10">
      <c r="A2836" s="90" t="s">
        <v>51</v>
      </c>
      <c r="B2836" s="87">
        <v>45786</v>
      </c>
      <c r="C2836" t="s">
        <v>511</v>
      </c>
      <c r="D2836" t="s">
        <v>2688</v>
      </c>
      <c r="E2836" t="s">
        <v>512</v>
      </c>
      <c r="F2836" t="s">
        <v>706</v>
      </c>
      <c r="G2836" t="s">
        <v>474</v>
      </c>
      <c r="H2836" t="s">
        <v>470</v>
      </c>
      <c r="I2836" t="s">
        <v>475</v>
      </c>
      <c r="J2836">
        <v>64826.04</v>
      </c>
    </row>
    <row r="2837" spans="1:10">
      <c r="A2837" s="90" t="s">
        <v>51</v>
      </c>
      <c r="B2837" s="87">
        <v>45789</v>
      </c>
      <c r="C2837" t="s">
        <v>4218</v>
      </c>
      <c r="D2837" t="s">
        <v>2688</v>
      </c>
      <c r="E2837" t="s">
        <v>2520</v>
      </c>
      <c r="F2837" t="s">
        <v>1703</v>
      </c>
      <c r="G2837" t="s">
        <v>2125</v>
      </c>
      <c r="H2837" t="s">
        <v>470</v>
      </c>
      <c r="I2837" t="s">
        <v>487</v>
      </c>
      <c r="J2837">
        <v>9856.6</v>
      </c>
    </row>
    <row r="2838" spans="1:10">
      <c r="A2838" s="90" t="s">
        <v>51</v>
      </c>
      <c r="B2838" s="87">
        <v>45789</v>
      </c>
      <c r="C2838" t="s">
        <v>4219</v>
      </c>
      <c r="D2838" t="s">
        <v>2688</v>
      </c>
      <c r="E2838" t="s">
        <v>1743</v>
      </c>
      <c r="F2838" t="s">
        <v>1665</v>
      </c>
      <c r="G2838" t="s">
        <v>2125</v>
      </c>
      <c r="H2838" t="s">
        <v>470</v>
      </c>
      <c r="I2838" t="s">
        <v>475</v>
      </c>
      <c r="J2838">
        <v>13049.4</v>
      </c>
    </row>
    <row r="2839" spans="1:10">
      <c r="A2839" s="90" t="s">
        <v>51</v>
      </c>
      <c r="B2839" s="87">
        <v>45789</v>
      </c>
      <c r="C2839" t="s">
        <v>4220</v>
      </c>
      <c r="D2839" t="s">
        <v>2688</v>
      </c>
      <c r="E2839" t="s">
        <v>2520</v>
      </c>
      <c r="F2839" t="s">
        <v>1705</v>
      </c>
      <c r="G2839" t="s">
        <v>2125</v>
      </c>
      <c r="H2839" t="s">
        <v>470</v>
      </c>
      <c r="I2839" t="s">
        <v>487</v>
      </c>
      <c r="J2839">
        <v>9656.4</v>
      </c>
    </row>
    <row r="2840" spans="1:10">
      <c r="A2840" s="90" t="s">
        <v>51</v>
      </c>
      <c r="B2840" s="87">
        <v>45789</v>
      </c>
      <c r="C2840" t="s">
        <v>4221</v>
      </c>
      <c r="D2840" t="s">
        <v>2688</v>
      </c>
      <c r="E2840" t="s">
        <v>2520</v>
      </c>
      <c r="F2840" t="s">
        <v>1707</v>
      </c>
      <c r="G2840" t="s">
        <v>2125</v>
      </c>
      <c r="H2840" t="s">
        <v>470</v>
      </c>
      <c r="I2840" t="s">
        <v>487</v>
      </c>
      <c r="J2840">
        <v>13091</v>
      </c>
    </row>
    <row r="2841" spans="1:10">
      <c r="A2841" s="90" t="s">
        <v>51</v>
      </c>
      <c r="B2841" s="87">
        <v>45789</v>
      </c>
      <c r="C2841" t="s">
        <v>4222</v>
      </c>
      <c r="D2841" t="s">
        <v>2688</v>
      </c>
      <c r="E2841" t="s">
        <v>477</v>
      </c>
      <c r="F2841" t="s">
        <v>1449</v>
      </c>
      <c r="G2841" t="s">
        <v>515</v>
      </c>
      <c r="H2841" t="s">
        <v>470</v>
      </c>
      <c r="I2841" t="s">
        <v>471</v>
      </c>
      <c r="J2841">
        <v>9566.8700000000008</v>
      </c>
    </row>
    <row r="2842" spans="1:10">
      <c r="A2842" s="90" t="s">
        <v>51</v>
      </c>
      <c r="B2842" s="87">
        <v>45789</v>
      </c>
      <c r="C2842" t="s">
        <v>4223</v>
      </c>
      <c r="D2842" t="s">
        <v>2688</v>
      </c>
      <c r="E2842" t="s">
        <v>4130</v>
      </c>
      <c r="F2842" t="s">
        <v>1730</v>
      </c>
      <c r="G2842" t="s">
        <v>2112</v>
      </c>
      <c r="H2842" t="s">
        <v>470</v>
      </c>
      <c r="I2842" t="s">
        <v>487</v>
      </c>
      <c r="J2842">
        <v>65751.89</v>
      </c>
    </row>
    <row r="2843" spans="1:10">
      <c r="A2843" s="90" t="s">
        <v>51</v>
      </c>
      <c r="B2843" s="87">
        <v>45789</v>
      </c>
      <c r="C2843" t="s">
        <v>4224</v>
      </c>
      <c r="D2843" t="s">
        <v>2688</v>
      </c>
      <c r="E2843" t="s">
        <v>4130</v>
      </c>
      <c r="F2843" t="s">
        <v>1732</v>
      </c>
      <c r="G2843" t="s">
        <v>2112</v>
      </c>
      <c r="H2843" t="s">
        <v>470</v>
      </c>
      <c r="I2843" t="s">
        <v>487</v>
      </c>
      <c r="J2843">
        <v>79056.23</v>
      </c>
    </row>
    <row r="2844" spans="1:10">
      <c r="A2844" s="90" t="s">
        <v>51</v>
      </c>
      <c r="B2844" s="87">
        <v>45789</v>
      </c>
      <c r="C2844" t="s">
        <v>4225</v>
      </c>
      <c r="D2844" t="s">
        <v>2688</v>
      </c>
      <c r="E2844" t="s">
        <v>4226</v>
      </c>
      <c r="F2844" t="s">
        <v>1732</v>
      </c>
      <c r="G2844" t="s">
        <v>2125</v>
      </c>
      <c r="H2844" t="s">
        <v>470</v>
      </c>
      <c r="I2844" t="s">
        <v>487</v>
      </c>
      <c r="J2844">
        <v>13935.8</v>
      </c>
    </row>
    <row r="2845" spans="1:10">
      <c r="A2845" s="90" t="s">
        <v>51</v>
      </c>
      <c r="B2845" s="87">
        <v>45789</v>
      </c>
      <c r="C2845" t="s">
        <v>2275</v>
      </c>
      <c r="D2845" t="s">
        <v>2688</v>
      </c>
      <c r="E2845" t="s">
        <v>477</v>
      </c>
      <c r="F2845" t="s">
        <v>706</v>
      </c>
      <c r="G2845" t="s">
        <v>74</v>
      </c>
      <c r="H2845" t="s">
        <v>470</v>
      </c>
      <c r="I2845" t="s">
        <v>471</v>
      </c>
      <c r="J2845">
        <v>95</v>
      </c>
    </row>
    <row r="2846" spans="1:10">
      <c r="A2846" s="90" t="s">
        <v>51</v>
      </c>
      <c r="B2846" s="87">
        <v>45789</v>
      </c>
      <c r="C2846" t="s">
        <v>2275</v>
      </c>
      <c r="D2846" t="s">
        <v>2688</v>
      </c>
      <c r="E2846" t="s">
        <v>477</v>
      </c>
      <c r="F2846" t="s">
        <v>706</v>
      </c>
      <c r="G2846" t="s">
        <v>74</v>
      </c>
      <c r="H2846" t="s">
        <v>470</v>
      </c>
      <c r="I2846" t="s">
        <v>471</v>
      </c>
      <c r="J2846">
        <v>10</v>
      </c>
    </row>
    <row r="2847" spans="1:10">
      <c r="A2847" s="90" t="s">
        <v>51</v>
      </c>
      <c r="B2847" s="87">
        <v>45789</v>
      </c>
      <c r="C2847" t="s">
        <v>2295</v>
      </c>
      <c r="D2847" t="s">
        <v>2688</v>
      </c>
      <c r="E2847" t="s">
        <v>477</v>
      </c>
      <c r="F2847" t="s">
        <v>706</v>
      </c>
      <c r="G2847" t="s">
        <v>2295</v>
      </c>
      <c r="H2847" t="s">
        <v>470</v>
      </c>
      <c r="I2847" t="s">
        <v>471</v>
      </c>
      <c r="J2847">
        <v>713.25</v>
      </c>
    </row>
    <row r="2848" spans="1:10">
      <c r="A2848" s="90" t="s">
        <v>51</v>
      </c>
      <c r="B2848" s="87">
        <v>45789</v>
      </c>
      <c r="C2848" t="s">
        <v>511</v>
      </c>
      <c r="D2848" t="s">
        <v>2688</v>
      </c>
      <c r="E2848" t="s">
        <v>512</v>
      </c>
      <c r="F2848" t="s">
        <v>706</v>
      </c>
      <c r="G2848" t="s">
        <v>474</v>
      </c>
      <c r="H2848" t="s">
        <v>470</v>
      </c>
      <c r="I2848" t="s">
        <v>475</v>
      </c>
      <c r="J2848">
        <v>214782.44</v>
      </c>
    </row>
    <row r="2849" spans="1:10">
      <c r="A2849" s="90" t="s">
        <v>51</v>
      </c>
      <c r="B2849" s="87">
        <v>45790</v>
      </c>
      <c r="C2849" t="s">
        <v>4227</v>
      </c>
      <c r="D2849" t="s">
        <v>2688</v>
      </c>
      <c r="E2849" t="s">
        <v>4130</v>
      </c>
      <c r="F2849" t="s">
        <v>1734</v>
      </c>
      <c r="G2849" t="s">
        <v>2112</v>
      </c>
      <c r="H2849" t="s">
        <v>470</v>
      </c>
      <c r="I2849" t="s">
        <v>487</v>
      </c>
      <c r="J2849">
        <v>83976.320000000007</v>
      </c>
    </row>
    <row r="2850" spans="1:10">
      <c r="A2850" s="90" t="s">
        <v>51</v>
      </c>
      <c r="B2850" s="87">
        <v>45790</v>
      </c>
      <c r="C2850" t="s">
        <v>4228</v>
      </c>
      <c r="D2850" t="s">
        <v>2688</v>
      </c>
      <c r="E2850" t="s">
        <v>4130</v>
      </c>
      <c r="F2850" t="s">
        <v>1736</v>
      </c>
      <c r="G2850" t="s">
        <v>2112</v>
      </c>
      <c r="H2850" t="s">
        <v>470</v>
      </c>
      <c r="I2850" t="s">
        <v>487</v>
      </c>
      <c r="J2850">
        <v>84277.56</v>
      </c>
    </row>
    <row r="2851" spans="1:10">
      <c r="A2851" s="90" t="s">
        <v>51</v>
      </c>
      <c r="B2851" s="87">
        <v>45790</v>
      </c>
      <c r="C2851" t="s">
        <v>4229</v>
      </c>
      <c r="D2851" t="s">
        <v>2688</v>
      </c>
      <c r="E2851" t="s">
        <v>2300</v>
      </c>
      <c r="F2851" t="s">
        <v>706</v>
      </c>
      <c r="G2851" t="s">
        <v>70</v>
      </c>
      <c r="H2851" t="s">
        <v>470</v>
      </c>
      <c r="I2851" t="s">
        <v>796</v>
      </c>
      <c r="J2851">
        <v>24</v>
      </c>
    </row>
    <row r="2852" spans="1:10">
      <c r="A2852" s="90" t="s">
        <v>51</v>
      </c>
      <c r="B2852" s="87">
        <v>45790</v>
      </c>
      <c r="C2852" t="s">
        <v>4230</v>
      </c>
      <c r="D2852" t="s">
        <v>2688</v>
      </c>
      <c r="E2852" t="s">
        <v>4086</v>
      </c>
      <c r="F2852" t="s">
        <v>4231</v>
      </c>
      <c r="G2852" t="s">
        <v>76</v>
      </c>
      <c r="H2852" t="s">
        <v>470</v>
      </c>
      <c r="I2852" t="s">
        <v>487</v>
      </c>
      <c r="J2852">
        <v>62.7</v>
      </c>
    </row>
    <row r="2853" spans="1:10">
      <c r="A2853" s="90" t="s">
        <v>51</v>
      </c>
      <c r="B2853" s="87">
        <v>45790</v>
      </c>
      <c r="C2853" t="s">
        <v>2275</v>
      </c>
      <c r="D2853" t="s">
        <v>2688</v>
      </c>
      <c r="E2853" t="s">
        <v>477</v>
      </c>
      <c r="F2853" t="s">
        <v>706</v>
      </c>
      <c r="G2853" t="s">
        <v>74</v>
      </c>
      <c r="H2853" t="s">
        <v>470</v>
      </c>
      <c r="I2853" t="s">
        <v>471</v>
      </c>
      <c r="J2853">
        <v>11</v>
      </c>
    </row>
    <row r="2854" spans="1:10">
      <c r="A2854" s="90" t="s">
        <v>51</v>
      </c>
      <c r="B2854" s="87">
        <v>45790</v>
      </c>
      <c r="C2854" t="s">
        <v>511</v>
      </c>
      <c r="D2854" t="s">
        <v>2688</v>
      </c>
      <c r="E2854" t="s">
        <v>512</v>
      </c>
      <c r="F2854" t="s">
        <v>706</v>
      </c>
      <c r="G2854" t="s">
        <v>474</v>
      </c>
      <c r="H2854" t="s">
        <v>470</v>
      </c>
      <c r="I2854" t="s">
        <v>475</v>
      </c>
      <c r="J2854">
        <v>168351.58</v>
      </c>
    </row>
    <row r="2855" spans="1:10">
      <c r="A2855" s="90" t="s">
        <v>51</v>
      </c>
      <c r="B2855" s="87">
        <v>45791</v>
      </c>
      <c r="C2855" t="s">
        <v>4232</v>
      </c>
      <c r="D2855" t="s">
        <v>2688</v>
      </c>
      <c r="E2855" t="s">
        <v>4130</v>
      </c>
      <c r="F2855" t="s">
        <v>1738</v>
      </c>
      <c r="G2855" t="s">
        <v>2112</v>
      </c>
      <c r="H2855" t="s">
        <v>470</v>
      </c>
      <c r="I2855" t="s">
        <v>487</v>
      </c>
      <c r="J2855">
        <v>43762.07</v>
      </c>
    </row>
    <row r="2856" spans="1:10">
      <c r="A2856" s="90" t="s">
        <v>51</v>
      </c>
      <c r="B2856" s="87">
        <v>45791</v>
      </c>
      <c r="C2856" t="s">
        <v>4233</v>
      </c>
      <c r="D2856" t="s">
        <v>2688</v>
      </c>
      <c r="E2856" t="s">
        <v>3968</v>
      </c>
      <c r="F2856" t="s">
        <v>1740</v>
      </c>
      <c r="G2856" t="s">
        <v>2112</v>
      </c>
      <c r="H2856" t="s">
        <v>470</v>
      </c>
      <c r="I2856" t="s">
        <v>475</v>
      </c>
      <c r="J2856">
        <v>37044.269999999997</v>
      </c>
    </row>
    <row r="2857" spans="1:10">
      <c r="A2857" s="90" t="s">
        <v>51</v>
      </c>
      <c r="B2857" s="87">
        <v>45791</v>
      </c>
      <c r="C2857" t="s">
        <v>2275</v>
      </c>
      <c r="D2857" t="s">
        <v>2688</v>
      </c>
      <c r="E2857" t="s">
        <v>477</v>
      </c>
      <c r="F2857" t="s">
        <v>706</v>
      </c>
      <c r="G2857" t="s">
        <v>74</v>
      </c>
      <c r="H2857" t="s">
        <v>470</v>
      </c>
      <c r="I2857" t="s">
        <v>471</v>
      </c>
      <c r="J2857">
        <v>10</v>
      </c>
    </row>
    <row r="2858" spans="1:10">
      <c r="A2858" s="90" t="s">
        <v>51</v>
      </c>
      <c r="B2858" s="87">
        <v>45791</v>
      </c>
      <c r="C2858" t="s">
        <v>511</v>
      </c>
      <c r="D2858" t="s">
        <v>2688</v>
      </c>
      <c r="E2858" t="s">
        <v>512</v>
      </c>
      <c r="F2858" t="s">
        <v>706</v>
      </c>
      <c r="G2858" t="s">
        <v>474</v>
      </c>
      <c r="H2858" t="s">
        <v>470</v>
      </c>
      <c r="I2858" t="s">
        <v>475</v>
      </c>
      <c r="J2858">
        <v>80816.34</v>
      </c>
    </row>
    <row r="2859" spans="1:10">
      <c r="A2859" s="90" t="s">
        <v>51</v>
      </c>
      <c r="B2859" s="87">
        <v>45792</v>
      </c>
      <c r="C2859" t="s">
        <v>4234</v>
      </c>
      <c r="D2859" t="s">
        <v>2688</v>
      </c>
      <c r="E2859" t="s">
        <v>1743</v>
      </c>
      <c r="F2859" t="s">
        <v>1709</v>
      </c>
      <c r="G2859" t="s">
        <v>2125</v>
      </c>
      <c r="H2859" t="s">
        <v>470</v>
      </c>
      <c r="I2859" t="s">
        <v>475</v>
      </c>
      <c r="J2859">
        <v>12350</v>
      </c>
    </row>
    <row r="2860" spans="1:10">
      <c r="A2860" s="90" t="s">
        <v>51</v>
      </c>
      <c r="B2860" s="87">
        <v>45792</v>
      </c>
      <c r="C2860" t="s">
        <v>4235</v>
      </c>
      <c r="D2860" t="s">
        <v>2688</v>
      </c>
      <c r="E2860" t="s">
        <v>1743</v>
      </c>
      <c r="F2860" t="s">
        <v>1714</v>
      </c>
      <c r="G2860" t="s">
        <v>2125</v>
      </c>
      <c r="H2860" t="s">
        <v>470</v>
      </c>
      <c r="I2860" t="s">
        <v>475</v>
      </c>
      <c r="J2860">
        <v>12794.6</v>
      </c>
    </row>
    <row r="2861" spans="1:10">
      <c r="A2861" s="90" t="s">
        <v>51</v>
      </c>
      <c r="B2861" s="87">
        <v>45792</v>
      </c>
      <c r="C2861" t="s">
        <v>4236</v>
      </c>
      <c r="D2861" t="s">
        <v>2688</v>
      </c>
      <c r="E2861" t="s">
        <v>1743</v>
      </c>
      <c r="F2861" t="s">
        <v>1716</v>
      </c>
      <c r="G2861" t="s">
        <v>2125</v>
      </c>
      <c r="H2861" t="s">
        <v>470</v>
      </c>
      <c r="I2861" t="s">
        <v>475</v>
      </c>
      <c r="J2861">
        <v>7948.67</v>
      </c>
    </row>
    <row r="2862" spans="1:10">
      <c r="A2862" s="90" t="s">
        <v>51</v>
      </c>
      <c r="B2862" s="87">
        <v>45792</v>
      </c>
      <c r="C2862" t="s">
        <v>4237</v>
      </c>
      <c r="D2862" t="s">
        <v>2688</v>
      </c>
      <c r="E2862" t="s">
        <v>3999</v>
      </c>
      <c r="F2862" t="s">
        <v>4205</v>
      </c>
      <c r="G2862" t="s">
        <v>2213</v>
      </c>
      <c r="H2862" t="s">
        <v>470</v>
      </c>
      <c r="I2862" t="s">
        <v>487</v>
      </c>
      <c r="J2862">
        <v>2520</v>
      </c>
    </row>
    <row r="2863" spans="1:10">
      <c r="A2863" s="90" t="s">
        <v>51</v>
      </c>
      <c r="B2863" s="87">
        <v>45792</v>
      </c>
      <c r="C2863" t="s">
        <v>4238</v>
      </c>
      <c r="D2863" t="s">
        <v>2688</v>
      </c>
      <c r="E2863" t="s">
        <v>2520</v>
      </c>
      <c r="F2863" t="s">
        <v>1718</v>
      </c>
      <c r="G2863" t="s">
        <v>2125</v>
      </c>
      <c r="H2863" t="s">
        <v>470</v>
      </c>
      <c r="I2863" t="s">
        <v>487</v>
      </c>
      <c r="J2863">
        <v>10034.06</v>
      </c>
    </row>
    <row r="2864" spans="1:10">
      <c r="A2864" s="90" t="s">
        <v>51</v>
      </c>
      <c r="B2864" s="87">
        <v>45792</v>
      </c>
      <c r="C2864" t="s">
        <v>4239</v>
      </c>
      <c r="D2864" t="s">
        <v>2688</v>
      </c>
      <c r="E2864" t="s">
        <v>2520</v>
      </c>
      <c r="F2864" t="s">
        <v>1722</v>
      </c>
      <c r="G2864" t="s">
        <v>2125</v>
      </c>
      <c r="H2864" t="s">
        <v>470</v>
      </c>
      <c r="I2864" t="s">
        <v>487</v>
      </c>
      <c r="J2864">
        <v>10785.5</v>
      </c>
    </row>
    <row r="2865" spans="1:10">
      <c r="A2865" s="90" t="s">
        <v>51</v>
      </c>
      <c r="B2865" s="87">
        <v>45792</v>
      </c>
      <c r="C2865" t="s">
        <v>4240</v>
      </c>
      <c r="D2865" t="s">
        <v>2688</v>
      </c>
      <c r="E2865" t="s">
        <v>2520</v>
      </c>
      <c r="F2865" t="s">
        <v>1724</v>
      </c>
      <c r="G2865" t="s">
        <v>2125</v>
      </c>
      <c r="H2865" t="s">
        <v>470</v>
      </c>
      <c r="I2865" t="s">
        <v>487</v>
      </c>
      <c r="J2865">
        <v>8722.33</v>
      </c>
    </row>
    <row r="2866" spans="1:10">
      <c r="A2866" s="90" t="s">
        <v>51</v>
      </c>
      <c r="B2866" s="87">
        <v>45792</v>
      </c>
      <c r="C2866" t="s">
        <v>4241</v>
      </c>
      <c r="D2866" t="s">
        <v>2688</v>
      </c>
      <c r="E2866" t="s">
        <v>2520</v>
      </c>
      <c r="F2866" t="s">
        <v>1726</v>
      </c>
      <c r="G2866" t="s">
        <v>2125</v>
      </c>
      <c r="H2866" t="s">
        <v>470</v>
      </c>
      <c r="I2866" t="s">
        <v>487</v>
      </c>
      <c r="J2866">
        <v>7375.8</v>
      </c>
    </row>
    <row r="2867" spans="1:10">
      <c r="A2867" s="90" t="s">
        <v>51</v>
      </c>
      <c r="B2867" s="87">
        <v>45792</v>
      </c>
      <c r="C2867" t="s">
        <v>4242</v>
      </c>
      <c r="D2867" t="s">
        <v>2688</v>
      </c>
      <c r="E2867" t="s">
        <v>3107</v>
      </c>
      <c r="F2867" t="s">
        <v>706</v>
      </c>
      <c r="G2867" t="s">
        <v>60</v>
      </c>
      <c r="H2867" t="s">
        <v>2613</v>
      </c>
      <c r="I2867" t="s">
        <v>796</v>
      </c>
      <c r="J2867">
        <v>103.67</v>
      </c>
    </row>
    <row r="2868" spans="1:10">
      <c r="A2868" s="90" t="s">
        <v>51</v>
      </c>
      <c r="B2868" s="87">
        <v>45792</v>
      </c>
      <c r="C2868" t="s">
        <v>2275</v>
      </c>
      <c r="D2868" t="s">
        <v>2688</v>
      </c>
      <c r="E2868" t="s">
        <v>477</v>
      </c>
      <c r="F2868" t="s">
        <v>706</v>
      </c>
      <c r="G2868" t="s">
        <v>74</v>
      </c>
      <c r="H2868" t="s">
        <v>470</v>
      </c>
      <c r="I2868" t="s">
        <v>471</v>
      </c>
      <c r="J2868">
        <v>30</v>
      </c>
    </row>
    <row r="2869" spans="1:10">
      <c r="A2869" s="90" t="s">
        <v>51</v>
      </c>
      <c r="B2869" s="87">
        <v>45792</v>
      </c>
      <c r="C2869" t="s">
        <v>511</v>
      </c>
      <c r="D2869" t="s">
        <v>2688</v>
      </c>
      <c r="E2869" t="s">
        <v>512</v>
      </c>
      <c r="F2869" t="s">
        <v>706</v>
      </c>
      <c r="G2869" t="s">
        <v>474</v>
      </c>
      <c r="H2869" t="s">
        <v>470</v>
      </c>
      <c r="I2869" t="s">
        <v>475</v>
      </c>
      <c r="J2869">
        <v>72664.63</v>
      </c>
    </row>
    <row r="2870" spans="1:10">
      <c r="A2870" s="90" t="s">
        <v>51</v>
      </c>
      <c r="B2870" s="87">
        <v>45793</v>
      </c>
      <c r="C2870" t="s">
        <v>4243</v>
      </c>
      <c r="D2870" t="s">
        <v>2688</v>
      </c>
      <c r="E2870" t="s">
        <v>477</v>
      </c>
      <c r="F2870" t="s">
        <v>3954</v>
      </c>
      <c r="G2870" t="s">
        <v>515</v>
      </c>
      <c r="H2870" t="s">
        <v>4244</v>
      </c>
      <c r="I2870" t="s">
        <v>471</v>
      </c>
      <c r="J2870">
        <v>54166.67</v>
      </c>
    </row>
    <row r="2871" spans="1:10">
      <c r="A2871" s="90" t="s">
        <v>51</v>
      </c>
      <c r="B2871" s="87">
        <v>45793</v>
      </c>
      <c r="C2871" t="s">
        <v>4243</v>
      </c>
      <c r="D2871" t="s">
        <v>2688</v>
      </c>
      <c r="E2871" t="s">
        <v>477</v>
      </c>
      <c r="F2871" t="s">
        <v>3954</v>
      </c>
      <c r="G2871" t="s">
        <v>69</v>
      </c>
      <c r="H2871" t="s">
        <v>4244</v>
      </c>
      <c r="I2871" t="s">
        <v>471</v>
      </c>
      <c r="J2871">
        <v>7204.17</v>
      </c>
    </row>
    <row r="2872" spans="1:10">
      <c r="A2872" s="90" t="s">
        <v>51</v>
      </c>
      <c r="B2872" s="87">
        <v>45793</v>
      </c>
      <c r="C2872" t="s">
        <v>511</v>
      </c>
      <c r="D2872" t="s">
        <v>2688</v>
      </c>
      <c r="E2872" t="s">
        <v>512</v>
      </c>
      <c r="F2872" t="s">
        <v>706</v>
      </c>
      <c r="G2872" t="s">
        <v>474</v>
      </c>
      <c r="H2872" t="s">
        <v>470</v>
      </c>
      <c r="I2872" t="s">
        <v>475</v>
      </c>
      <c r="J2872">
        <v>61370.84</v>
      </c>
    </row>
    <row r="2873" spans="1:10">
      <c r="A2873" s="90" t="s">
        <v>51</v>
      </c>
      <c r="B2873" s="87">
        <v>45796</v>
      </c>
      <c r="C2873" t="s">
        <v>4245</v>
      </c>
      <c r="D2873" t="s">
        <v>2688</v>
      </c>
      <c r="E2873" t="s">
        <v>4041</v>
      </c>
      <c r="F2873" t="s">
        <v>706</v>
      </c>
      <c r="G2873" t="s">
        <v>71</v>
      </c>
      <c r="H2873" t="s">
        <v>470</v>
      </c>
      <c r="I2873" t="s">
        <v>482</v>
      </c>
      <c r="J2873">
        <v>3000</v>
      </c>
    </row>
    <row r="2874" spans="1:10">
      <c r="A2874" s="90" t="s">
        <v>51</v>
      </c>
      <c r="B2874" s="87">
        <v>45796</v>
      </c>
      <c r="C2874" t="s">
        <v>511</v>
      </c>
      <c r="D2874" t="s">
        <v>2688</v>
      </c>
      <c r="E2874" t="s">
        <v>512</v>
      </c>
      <c r="F2874" t="s">
        <v>706</v>
      </c>
      <c r="G2874" t="s">
        <v>474</v>
      </c>
      <c r="H2874" t="s">
        <v>470</v>
      </c>
      <c r="I2874" t="s">
        <v>475</v>
      </c>
      <c r="J2874">
        <v>3000</v>
      </c>
    </row>
    <row r="2875" spans="1:10">
      <c r="A2875" s="90" t="s">
        <v>51</v>
      </c>
      <c r="B2875" s="87">
        <v>45797</v>
      </c>
      <c r="C2875" t="s">
        <v>4246</v>
      </c>
      <c r="D2875" t="s">
        <v>2688</v>
      </c>
      <c r="E2875" t="s">
        <v>3968</v>
      </c>
      <c r="F2875" t="s">
        <v>163</v>
      </c>
      <c r="G2875" t="s">
        <v>2381</v>
      </c>
      <c r="H2875" t="s">
        <v>470</v>
      </c>
      <c r="I2875" t="s">
        <v>796</v>
      </c>
      <c r="J2875">
        <v>4140.01</v>
      </c>
    </row>
    <row r="2876" spans="1:10">
      <c r="A2876" s="90" t="s">
        <v>51</v>
      </c>
      <c r="B2876" s="87">
        <v>45797</v>
      </c>
      <c r="C2876" t="s">
        <v>4247</v>
      </c>
      <c r="D2876" t="s">
        <v>2688</v>
      </c>
      <c r="E2876" t="s">
        <v>3764</v>
      </c>
      <c r="F2876" t="s">
        <v>1639</v>
      </c>
      <c r="G2876" t="s">
        <v>2381</v>
      </c>
      <c r="H2876" t="s">
        <v>470</v>
      </c>
      <c r="I2876" t="s">
        <v>796</v>
      </c>
      <c r="J2876">
        <v>46.12</v>
      </c>
    </row>
    <row r="2877" spans="1:10">
      <c r="A2877" s="90" t="s">
        <v>51</v>
      </c>
      <c r="B2877" s="87">
        <v>45797</v>
      </c>
      <c r="C2877" t="s">
        <v>4248</v>
      </c>
      <c r="D2877" t="s">
        <v>2688</v>
      </c>
      <c r="E2877" t="s">
        <v>3958</v>
      </c>
      <c r="F2877" t="s">
        <v>1487</v>
      </c>
      <c r="G2877" t="s">
        <v>2381</v>
      </c>
      <c r="H2877" t="s">
        <v>470</v>
      </c>
      <c r="I2877" t="s">
        <v>796</v>
      </c>
      <c r="J2877">
        <v>66.81</v>
      </c>
    </row>
    <row r="2878" spans="1:10">
      <c r="A2878" s="90" t="s">
        <v>51</v>
      </c>
      <c r="B2878" s="87">
        <v>45797</v>
      </c>
      <c r="C2878" t="s">
        <v>4249</v>
      </c>
      <c r="D2878" t="s">
        <v>2688</v>
      </c>
      <c r="E2878" t="s">
        <v>1693</v>
      </c>
      <c r="F2878" t="s">
        <v>140</v>
      </c>
      <c r="G2878" t="s">
        <v>2381</v>
      </c>
      <c r="H2878" t="s">
        <v>470</v>
      </c>
      <c r="I2878" t="s">
        <v>796</v>
      </c>
      <c r="J2878">
        <v>606.98</v>
      </c>
    </row>
    <row r="2879" spans="1:10">
      <c r="A2879" s="90" t="s">
        <v>51</v>
      </c>
      <c r="B2879" s="87">
        <v>45797</v>
      </c>
      <c r="C2879" t="s">
        <v>4250</v>
      </c>
      <c r="D2879" t="s">
        <v>2688</v>
      </c>
      <c r="E2879" t="s">
        <v>3960</v>
      </c>
      <c r="F2879" t="s">
        <v>136</v>
      </c>
      <c r="G2879" t="s">
        <v>2381</v>
      </c>
      <c r="H2879" t="s">
        <v>470</v>
      </c>
      <c r="I2879" t="s">
        <v>796</v>
      </c>
      <c r="J2879">
        <v>3133.27</v>
      </c>
    </row>
    <row r="2880" spans="1:10">
      <c r="A2880" s="90" t="s">
        <v>51</v>
      </c>
      <c r="B2880" s="87">
        <v>45797</v>
      </c>
      <c r="C2880" t="s">
        <v>4251</v>
      </c>
      <c r="D2880" t="s">
        <v>2688</v>
      </c>
      <c r="E2880" t="s">
        <v>4081</v>
      </c>
      <c r="F2880" t="s">
        <v>154</v>
      </c>
      <c r="G2880" t="s">
        <v>2381</v>
      </c>
      <c r="H2880" t="s">
        <v>470</v>
      </c>
      <c r="I2880" t="s">
        <v>796</v>
      </c>
      <c r="J2880">
        <v>1681.1</v>
      </c>
    </row>
    <row r="2881" spans="1:10">
      <c r="A2881" s="90" t="s">
        <v>51</v>
      </c>
      <c r="B2881" s="87">
        <v>45797</v>
      </c>
      <c r="C2881" t="s">
        <v>4105</v>
      </c>
      <c r="D2881" t="s">
        <v>2688</v>
      </c>
      <c r="E2881" t="s">
        <v>2318</v>
      </c>
      <c r="F2881" t="s">
        <v>569</v>
      </c>
      <c r="G2881" t="s">
        <v>64</v>
      </c>
      <c r="H2881" t="s">
        <v>2483</v>
      </c>
      <c r="I2881" t="s">
        <v>796</v>
      </c>
      <c r="J2881">
        <v>805.95</v>
      </c>
    </row>
    <row r="2882" spans="1:10">
      <c r="A2882" s="90" t="s">
        <v>51</v>
      </c>
      <c r="B2882" s="87">
        <v>45797</v>
      </c>
      <c r="C2882" t="s">
        <v>511</v>
      </c>
      <c r="D2882" t="s">
        <v>2688</v>
      </c>
      <c r="E2882" t="s">
        <v>512</v>
      </c>
      <c r="F2882" t="s">
        <v>706</v>
      </c>
      <c r="G2882" t="s">
        <v>474</v>
      </c>
      <c r="H2882" t="s">
        <v>470</v>
      </c>
      <c r="I2882" t="s">
        <v>475</v>
      </c>
      <c r="J2882">
        <v>10480.24</v>
      </c>
    </row>
    <row r="2883" spans="1:10">
      <c r="A2883" s="90" t="s">
        <v>51</v>
      </c>
      <c r="B2883" s="87">
        <v>45798</v>
      </c>
      <c r="C2883" t="s">
        <v>1741</v>
      </c>
      <c r="D2883" t="s">
        <v>2688</v>
      </c>
      <c r="E2883" t="s">
        <v>512</v>
      </c>
      <c r="F2883" t="s">
        <v>706</v>
      </c>
      <c r="G2883" t="s">
        <v>474</v>
      </c>
      <c r="H2883" t="s">
        <v>470</v>
      </c>
      <c r="I2883" t="s">
        <v>475</v>
      </c>
      <c r="J2883">
        <v>621920.42000000004</v>
      </c>
    </row>
    <row r="2884" spans="1:10">
      <c r="A2884" s="90" t="s">
        <v>51</v>
      </c>
      <c r="B2884" s="87">
        <v>45798</v>
      </c>
      <c r="C2884" t="s">
        <v>517</v>
      </c>
      <c r="D2884" t="s">
        <v>2688</v>
      </c>
      <c r="E2884" t="s">
        <v>512</v>
      </c>
      <c r="F2884" t="s">
        <v>706</v>
      </c>
      <c r="G2884" t="s">
        <v>474</v>
      </c>
      <c r="H2884" t="s">
        <v>470</v>
      </c>
      <c r="I2884" t="s">
        <v>475</v>
      </c>
      <c r="J2884">
        <v>621920.42000000004</v>
      </c>
    </row>
    <row r="2885" spans="1:10">
      <c r="A2885" s="90" t="s">
        <v>51</v>
      </c>
      <c r="B2885" s="87">
        <v>45799</v>
      </c>
      <c r="C2885" t="s">
        <v>4252</v>
      </c>
      <c r="D2885" t="s">
        <v>2688</v>
      </c>
      <c r="E2885" t="s">
        <v>2103</v>
      </c>
      <c r="F2885" t="s">
        <v>4253</v>
      </c>
      <c r="G2885" t="s">
        <v>57</v>
      </c>
      <c r="H2885" t="s">
        <v>2123</v>
      </c>
      <c r="I2885" t="s">
        <v>487</v>
      </c>
      <c r="J2885">
        <v>9720</v>
      </c>
    </row>
    <row r="2886" spans="1:10">
      <c r="A2886" s="90" t="s">
        <v>51</v>
      </c>
      <c r="B2886" s="87">
        <v>45799</v>
      </c>
      <c r="C2886" t="s">
        <v>2275</v>
      </c>
      <c r="D2886" t="s">
        <v>2688</v>
      </c>
      <c r="E2886" t="s">
        <v>477</v>
      </c>
      <c r="F2886" t="s">
        <v>706</v>
      </c>
      <c r="G2886" t="s">
        <v>74</v>
      </c>
      <c r="H2886" t="s">
        <v>470</v>
      </c>
      <c r="I2886" t="s">
        <v>471</v>
      </c>
      <c r="J2886">
        <v>10</v>
      </c>
    </row>
    <row r="2887" spans="1:10">
      <c r="A2887" s="90" t="s">
        <v>51</v>
      </c>
      <c r="B2887" s="87">
        <v>45799</v>
      </c>
      <c r="C2887" t="s">
        <v>511</v>
      </c>
      <c r="D2887" t="s">
        <v>2688</v>
      </c>
      <c r="E2887" t="s">
        <v>512</v>
      </c>
      <c r="F2887" t="s">
        <v>706</v>
      </c>
      <c r="G2887" t="s">
        <v>474</v>
      </c>
      <c r="H2887" t="s">
        <v>470</v>
      </c>
      <c r="I2887" t="s">
        <v>475</v>
      </c>
      <c r="J2887">
        <v>9730</v>
      </c>
    </row>
    <row r="2888" spans="1:10">
      <c r="A2888" s="90" t="s">
        <v>51</v>
      </c>
      <c r="B2888" s="87">
        <v>45803</v>
      </c>
      <c r="C2888" t="s">
        <v>4254</v>
      </c>
      <c r="D2888" t="s">
        <v>2688</v>
      </c>
      <c r="E2888" t="s">
        <v>4255</v>
      </c>
      <c r="F2888" t="s">
        <v>4256</v>
      </c>
      <c r="G2888" t="s">
        <v>2125</v>
      </c>
      <c r="H2888" t="s">
        <v>470</v>
      </c>
      <c r="I2888" t="s">
        <v>475</v>
      </c>
      <c r="J2888">
        <v>13977.1</v>
      </c>
    </row>
    <row r="2889" spans="1:10">
      <c r="A2889" s="90" t="s">
        <v>51</v>
      </c>
      <c r="B2889" s="87">
        <v>45803</v>
      </c>
      <c r="C2889" t="s">
        <v>3961</v>
      </c>
      <c r="D2889" t="s">
        <v>2688</v>
      </c>
      <c r="E2889" t="s">
        <v>3962</v>
      </c>
      <c r="F2889" t="s">
        <v>4257</v>
      </c>
      <c r="G2889" t="s">
        <v>63</v>
      </c>
      <c r="H2889" t="s">
        <v>2613</v>
      </c>
      <c r="I2889" t="s">
        <v>475</v>
      </c>
      <c r="J2889">
        <v>84</v>
      </c>
    </row>
    <row r="2890" spans="1:10">
      <c r="A2890" s="90" t="s">
        <v>51</v>
      </c>
      <c r="B2890" s="87">
        <v>45803</v>
      </c>
      <c r="C2890" t="s">
        <v>511</v>
      </c>
      <c r="D2890" t="s">
        <v>2688</v>
      </c>
      <c r="E2890" t="s">
        <v>512</v>
      </c>
      <c r="F2890" t="s">
        <v>706</v>
      </c>
      <c r="G2890" t="s">
        <v>474</v>
      </c>
      <c r="H2890" t="s">
        <v>470</v>
      </c>
      <c r="I2890" t="s">
        <v>475</v>
      </c>
      <c r="J2890">
        <v>14061.1</v>
      </c>
    </row>
    <row r="2891" spans="1:10">
      <c r="A2891" s="90" t="s">
        <v>51</v>
      </c>
      <c r="B2891" s="87">
        <v>45804</v>
      </c>
      <c r="C2891" t="s">
        <v>4258</v>
      </c>
      <c r="D2891" t="s">
        <v>2688</v>
      </c>
      <c r="E2891" t="s">
        <v>2919</v>
      </c>
      <c r="F2891" t="s">
        <v>1720</v>
      </c>
      <c r="G2891" t="s">
        <v>2125</v>
      </c>
      <c r="H2891" t="s">
        <v>470</v>
      </c>
      <c r="I2891" t="s">
        <v>796</v>
      </c>
      <c r="J2891">
        <v>13257</v>
      </c>
    </row>
    <row r="2892" spans="1:10">
      <c r="A2892" s="90" t="s">
        <v>51</v>
      </c>
      <c r="B2892" s="87">
        <v>45804</v>
      </c>
      <c r="C2892" t="s">
        <v>4259</v>
      </c>
      <c r="D2892" t="s">
        <v>2688</v>
      </c>
      <c r="E2892" t="s">
        <v>2919</v>
      </c>
      <c r="F2892" t="s">
        <v>1728</v>
      </c>
      <c r="G2892" t="s">
        <v>2125</v>
      </c>
      <c r="H2892" t="s">
        <v>470</v>
      </c>
      <c r="I2892" t="s">
        <v>796</v>
      </c>
      <c r="J2892">
        <v>12846.6</v>
      </c>
    </row>
    <row r="2893" spans="1:10">
      <c r="A2893" s="90" t="s">
        <v>51</v>
      </c>
      <c r="B2893" s="87">
        <v>45804</v>
      </c>
      <c r="C2893" t="s">
        <v>4260</v>
      </c>
      <c r="D2893" t="s">
        <v>2688</v>
      </c>
      <c r="E2893" t="s">
        <v>2520</v>
      </c>
      <c r="F2893" t="s">
        <v>1734</v>
      </c>
      <c r="G2893" t="s">
        <v>2125</v>
      </c>
      <c r="H2893" t="s">
        <v>470</v>
      </c>
      <c r="I2893" t="s">
        <v>487</v>
      </c>
      <c r="J2893">
        <v>14284.2</v>
      </c>
    </row>
    <row r="2894" spans="1:10">
      <c r="A2894" s="90" t="s">
        <v>51</v>
      </c>
      <c r="B2894" s="87">
        <v>45804</v>
      </c>
      <c r="C2894" t="s">
        <v>4261</v>
      </c>
      <c r="D2894" t="s">
        <v>2688</v>
      </c>
      <c r="E2894" t="s">
        <v>2520</v>
      </c>
      <c r="F2894" t="s">
        <v>1736</v>
      </c>
      <c r="G2894" t="s">
        <v>2125</v>
      </c>
      <c r="H2894" t="s">
        <v>470</v>
      </c>
      <c r="I2894" t="s">
        <v>487</v>
      </c>
      <c r="J2894">
        <v>14335.5</v>
      </c>
    </row>
    <row r="2895" spans="1:10">
      <c r="A2895" s="90" t="s">
        <v>51</v>
      </c>
      <c r="B2895" s="87">
        <v>45804</v>
      </c>
      <c r="C2895" t="s">
        <v>4262</v>
      </c>
      <c r="D2895" t="s">
        <v>2688</v>
      </c>
      <c r="E2895" t="s">
        <v>1667</v>
      </c>
      <c r="F2895" t="s">
        <v>706</v>
      </c>
      <c r="G2895" t="s">
        <v>72</v>
      </c>
      <c r="H2895" t="s">
        <v>470</v>
      </c>
      <c r="I2895" t="s">
        <v>475</v>
      </c>
      <c r="J2895">
        <v>909.99</v>
      </c>
    </row>
    <row r="2896" spans="1:10">
      <c r="A2896" s="90" t="s">
        <v>51</v>
      </c>
      <c r="B2896" s="87">
        <v>45804</v>
      </c>
      <c r="C2896" t="s">
        <v>4262</v>
      </c>
      <c r="D2896" t="s">
        <v>2688</v>
      </c>
      <c r="E2896" t="s">
        <v>1667</v>
      </c>
      <c r="F2896" t="s">
        <v>706</v>
      </c>
      <c r="G2896" t="s">
        <v>58</v>
      </c>
      <c r="H2896" t="s">
        <v>470</v>
      </c>
      <c r="I2896" t="s">
        <v>475</v>
      </c>
      <c r="J2896">
        <v>4385.43</v>
      </c>
    </row>
    <row r="2897" spans="1:10">
      <c r="A2897" s="90" t="s">
        <v>51</v>
      </c>
      <c r="B2897" s="87">
        <v>45804</v>
      </c>
      <c r="C2897" t="s">
        <v>4262</v>
      </c>
      <c r="D2897" t="s">
        <v>2688</v>
      </c>
      <c r="E2897" t="s">
        <v>1667</v>
      </c>
      <c r="F2897" t="s">
        <v>706</v>
      </c>
      <c r="G2897" t="s">
        <v>62</v>
      </c>
      <c r="H2897" t="s">
        <v>470</v>
      </c>
      <c r="I2897" t="s">
        <v>475</v>
      </c>
      <c r="J2897">
        <v>394</v>
      </c>
    </row>
    <row r="2898" spans="1:10">
      <c r="A2898" s="90" t="s">
        <v>51</v>
      </c>
      <c r="B2898" s="87">
        <v>45804</v>
      </c>
      <c r="C2898" t="s">
        <v>4262</v>
      </c>
      <c r="D2898" t="s">
        <v>2688</v>
      </c>
      <c r="E2898" t="s">
        <v>1667</v>
      </c>
      <c r="F2898" t="s">
        <v>706</v>
      </c>
      <c r="G2898" t="s">
        <v>75</v>
      </c>
      <c r="H2898" t="s">
        <v>470</v>
      </c>
      <c r="I2898" t="s">
        <v>475</v>
      </c>
      <c r="J2898">
        <v>377</v>
      </c>
    </row>
    <row r="2899" spans="1:10">
      <c r="A2899" s="90" t="s">
        <v>51</v>
      </c>
      <c r="B2899" s="87">
        <v>45804</v>
      </c>
      <c r="C2899" t="s">
        <v>2275</v>
      </c>
      <c r="D2899" t="s">
        <v>2688</v>
      </c>
      <c r="E2899" t="s">
        <v>477</v>
      </c>
      <c r="F2899" t="s">
        <v>706</v>
      </c>
      <c r="G2899" t="s">
        <v>74</v>
      </c>
      <c r="H2899" t="s">
        <v>470</v>
      </c>
      <c r="I2899" t="s">
        <v>471</v>
      </c>
      <c r="J2899">
        <v>10</v>
      </c>
    </row>
    <row r="2900" spans="1:10">
      <c r="A2900" s="90" t="s">
        <v>51</v>
      </c>
      <c r="B2900" s="87">
        <v>45804</v>
      </c>
      <c r="C2900" t="s">
        <v>511</v>
      </c>
      <c r="D2900" t="s">
        <v>2688</v>
      </c>
      <c r="E2900" t="s">
        <v>512</v>
      </c>
      <c r="F2900" t="s">
        <v>706</v>
      </c>
      <c r="G2900" t="s">
        <v>474</v>
      </c>
      <c r="H2900" t="s">
        <v>470</v>
      </c>
      <c r="I2900" t="s">
        <v>475</v>
      </c>
      <c r="J2900">
        <v>60799.72</v>
      </c>
    </row>
    <row r="2901" spans="1:10">
      <c r="A2901" s="90" t="s">
        <v>51</v>
      </c>
      <c r="B2901" s="87">
        <v>45805</v>
      </c>
      <c r="C2901" t="s">
        <v>4263</v>
      </c>
      <c r="D2901" t="s">
        <v>2688</v>
      </c>
      <c r="E2901" t="s">
        <v>1743</v>
      </c>
      <c r="F2901" t="s">
        <v>1647</v>
      </c>
      <c r="G2901" t="s">
        <v>2125</v>
      </c>
      <c r="H2901" t="s">
        <v>470</v>
      </c>
      <c r="I2901" t="s">
        <v>475</v>
      </c>
      <c r="J2901">
        <v>12760.8</v>
      </c>
    </row>
    <row r="2902" spans="1:10">
      <c r="A2902" s="90" t="s">
        <v>51</v>
      </c>
      <c r="B2902" s="87">
        <v>45805</v>
      </c>
      <c r="C2902" t="s">
        <v>4264</v>
      </c>
      <c r="D2902" t="s">
        <v>2688</v>
      </c>
      <c r="E2902" t="s">
        <v>1743</v>
      </c>
      <c r="F2902" t="s">
        <v>1651</v>
      </c>
      <c r="G2902" t="s">
        <v>2125</v>
      </c>
      <c r="H2902" t="s">
        <v>470</v>
      </c>
      <c r="I2902" t="s">
        <v>475</v>
      </c>
      <c r="J2902">
        <v>12742.6</v>
      </c>
    </row>
    <row r="2903" spans="1:10">
      <c r="A2903" s="90" t="s">
        <v>51</v>
      </c>
      <c r="B2903" s="87">
        <v>45805</v>
      </c>
      <c r="C2903" t="s">
        <v>4265</v>
      </c>
      <c r="D2903" t="s">
        <v>2688</v>
      </c>
      <c r="E2903" t="s">
        <v>1743</v>
      </c>
      <c r="F2903" t="s">
        <v>1653</v>
      </c>
      <c r="G2903" t="s">
        <v>2125</v>
      </c>
      <c r="H2903" t="s">
        <v>470</v>
      </c>
      <c r="I2903" t="s">
        <v>475</v>
      </c>
      <c r="J2903">
        <v>13083.2</v>
      </c>
    </row>
    <row r="2904" spans="1:10">
      <c r="A2904" s="90" t="s">
        <v>51</v>
      </c>
      <c r="B2904" s="87">
        <v>45805</v>
      </c>
      <c r="C2904" t="s">
        <v>4266</v>
      </c>
      <c r="D2904" t="s">
        <v>2688</v>
      </c>
      <c r="E2904" t="s">
        <v>1743</v>
      </c>
      <c r="F2904" t="s">
        <v>1655</v>
      </c>
      <c r="G2904" t="s">
        <v>2125</v>
      </c>
      <c r="H2904" t="s">
        <v>470</v>
      </c>
      <c r="I2904" t="s">
        <v>475</v>
      </c>
      <c r="J2904">
        <v>12261.6</v>
      </c>
    </row>
    <row r="2905" spans="1:10">
      <c r="A2905" s="90" t="s">
        <v>51</v>
      </c>
      <c r="B2905" s="87">
        <v>45805</v>
      </c>
      <c r="C2905" t="s">
        <v>4267</v>
      </c>
      <c r="D2905" t="s">
        <v>2688</v>
      </c>
      <c r="E2905" t="s">
        <v>1743</v>
      </c>
      <c r="F2905" t="s">
        <v>1659</v>
      </c>
      <c r="G2905" t="s">
        <v>2125</v>
      </c>
      <c r="H2905" t="s">
        <v>470</v>
      </c>
      <c r="I2905" t="s">
        <v>475</v>
      </c>
      <c r="J2905">
        <v>7557.58</v>
      </c>
    </row>
    <row r="2906" spans="1:10">
      <c r="A2906" s="90" t="s">
        <v>51</v>
      </c>
      <c r="B2906" s="87">
        <v>45805</v>
      </c>
      <c r="C2906" t="s">
        <v>4268</v>
      </c>
      <c r="D2906" t="s">
        <v>2688</v>
      </c>
      <c r="E2906" t="s">
        <v>1743</v>
      </c>
      <c r="F2906" t="s">
        <v>1661</v>
      </c>
      <c r="G2906" t="s">
        <v>2125</v>
      </c>
      <c r="H2906" t="s">
        <v>470</v>
      </c>
      <c r="I2906" t="s">
        <v>475</v>
      </c>
      <c r="J2906">
        <v>12207</v>
      </c>
    </row>
    <row r="2907" spans="1:10">
      <c r="A2907" s="90" t="s">
        <v>51</v>
      </c>
      <c r="B2907" s="87">
        <v>45805</v>
      </c>
      <c r="C2907" t="s">
        <v>4269</v>
      </c>
      <c r="D2907" t="s">
        <v>2688</v>
      </c>
      <c r="E2907" t="s">
        <v>1445</v>
      </c>
      <c r="F2907" t="s">
        <v>4270</v>
      </c>
      <c r="G2907" t="s">
        <v>2213</v>
      </c>
      <c r="H2907" t="s">
        <v>470</v>
      </c>
      <c r="I2907" t="s">
        <v>487</v>
      </c>
      <c r="J2907">
        <v>12022.62</v>
      </c>
    </row>
    <row r="2908" spans="1:10">
      <c r="A2908" s="90" t="s">
        <v>51</v>
      </c>
      <c r="B2908" s="87">
        <v>45805</v>
      </c>
      <c r="C2908" t="s">
        <v>4271</v>
      </c>
      <c r="D2908" t="s">
        <v>2688</v>
      </c>
      <c r="E2908" t="s">
        <v>3030</v>
      </c>
      <c r="F2908" t="s">
        <v>706</v>
      </c>
      <c r="G2908" t="s">
        <v>76</v>
      </c>
      <c r="H2908" t="s">
        <v>470</v>
      </c>
      <c r="I2908" t="s">
        <v>487</v>
      </c>
      <c r="J2908">
        <v>155.82</v>
      </c>
    </row>
    <row r="2909" spans="1:10">
      <c r="A2909" s="90" t="s">
        <v>51</v>
      </c>
      <c r="B2909" s="87">
        <v>45805</v>
      </c>
      <c r="C2909" t="s">
        <v>4267</v>
      </c>
      <c r="D2909" t="s">
        <v>2688</v>
      </c>
      <c r="E2909" t="s">
        <v>1743</v>
      </c>
      <c r="F2909" t="s">
        <v>1659</v>
      </c>
      <c r="G2909" t="s">
        <v>2125</v>
      </c>
      <c r="H2909" t="s">
        <v>470</v>
      </c>
      <c r="I2909" t="s">
        <v>475</v>
      </c>
      <c r="J2909">
        <v>4787.22</v>
      </c>
    </row>
    <row r="2910" spans="1:10">
      <c r="A2910" s="90" t="s">
        <v>51</v>
      </c>
      <c r="B2910" s="87">
        <v>45805</v>
      </c>
      <c r="C2910" t="s">
        <v>4272</v>
      </c>
      <c r="D2910" t="s">
        <v>2688</v>
      </c>
      <c r="E2910" t="s">
        <v>4273</v>
      </c>
      <c r="F2910" t="s">
        <v>4274</v>
      </c>
      <c r="G2910" t="s">
        <v>2125</v>
      </c>
      <c r="H2910" t="s">
        <v>470</v>
      </c>
      <c r="I2910" t="s">
        <v>487</v>
      </c>
      <c r="J2910">
        <v>7567</v>
      </c>
    </row>
    <row r="2911" spans="1:10">
      <c r="A2911" s="90" t="s">
        <v>51</v>
      </c>
      <c r="B2911" s="87">
        <v>45805</v>
      </c>
      <c r="C2911" t="s">
        <v>2275</v>
      </c>
      <c r="D2911" t="s">
        <v>2688</v>
      </c>
      <c r="E2911" t="s">
        <v>477</v>
      </c>
      <c r="F2911" t="s">
        <v>706</v>
      </c>
      <c r="G2911" t="s">
        <v>74</v>
      </c>
      <c r="H2911" t="s">
        <v>470</v>
      </c>
      <c r="I2911" t="s">
        <v>471</v>
      </c>
      <c r="J2911">
        <v>20</v>
      </c>
    </row>
    <row r="2912" spans="1:10">
      <c r="A2912" s="90" t="s">
        <v>51</v>
      </c>
      <c r="B2912" s="87">
        <v>45805</v>
      </c>
      <c r="C2912" t="s">
        <v>511</v>
      </c>
      <c r="D2912" t="s">
        <v>2688</v>
      </c>
      <c r="E2912" t="s">
        <v>512</v>
      </c>
      <c r="F2912" t="s">
        <v>706</v>
      </c>
      <c r="G2912" t="s">
        <v>474</v>
      </c>
      <c r="H2912" t="s">
        <v>470</v>
      </c>
      <c r="I2912" t="s">
        <v>475</v>
      </c>
      <c r="J2912">
        <v>39530.019999999997</v>
      </c>
    </row>
    <row r="2913" spans="1:10">
      <c r="A2913" s="90" t="s">
        <v>51</v>
      </c>
      <c r="B2913" s="87">
        <v>45807</v>
      </c>
      <c r="C2913" t="s">
        <v>4275</v>
      </c>
      <c r="D2913" t="s">
        <v>2688</v>
      </c>
      <c r="E2913" t="s">
        <v>2919</v>
      </c>
      <c r="F2913" t="s">
        <v>1730</v>
      </c>
      <c r="G2913" t="s">
        <v>2125</v>
      </c>
      <c r="H2913" t="s">
        <v>470</v>
      </c>
      <c r="I2913" t="s">
        <v>796</v>
      </c>
      <c r="J2913">
        <v>10594.8</v>
      </c>
    </row>
    <row r="2914" spans="1:10">
      <c r="A2914" s="90" t="s">
        <v>51</v>
      </c>
      <c r="B2914" s="87">
        <v>45807</v>
      </c>
      <c r="C2914" t="s">
        <v>4276</v>
      </c>
      <c r="D2914" t="s">
        <v>2688</v>
      </c>
      <c r="E2914" t="s">
        <v>1137</v>
      </c>
      <c r="F2914" t="s">
        <v>4277</v>
      </c>
      <c r="G2914" t="s">
        <v>61</v>
      </c>
      <c r="H2914" t="s">
        <v>2613</v>
      </c>
      <c r="I2914" t="s">
        <v>487</v>
      </c>
      <c r="J2914">
        <v>2198</v>
      </c>
    </row>
    <row r="2915" spans="1:10">
      <c r="A2915" s="90" t="s">
        <v>51</v>
      </c>
      <c r="B2915" s="87">
        <v>45807</v>
      </c>
      <c r="C2915" t="s">
        <v>2336</v>
      </c>
      <c r="D2915" t="s">
        <v>2688</v>
      </c>
      <c r="E2915" t="s">
        <v>1667</v>
      </c>
      <c r="F2915" t="s">
        <v>706</v>
      </c>
      <c r="G2915" t="s">
        <v>71</v>
      </c>
      <c r="H2915" t="s">
        <v>2613</v>
      </c>
      <c r="I2915" t="s">
        <v>475</v>
      </c>
      <c r="J2915">
        <v>2314</v>
      </c>
    </row>
    <row r="2916" spans="1:10">
      <c r="A2916" s="90" t="s">
        <v>51</v>
      </c>
      <c r="B2916" s="87">
        <v>45807</v>
      </c>
      <c r="C2916" t="s">
        <v>4278</v>
      </c>
      <c r="D2916" t="s">
        <v>2688</v>
      </c>
      <c r="E2916" t="s">
        <v>1667</v>
      </c>
      <c r="F2916" t="s">
        <v>706</v>
      </c>
      <c r="G2916" t="s">
        <v>58</v>
      </c>
      <c r="H2916" t="s">
        <v>470</v>
      </c>
      <c r="I2916" t="s">
        <v>475</v>
      </c>
      <c r="J2916">
        <v>771.36</v>
      </c>
    </row>
    <row r="2917" spans="1:10">
      <c r="A2917" s="90" t="s">
        <v>51</v>
      </c>
      <c r="B2917" s="87">
        <v>45807</v>
      </c>
      <c r="C2917" t="s">
        <v>4278</v>
      </c>
      <c r="D2917" t="s">
        <v>2688</v>
      </c>
      <c r="E2917" t="s">
        <v>1667</v>
      </c>
      <c r="F2917" t="s">
        <v>706</v>
      </c>
      <c r="G2917" t="s">
        <v>76</v>
      </c>
      <c r="H2917" t="s">
        <v>470</v>
      </c>
      <c r="I2917" t="s">
        <v>475</v>
      </c>
      <c r="J2917">
        <v>57.84</v>
      </c>
    </row>
    <row r="2918" spans="1:10">
      <c r="A2918" s="90" t="s">
        <v>51</v>
      </c>
      <c r="B2918" s="87">
        <v>45807</v>
      </c>
      <c r="C2918" t="s">
        <v>2275</v>
      </c>
      <c r="D2918" t="s">
        <v>2688</v>
      </c>
      <c r="E2918" t="s">
        <v>477</v>
      </c>
      <c r="F2918" t="s">
        <v>706</v>
      </c>
      <c r="G2918" t="s">
        <v>74</v>
      </c>
      <c r="H2918" t="s">
        <v>470</v>
      </c>
      <c r="I2918" t="s">
        <v>471</v>
      </c>
      <c r="J2918">
        <v>10</v>
      </c>
    </row>
    <row r="2919" spans="1:10">
      <c r="A2919" s="90" t="s">
        <v>51</v>
      </c>
      <c r="B2919" s="87">
        <v>45807</v>
      </c>
      <c r="C2919" t="s">
        <v>511</v>
      </c>
      <c r="D2919" t="s">
        <v>2688</v>
      </c>
      <c r="E2919" t="s">
        <v>512</v>
      </c>
      <c r="F2919" t="s">
        <v>706</v>
      </c>
      <c r="G2919" t="s">
        <v>474</v>
      </c>
      <c r="H2919" t="s">
        <v>470</v>
      </c>
      <c r="I2919" t="s">
        <v>475</v>
      </c>
      <c r="J2919">
        <v>15946</v>
      </c>
    </row>
    <row r="2920" spans="1:10">
      <c r="A2920" s="90" t="s">
        <v>51</v>
      </c>
      <c r="B2920" s="87">
        <v>45807</v>
      </c>
      <c r="C2920" t="s">
        <v>2347</v>
      </c>
      <c r="D2920" t="s">
        <v>2688</v>
      </c>
      <c r="E2920" t="s">
        <v>477</v>
      </c>
      <c r="F2920" t="s">
        <v>706</v>
      </c>
      <c r="G2920" t="s">
        <v>68</v>
      </c>
      <c r="H2920" t="s">
        <v>470</v>
      </c>
      <c r="I2920" t="s">
        <v>471</v>
      </c>
      <c r="J2920">
        <v>2856.43</v>
      </c>
    </row>
    <row r="2921" spans="1:10">
      <c r="A2921" s="90" t="s">
        <v>51</v>
      </c>
      <c r="B2921" s="87">
        <v>45807</v>
      </c>
      <c r="C2921" t="s">
        <v>2348</v>
      </c>
      <c r="D2921" t="s">
        <v>2688</v>
      </c>
      <c r="E2921" t="s">
        <v>477</v>
      </c>
      <c r="F2921" t="s">
        <v>706</v>
      </c>
      <c r="G2921" t="s">
        <v>66</v>
      </c>
      <c r="H2921" t="s">
        <v>470</v>
      </c>
      <c r="I2921" t="s">
        <v>471</v>
      </c>
      <c r="J2921">
        <v>2446.5100000000002</v>
      </c>
    </row>
    <row r="2922" spans="1:10">
      <c r="A2922" s="90" t="s">
        <v>51</v>
      </c>
      <c r="B2922" s="87">
        <v>45807</v>
      </c>
      <c r="C2922" t="s">
        <v>4279</v>
      </c>
      <c r="D2922" t="s">
        <v>2688</v>
      </c>
      <c r="E2922" t="s">
        <v>477</v>
      </c>
      <c r="F2922" t="s">
        <v>706</v>
      </c>
      <c r="G2922" t="s">
        <v>68</v>
      </c>
      <c r="H2922" t="s">
        <v>470</v>
      </c>
      <c r="I2922" t="s">
        <v>471</v>
      </c>
      <c r="J2922">
        <v>3392.69</v>
      </c>
    </row>
    <row r="2923" spans="1:10">
      <c r="A2923" s="90" t="s">
        <v>51</v>
      </c>
      <c r="B2923" s="87">
        <v>45807</v>
      </c>
      <c r="C2923" t="s">
        <v>2347</v>
      </c>
      <c r="D2923" t="s">
        <v>2688</v>
      </c>
      <c r="E2923" t="s">
        <v>477</v>
      </c>
      <c r="F2923" t="s">
        <v>706</v>
      </c>
      <c r="G2923" t="s">
        <v>68</v>
      </c>
      <c r="H2923" t="s">
        <v>470</v>
      </c>
      <c r="I2923" t="s">
        <v>471</v>
      </c>
      <c r="J2923">
        <v>17.68</v>
      </c>
    </row>
    <row r="2924" spans="1:10">
      <c r="A2924" s="90" t="s">
        <v>51</v>
      </c>
      <c r="B2924" s="87">
        <v>45807</v>
      </c>
      <c r="C2924" t="s">
        <v>2348</v>
      </c>
      <c r="D2924" t="s">
        <v>2688</v>
      </c>
      <c r="E2924" t="s">
        <v>477</v>
      </c>
      <c r="F2924" t="s">
        <v>706</v>
      </c>
      <c r="G2924" t="s">
        <v>66</v>
      </c>
      <c r="H2924" t="s">
        <v>470</v>
      </c>
      <c r="I2924" t="s">
        <v>471</v>
      </c>
      <c r="J2924">
        <v>251.29</v>
      </c>
    </row>
    <row r="2925" spans="1:10">
      <c r="A2925" s="90" t="s">
        <v>51</v>
      </c>
      <c r="B2925" s="87">
        <v>45810</v>
      </c>
      <c r="C2925" t="s">
        <v>4280</v>
      </c>
      <c r="D2925" t="s">
        <v>2688</v>
      </c>
      <c r="E2925" t="s">
        <v>1693</v>
      </c>
      <c r="F2925" t="s">
        <v>178</v>
      </c>
      <c r="G2925" t="s">
        <v>2112</v>
      </c>
      <c r="H2925" t="s">
        <v>470</v>
      </c>
      <c r="I2925" t="s">
        <v>540</v>
      </c>
      <c r="J2925">
        <v>300000</v>
      </c>
    </row>
    <row r="2926" spans="1:10">
      <c r="A2926" s="90" t="s">
        <v>51</v>
      </c>
      <c r="B2926" s="87">
        <v>45810</v>
      </c>
      <c r="C2926" t="s">
        <v>4281</v>
      </c>
      <c r="D2926" t="s">
        <v>2688</v>
      </c>
      <c r="E2926" t="s">
        <v>2262</v>
      </c>
      <c r="F2926" t="s">
        <v>4282</v>
      </c>
      <c r="G2926" t="s">
        <v>73</v>
      </c>
      <c r="H2926" t="s">
        <v>2678</v>
      </c>
      <c r="I2926" t="s">
        <v>796</v>
      </c>
      <c r="J2926">
        <v>633.01</v>
      </c>
    </row>
    <row r="2927" spans="1:10">
      <c r="A2927" s="90" t="s">
        <v>51</v>
      </c>
      <c r="B2927" s="87">
        <v>45810</v>
      </c>
      <c r="C2927" t="s">
        <v>4283</v>
      </c>
      <c r="D2927" t="s">
        <v>2688</v>
      </c>
      <c r="E2927" t="s">
        <v>4284</v>
      </c>
      <c r="F2927" t="s">
        <v>4285</v>
      </c>
      <c r="G2927" t="s">
        <v>2125</v>
      </c>
      <c r="H2927" t="s">
        <v>470</v>
      </c>
      <c r="I2927" t="s">
        <v>487</v>
      </c>
      <c r="J2927">
        <v>8000</v>
      </c>
    </row>
    <row r="2928" spans="1:10">
      <c r="A2928" s="90" t="s">
        <v>51</v>
      </c>
      <c r="B2928" s="87">
        <v>45810</v>
      </c>
      <c r="C2928" t="s">
        <v>4286</v>
      </c>
      <c r="D2928" t="s">
        <v>2688</v>
      </c>
      <c r="E2928" t="s">
        <v>477</v>
      </c>
      <c r="F2928" t="s">
        <v>1449</v>
      </c>
      <c r="G2928" t="s">
        <v>66</v>
      </c>
      <c r="H2928" t="s">
        <v>470</v>
      </c>
      <c r="I2928" t="s">
        <v>471</v>
      </c>
      <c r="J2928">
        <v>72.069999999999993</v>
      </c>
    </row>
    <row r="2929" spans="1:10">
      <c r="A2929" s="90" t="s">
        <v>51</v>
      </c>
      <c r="B2929" s="87">
        <v>45810</v>
      </c>
      <c r="C2929" t="s">
        <v>511</v>
      </c>
      <c r="D2929" t="s">
        <v>2688</v>
      </c>
      <c r="E2929" t="s">
        <v>512</v>
      </c>
      <c r="F2929" t="s">
        <v>741</v>
      </c>
      <c r="G2929" t="s">
        <v>474</v>
      </c>
      <c r="H2929" t="s">
        <v>470</v>
      </c>
      <c r="I2929" t="s">
        <v>475</v>
      </c>
      <c r="J2929">
        <v>308705.08</v>
      </c>
    </row>
    <row r="2930" spans="1:10">
      <c r="A2930" s="90" t="s">
        <v>51</v>
      </c>
      <c r="B2930" s="87">
        <v>45811</v>
      </c>
      <c r="C2930" t="s">
        <v>4287</v>
      </c>
      <c r="D2930" t="s">
        <v>2688</v>
      </c>
      <c r="E2930" t="s">
        <v>2702</v>
      </c>
      <c r="F2930" t="s">
        <v>4288</v>
      </c>
      <c r="G2930" t="s">
        <v>63</v>
      </c>
      <c r="H2930" t="s">
        <v>470</v>
      </c>
      <c r="I2930" t="s">
        <v>796</v>
      </c>
      <c r="J2930">
        <v>125</v>
      </c>
    </row>
    <row r="2931" spans="1:10">
      <c r="A2931" s="90" t="s">
        <v>51</v>
      </c>
      <c r="B2931" s="87">
        <v>45811</v>
      </c>
      <c r="C2931" t="s">
        <v>4289</v>
      </c>
      <c r="D2931" t="s">
        <v>2688</v>
      </c>
      <c r="E2931" t="s">
        <v>1667</v>
      </c>
      <c r="F2931" t="s">
        <v>741</v>
      </c>
      <c r="G2931" t="s">
        <v>2115</v>
      </c>
      <c r="H2931" t="s">
        <v>470</v>
      </c>
      <c r="I2931" t="s">
        <v>475</v>
      </c>
      <c r="J2931">
        <v>483</v>
      </c>
    </row>
    <row r="2932" spans="1:10">
      <c r="A2932" s="90" t="s">
        <v>51</v>
      </c>
      <c r="B2932" s="87">
        <v>45811</v>
      </c>
      <c r="C2932" t="s">
        <v>511</v>
      </c>
      <c r="D2932" t="s">
        <v>2688</v>
      </c>
      <c r="E2932" t="s">
        <v>512</v>
      </c>
      <c r="F2932" t="s">
        <v>741</v>
      </c>
      <c r="G2932" t="s">
        <v>474</v>
      </c>
      <c r="H2932" t="s">
        <v>470</v>
      </c>
      <c r="I2932" t="s">
        <v>475</v>
      </c>
      <c r="J2932">
        <v>608</v>
      </c>
    </row>
    <row r="2933" spans="1:10">
      <c r="A2933" s="90" t="s">
        <v>51</v>
      </c>
      <c r="B2933" s="87">
        <v>45812</v>
      </c>
      <c r="C2933" t="s">
        <v>4290</v>
      </c>
      <c r="D2933" t="s">
        <v>2688</v>
      </c>
      <c r="E2933" t="s">
        <v>4273</v>
      </c>
      <c r="F2933" t="s">
        <v>4274</v>
      </c>
      <c r="G2933" t="s">
        <v>2125</v>
      </c>
      <c r="H2933" t="s">
        <v>470</v>
      </c>
      <c r="I2933" t="s">
        <v>487</v>
      </c>
      <c r="J2933">
        <v>5786.8</v>
      </c>
    </row>
    <row r="2934" spans="1:10">
      <c r="A2934" s="90" t="s">
        <v>51</v>
      </c>
      <c r="B2934" s="87">
        <v>45812</v>
      </c>
      <c r="C2934" t="s">
        <v>4291</v>
      </c>
      <c r="D2934" t="s">
        <v>2688</v>
      </c>
      <c r="E2934" t="s">
        <v>4273</v>
      </c>
      <c r="F2934" t="s">
        <v>4274</v>
      </c>
      <c r="G2934" t="s">
        <v>2125</v>
      </c>
      <c r="H2934" t="s">
        <v>470</v>
      </c>
      <c r="I2934" t="s">
        <v>487</v>
      </c>
      <c r="J2934">
        <v>2495.5</v>
      </c>
    </row>
    <row r="2935" spans="1:10">
      <c r="A2935" s="90" t="s">
        <v>51</v>
      </c>
      <c r="B2935" s="87">
        <v>45812</v>
      </c>
      <c r="C2935" t="s">
        <v>4292</v>
      </c>
      <c r="D2935" t="s">
        <v>2688</v>
      </c>
      <c r="E2935" t="s">
        <v>4273</v>
      </c>
      <c r="F2935" t="s">
        <v>4293</v>
      </c>
      <c r="G2935" t="s">
        <v>2125</v>
      </c>
      <c r="H2935" t="s">
        <v>470</v>
      </c>
      <c r="I2935" t="s">
        <v>487</v>
      </c>
      <c r="J2935">
        <v>1780.2</v>
      </c>
    </row>
    <row r="2936" spans="1:10">
      <c r="A2936" s="90" t="s">
        <v>51</v>
      </c>
      <c r="B2936" s="87">
        <v>45812</v>
      </c>
      <c r="C2936" t="s">
        <v>779</v>
      </c>
      <c r="D2936" t="s">
        <v>2688</v>
      </c>
      <c r="E2936" t="s">
        <v>512</v>
      </c>
      <c r="F2936" t="s">
        <v>741</v>
      </c>
      <c r="G2936" t="s">
        <v>474</v>
      </c>
      <c r="H2936" t="s">
        <v>470</v>
      </c>
      <c r="I2936" t="s">
        <v>475</v>
      </c>
      <c r="J2936">
        <v>7567</v>
      </c>
    </row>
    <row r="2937" spans="1:10">
      <c r="A2937" s="90" t="s">
        <v>51</v>
      </c>
      <c r="B2937" s="87">
        <v>45813</v>
      </c>
      <c r="C2937" t="s">
        <v>3633</v>
      </c>
      <c r="D2937" t="s">
        <v>2688</v>
      </c>
      <c r="E2937" t="s">
        <v>1667</v>
      </c>
      <c r="F2937" t="s">
        <v>706</v>
      </c>
      <c r="G2937" t="s">
        <v>180</v>
      </c>
      <c r="I2937" t="s">
        <v>475</v>
      </c>
      <c r="J2937">
        <v>3303.92</v>
      </c>
    </row>
    <row r="2938" spans="1:10">
      <c r="A2938" s="90" t="s">
        <v>51</v>
      </c>
      <c r="B2938" s="87">
        <v>45813</v>
      </c>
      <c r="C2938" t="s">
        <v>4294</v>
      </c>
      <c r="D2938" t="s">
        <v>2688</v>
      </c>
      <c r="E2938" t="s">
        <v>4041</v>
      </c>
      <c r="F2938" t="s">
        <v>741</v>
      </c>
      <c r="G2938" t="s">
        <v>71</v>
      </c>
      <c r="H2938" t="s">
        <v>470</v>
      </c>
      <c r="I2938" t="s">
        <v>482</v>
      </c>
      <c r="J2938">
        <v>3000</v>
      </c>
    </row>
    <row r="2939" spans="1:10">
      <c r="A2939" s="90" t="s">
        <v>51</v>
      </c>
      <c r="B2939" s="87">
        <v>45813</v>
      </c>
      <c r="C2939" t="s">
        <v>4295</v>
      </c>
      <c r="D2939" t="s">
        <v>2688</v>
      </c>
      <c r="E2939" t="s">
        <v>4296</v>
      </c>
      <c r="F2939" t="s">
        <v>741</v>
      </c>
      <c r="G2939" t="s">
        <v>3869</v>
      </c>
      <c r="H2939" t="s">
        <v>2887</v>
      </c>
      <c r="I2939" t="s">
        <v>540</v>
      </c>
      <c r="J2939">
        <v>150000</v>
      </c>
    </row>
    <row r="2940" spans="1:10">
      <c r="A2940" s="90" t="s">
        <v>51</v>
      </c>
      <c r="B2940" s="87">
        <v>45813</v>
      </c>
      <c r="C2940" t="s">
        <v>4297</v>
      </c>
      <c r="D2940" t="s">
        <v>2688</v>
      </c>
      <c r="E2940" t="s">
        <v>4284</v>
      </c>
      <c r="F2940" t="s">
        <v>4285</v>
      </c>
      <c r="G2940" t="s">
        <v>2125</v>
      </c>
      <c r="H2940" t="s">
        <v>470</v>
      </c>
      <c r="I2940" t="s">
        <v>487</v>
      </c>
      <c r="J2940">
        <v>6404.8</v>
      </c>
    </row>
    <row r="2941" spans="1:10">
      <c r="A2941" s="90" t="s">
        <v>51</v>
      </c>
      <c r="B2941" s="87">
        <v>45813</v>
      </c>
      <c r="C2941" t="s">
        <v>2275</v>
      </c>
      <c r="D2941" t="s">
        <v>2688</v>
      </c>
      <c r="E2941" t="s">
        <v>477</v>
      </c>
      <c r="F2941" t="s">
        <v>741</v>
      </c>
      <c r="G2941" t="s">
        <v>74</v>
      </c>
      <c r="H2941" t="s">
        <v>470</v>
      </c>
      <c r="I2941" t="s">
        <v>471</v>
      </c>
      <c r="J2941">
        <v>10</v>
      </c>
    </row>
    <row r="2942" spans="1:10">
      <c r="A2942" s="90" t="s">
        <v>51</v>
      </c>
      <c r="B2942" s="87">
        <v>45813</v>
      </c>
      <c r="C2942" t="s">
        <v>511</v>
      </c>
      <c r="D2942" t="s">
        <v>2688</v>
      </c>
      <c r="E2942" t="s">
        <v>512</v>
      </c>
      <c r="F2942" t="s">
        <v>741</v>
      </c>
      <c r="G2942" t="s">
        <v>474</v>
      </c>
      <c r="H2942" t="s">
        <v>470</v>
      </c>
      <c r="I2942" t="s">
        <v>475</v>
      </c>
      <c r="J2942">
        <v>9565</v>
      </c>
    </row>
    <row r="2943" spans="1:10">
      <c r="A2943" s="90" t="s">
        <v>51</v>
      </c>
      <c r="B2943" s="87">
        <v>45813</v>
      </c>
      <c r="C2943" t="s">
        <v>511</v>
      </c>
      <c r="D2943" t="s">
        <v>2688</v>
      </c>
      <c r="E2943" t="s">
        <v>512</v>
      </c>
      <c r="F2943" t="s">
        <v>741</v>
      </c>
      <c r="G2943" t="s">
        <v>474</v>
      </c>
      <c r="H2943" t="s">
        <v>470</v>
      </c>
      <c r="I2943" t="s">
        <v>475</v>
      </c>
      <c r="J2943">
        <v>16185.55</v>
      </c>
    </row>
    <row r="2944" spans="1:10">
      <c r="A2944" s="90" t="s">
        <v>51</v>
      </c>
      <c r="B2944" s="87">
        <v>45813</v>
      </c>
      <c r="C2944" t="s">
        <v>4298</v>
      </c>
      <c r="D2944" t="s">
        <v>2688</v>
      </c>
      <c r="E2944" t="s">
        <v>4284</v>
      </c>
      <c r="F2944" t="s">
        <v>4285</v>
      </c>
      <c r="G2944" t="s">
        <v>2125</v>
      </c>
      <c r="H2944" t="s">
        <v>470</v>
      </c>
      <c r="I2944" t="s">
        <v>487</v>
      </c>
      <c r="J2944">
        <v>2594.4</v>
      </c>
    </row>
    <row r="2945" spans="1:10">
      <c r="A2945" s="90" t="s">
        <v>51</v>
      </c>
      <c r="B2945" s="87">
        <v>45813</v>
      </c>
      <c r="C2945" t="s">
        <v>511</v>
      </c>
      <c r="D2945" t="s">
        <v>2688</v>
      </c>
      <c r="E2945" t="s">
        <v>512</v>
      </c>
      <c r="F2945" t="s">
        <v>741</v>
      </c>
      <c r="G2945" t="s">
        <v>474</v>
      </c>
      <c r="H2945" t="s">
        <v>470</v>
      </c>
      <c r="I2945" t="s">
        <v>475</v>
      </c>
      <c r="J2945">
        <v>162888.62</v>
      </c>
    </row>
    <row r="2946" spans="1:10">
      <c r="A2946" s="90" t="s">
        <v>51</v>
      </c>
      <c r="B2946" s="87">
        <v>45813</v>
      </c>
      <c r="C2946" t="s">
        <v>4299</v>
      </c>
      <c r="D2946" t="s">
        <v>2688</v>
      </c>
      <c r="E2946" t="s">
        <v>3949</v>
      </c>
      <c r="F2946" t="s">
        <v>706</v>
      </c>
      <c r="G2946" t="s">
        <v>65</v>
      </c>
      <c r="H2946" t="s">
        <v>2613</v>
      </c>
      <c r="I2946" t="s">
        <v>796</v>
      </c>
      <c r="J2946">
        <v>179.9</v>
      </c>
    </row>
    <row r="2947" spans="1:10">
      <c r="A2947" s="90" t="s">
        <v>51</v>
      </c>
      <c r="B2947" s="87">
        <v>45814</v>
      </c>
      <c r="C2947" t="s">
        <v>4300</v>
      </c>
      <c r="D2947" t="s">
        <v>2688</v>
      </c>
      <c r="E2947" t="s">
        <v>4130</v>
      </c>
      <c r="F2947" t="s">
        <v>164</v>
      </c>
      <c r="G2947" t="s">
        <v>2494</v>
      </c>
      <c r="H2947" t="s">
        <v>470</v>
      </c>
      <c r="I2947" t="s">
        <v>796</v>
      </c>
      <c r="J2947">
        <v>1489.14</v>
      </c>
    </row>
    <row r="2948" spans="1:10">
      <c r="A2948" s="90" t="s">
        <v>51</v>
      </c>
      <c r="B2948" s="87">
        <v>45814</v>
      </c>
      <c r="C2948" t="s">
        <v>4301</v>
      </c>
      <c r="D2948" t="s">
        <v>2688</v>
      </c>
      <c r="E2948" t="s">
        <v>3968</v>
      </c>
      <c r="F2948" t="s">
        <v>1740</v>
      </c>
      <c r="G2948" t="s">
        <v>2494</v>
      </c>
      <c r="H2948" t="s">
        <v>470</v>
      </c>
      <c r="I2948" t="s">
        <v>796</v>
      </c>
      <c r="J2948">
        <v>1033.8599999999999</v>
      </c>
    </row>
    <row r="2949" spans="1:10">
      <c r="A2949" s="90" t="s">
        <v>51</v>
      </c>
      <c r="B2949" s="87">
        <v>45814</v>
      </c>
      <c r="C2949" t="s">
        <v>4302</v>
      </c>
      <c r="D2949" t="s">
        <v>2688</v>
      </c>
      <c r="E2949" t="s">
        <v>4130</v>
      </c>
      <c r="F2949" t="s">
        <v>164</v>
      </c>
      <c r="G2949" t="s">
        <v>2494</v>
      </c>
      <c r="H2949" t="s">
        <v>470</v>
      </c>
      <c r="I2949" t="s">
        <v>796</v>
      </c>
      <c r="J2949">
        <v>25898.080000000002</v>
      </c>
    </row>
    <row r="2950" spans="1:10">
      <c r="A2950" s="90" t="s">
        <v>51</v>
      </c>
      <c r="B2950" s="87">
        <v>45814</v>
      </c>
      <c r="C2950" t="s">
        <v>4303</v>
      </c>
      <c r="D2950" t="s">
        <v>2688</v>
      </c>
      <c r="E2950" t="s">
        <v>3968</v>
      </c>
      <c r="F2950" t="s">
        <v>1740</v>
      </c>
      <c r="G2950" t="s">
        <v>2494</v>
      </c>
      <c r="H2950" t="s">
        <v>470</v>
      </c>
      <c r="I2950" t="s">
        <v>796</v>
      </c>
      <c r="J2950">
        <v>59.45</v>
      </c>
    </row>
    <row r="2951" spans="1:10">
      <c r="A2951" s="90" t="s">
        <v>51</v>
      </c>
      <c r="B2951" s="87">
        <v>45814</v>
      </c>
      <c r="C2951" t="s">
        <v>4304</v>
      </c>
      <c r="D2951" t="s">
        <v>2688</v>
      </c>
      <c r="E2951" t="s">
        <v>3960</v>
      </c>
      <c r="F2951" t="s">
        <v>172</v>
      </c>
      <c r="G2951" t="s">
        <v>2494</v>
      </c>
      <c r="H2951" t="s">
        <v>470</v>
      </c>
      <c r="I2951" t="s">
        <v>796</v>
      </c>
      <c r="J2951">
        <v>1408.64</v>
      </c>
    </row>
    <row r="2952" spans="1:10">
      <c r="A2952" s="90" t="s">
        <v>51</v>
      </c>
      <c r="B2952" s="87">
        <v>45814</v>
      </c>
      <c r="C2952" t="s">
        <v>4305</v>
      </c>
      <c r="D2952" t="s">
        <v>2688</v>
      </c>
      <c r="E2952" t="s">
        <v>3960</v>
      </c>
      <c r="F2952" t="s">
        <v>172</v>
      </c>
      <c r="G2952" t="s">
        <v>2494</v>
      </c>
      <c r="H2952" t="s">
        <v>470</v>
      </c>
      <c r="I2952" t="s">
        <v>796</v>
      </c>
      <c r="J2952">
        <v>939.09</v>
      </c>
    </row>
    <row r="2953" spans="1:10">
      <c r="A2953" s="90" t="s">
        <v>51</v>
      </c>
      <c r="B2953" s="87">
        <v>45814</v>
      </c>
      <c r="C2953" t="s">
        <v>511</v>
      </c>
      <c r="D2953" t="s">
        <v>2688</v>
      </c>
      <c r="E2953" t="s">
        <v>512</v>
      </c>
      <c r="F2953" t="s">
        <v>741</v>
      </c>
      <c r="G2953" t="s">
        <v>474</v>
      </c>
      <c r="H2953" t="s">
        <v>470</v>
      </c>
      <c r="I2953" t="s">
        <v>475</v>
      </c>
      <c r="J2953">
        <v>97503.26</v>
      </c>
    </row>
    <row r="2954" spans="1:10">
      <c r="A2954" s="90" t="s">
        <v>51</v>
      </c>
      <c r="B2954" s="87">
        <v>45814</v>
      </c>
      <c r="C2954" t="s">
        <v>4306</v>
      </c>
      <c r="D2954" t="s">
        <v>2688</v>
      </c>
      <c r="E2954" t="s">
        <v>4307</v>
      </c>
      <c r="F2954" t="s">
        <v>4308</v>
      </c>
      <c r="G2954" t="s">
        <v>2112</v>
      </c>
      <c r="H2954" t="s">
        <v>470</v>
      </c>
      <c r="I2954" t="s">
        <v>540</v>
      </c>
      <c r="J2954">
        <v>66666.67</v>
      </c>
    </row>
    <row r="2955" spans="1:10">
      <c r="A2955" s="90" t="s">
        <v>51</v>
      </c>
      <c r="B2955" s="87">
        <v>45814</v>
      </c>
      <c r="C2955" t="s">
        <v>4306</v>
      </c>
      <c r="D2955" t="s">
        <v>2688</v>
      </c>
      <c r="E2955" t="s">
        <v>4307</v>
      </c>
      <c r="F2955" t="s">
        <v>4308</v>
      </c>
      <c r="G2955" t="s">
        <v>2112</v>
      </c>
      <c r="H2955" t="s">
        <v>470</v>
      </c>
      <c r="I2955" t="s">
        <v>540</v>
      </c>
      <c r="J2955">
        <v>8.33</v>
      </c>
    </row>
    <row r="2956" spans="1:10">
      <c r="A2956" s="90" t="s">
        <v>51</v>
      </c>
      <c r="B2956" s="87">
        <v>45817</v>
      </c>
      <c r="C2956" t="s">
        <v>4309</v>
      </c>
      <c r="D2956" t="s">
        <v>2688</v>
      </c>
      <c r="E2956" t="s">
        <v>4310</v>
      </c>
      <c r="F2956" t="s">
        <v>4311</v>
      </c>
      <c r="G2956" t="s">
        <v>2125</v>
      </c>
      <c r="H2956" t="s">
        <v>470</v>
      </c>
      <c r="I2956" t="s">
        <v>487</v>
      </c>
      <c r="J2956">
        <v>12084.8</v>
      </c>
    </row>
    <row r="2957" spans="1:10">
      <c r="A2957" s="90" t="s">
        <v>51</v>
      </c>
      <c r="B2957" s="87">
        <v>45817</v>
      </c>
      <c r="C2957" t="s">
        <v>4312</v>
      </c>
      <c r="D2957" t="s">
        <v>2688</v>
      </c>
      <c r="E2957" t="s">
        <v>4273</v>
      </c>
      <c r="F2957" t="s">
        <v>4293</v>
      </c>
      <c r="G2957" t="s">
        <v>2125</v>
      </c>
      <c r="H2957" t="s">
        <v>470</v>
      </c>
      <c r="I2957" t="s">
        <v>487</v>
      </c>
      <c r="J2957">
        <v>12360.2</v>
      </c>
    </row>
    <row r="2958" spans="1:10">
      <c r="A2958" s="90" t="s">
        <v>51</v>
      </c>
      <c r="B2958" s="87">
        <v>45817</v>
      </c>
      <c r="C2958" t="s">
        <v>4313</v>
      </c>
      <c r="D2958" t="s">
        <v>2688</v>
      </c>
      <c r="E2958" t="s">
        <v>4041</v>
      </c>
      <c r="F2958" t="s">
        <v>741</v>
      </c>
      <c r="G2958" t="s">
        <v>71</v>
      </c>
      <c r="H2958" t="s">
        <v>470</v>
      </c>
      <c r="I2958" t="s">
        <v>482</v>
      </c>
      <c r="J2958">
        <v>3000</v>
      </c>
    </row>
    <row r="2959" spans="1:10">
      <c r="A2959" s="90" t="s">
        <v>51</v>
      </c>
      <c r="B2959" s="87">
        <v>45817</v>
      </c>
      <c r="C2959" t="s">
        <v>4314</v>
      </c>
      <c r="D2959" t="s">
        <v>2688</v>
      </c>
      <c r="E2959" t="s">
        <v>4310</v>
      </c>
      <c r="F2959" t="s">
        <v>4311</v>
      </c>
      <c r="G2959" t="s">
        <v>2125</v>
      </c>
      <c r="H2959" t="s">
        <v>470</v>
      </c>
      <c r="I2959" t="s">
        <v>487</v>
      </c>
      <c r="J2959">
        <v>3348.8</v>
      </c>
    </row>
    <row r="2960" spans="1:10">
      <c r="A2960" s="90" t="s">
        <v>51</v>
      </c>
      <c r="B2960" s="87">
        <v>45817</v>
      </c>
      <c r="C2960" t="s">
        <v>4315</v>
      </c>
      <c r="D2960" t="s">
        <v>2688</v>
      </c>
      <c r="E2960" t="s">
        <v>4273</v>
      </c>
      <c r="F2960" t="s">
        <v>4293</v>
      </c>
      <c r="G2960" t="s">
        <v>2125</v>
      </c>
      <c r="H2960" t="s">
        <v>470</v>
      </c>
      <c r="I2960" t="s">
        <v>487</v>
      </c>
      <c r="J2960">
        <v>577.79</v>
      </c>
    </row>
    <row r="2961" spans="1:10">
      <c r="A2961" s="90" t="s">
        <v>51</v>
      </c>
      <c r="B2961" s="87">
        <v>45817</v>
      </c>
      <c r="C2961" t="s">
        <v>4316</v>
      </c>
      <c r="D2961" t="s">
        <v>2688</v>
      </c>
      <c r="E2961" t="s">
        <v>4273</v>
      </c>
      <c r="F2961" t="s">
        <v>4293</v>
      </c>
      <c r="G2961" t="s">
        <v>2125</v>
      </c>
      <c r="H2961" t="s">
        <v>470</v>
      </c>
      <c r="I2961" t="s">
        <v>487</v>
      </c>
      <c r="J2961">
        <v>6732</v>
      </c>
    </row>
    <row r="2962" spans="1:10">
      <c r="A2962" s="90" t="s">
        <v>51</v>
      </c>
      <c r="B2962" s="87">
        <v>45817</v>
      </c>
      <c r="C2962" t="s">
        <v>4317</v>
      </c>
      <c r="D2962" t="s">
        <v>2688</v>
      </c>
      <c r="E2962" t="s">
        <v>4273</v>
      </c>
      <c r="F2962" t="s">
        <v>4293</v>
      </c>
      <c r="G2962" t="s">
        <v>2125</v>
      </c>
      <c r="H2962" t="s">
        <v>470</v>
      </c>
      <c r="I2962" t="s">
        <v>487</v>
      </c>
      <c r="J2962">
        <v>3939.81</v>
      </c>
    </row>
    <row r="2963" spans="1:10">
      <c r="A2963" s="90" t="s">
        <v>51</v>
      </c>
      <c r="B2963" s="87">
        <v>45817</v>
      </c>
      <c r="C2963" t="s">
        <v>511</v>
      </c>
      <c r="D2963" t="s">
        <v>2688</v>
      </c>
      <c r="E2963" t="s">
        <v>512</v>
      </c>
      <c r="F2963" t="s">
        <v>741</v>
      </c>
      <c r="G2963" t="s">
        <v>474</v>
      </c>
      <c r="H2963" t="s">
        <v>470</v>
      </c>
      <c r="I2963" t="s">
        <v>475</v>
      </c>
      <c r="J2963">
        <v>27444.99</v>
      </c>
    </row>
    <row r="2964" spans="1:10">
      <c r="A2964" s="90" t="s">
        <v>51</v>
      </c>
      <c r="B2964" s="87">
        <v>45818</v>
      </c>
      <c r="C2964" t="s">
        <v>2275</v>
      </c>
      <c r="D2964" t="s">
        <v>2688</v>
      </c>
      <c r="E2964" t="s">
        <v>477</v>
      </c>
      <c r="F2964" t="s">
        <v>741</v>
      </c>
      <c r="G2964" t="s">
        <v>74</v>
      </c>
      <c r="H2964" t="s">
        <v>470</v>
      </c>
      <c r="I2964" t="s">
        <v>471</v>
      </c>
      <c r="J2964">
        <v>95</v>
      </c>
    </row>
    <row r="2965" spans="1:10">
      <c r="A2965" s="90" t="s">
        <v>51</v>
      </c>
      <c r="B2965" s="87">
        <v>45818</v>
      </c>
      <c r="C2965" t="s">
        <v>2294</v>
      </c>
      <c r="D2965" t="s">
        <v>2688</v>
      </c>
      <c r="E2965" t="s">
        <v>477</v>
      </c>
      <c r="F2965" t="s">
        <v>741</v>
      </c>
      <c r="G2965" t="s">
        <v>2295</v>
      </c>
      <c r="H2965" t="s">
        <v>470</v>
      </c>
      <c r="I2965" t="s">
        <v>471</v>
      </c>
      <c r="J2965">
        <v>709.65</v>
      </c>
    </row>
    <row r="2966" spans="1:10">
      <c r="A2966" s="90" t="s">
        <v>51</v>
      </c>
      <c r="B2966" s="87">
        <v>45818</v>
      </c>
      <c r="C2966" t="s">
        <v>4222</v>
      </c>
      <c r="D2966" t="s">
        <v>2688</v>
      </c>
      <c r="E2966" t="s">
        <v>477</v>
      </c>
      <c r="F2966" t="s">
        <v>1449</v>
      </c>
      <c r="G2966" t="s">
        <v>69</v>
      </c>
      <c r="H2966" t="s">
        <v>470</v>
      </c>
      <c r="I2966" t="s">
        <v>471</v>
      </c>
      <c r="J2966">
        <v>134.78</v>
      </c>
    </row>
    <row r="2967" spans="1:10">
      <c r="A2967" s="90" t="s">
        <v>51</v>
      </c>
      <c r="B2967" s="87">
        <v>45818</v>
      </c>
      <c r="C2967" t="s">
        <v>511</v>
      </c>
      <c r="D2967" t="s">
        <v>2688</v>
      </c>
      <c r="E2967" t="s">
        <v>512</v>
      </c>
      <c r="F2967" t="s">
        <v>741</v>
      </c>
      <c r="G2967" t="s">
        <v>474</v>
      </c>
      <c r="H2967" t="s">
        <v>470</v>
      </c>
      <c r="I2967" t="s">
        <v>475</v>
      </c>
      <c r="J2967">
        <v>939.43</v>
      </c>
    </row>
    <row r="2968" spans="1:10">
      <c r="A2968" s="90" t="s">
        <v>51</v>
      </c>
      <c r="B2968" s="87">
        <v>45819</v>
      </c>
      <c r="C2968" t="s">
        <v>4318</v>
      </c>
      <c r="D2968" t="s">
        <v>2688</v>
      </c>
      <c r="E2968" t="s">
        <v>4310</v>
      </c>
      <c r="F2968" t="s">
        <v>4311</v>
      </c>
      <c r="G2968" t="s">
        <v>2125</v>
      </c>
      <c r="H2968" t="s">
        <v>470</v>
      </c>
      <c r="I2968" t="s">
        <v>475</v>
      </c>
      <c r="J2968">
        <v>1000</v>
      </c>
    </row>
    <row r="2969" spans="1:10">
      <c r="A2969" s="90" t="s">
        <v>51</v>
      </c>
      <c r="B2969" s="87">
        <v>45819</v>
      </c>
      <c r="C2969" t="s">
        <v>4319</v>
      </c>
      <c r="D2969" t="s">
        <v>2688</v>
      </c>
      <c r="E2969" t="s">
        <v>1667</v>
      </c>
      <c r="F2969" t="s">
        <v>741</v>
      </c>
      <c r="G2969" t="s">
        <v>2115</v>
      </c>
      <c r="H2969" t="s">
        <v>470</v>
      </c>
      <c r="I2969" t="s">
        <v>475</v>
      </c>
      <c r="J2969">
        <v>364.5</v>
      </c>
    </row>
    <row r="2970" spans="1:10">
      <c r="A2970" s="90" t="s">
        <v>51</v>
      </c>
      <c r="B2970" s="87">
        <v>45819</v>
      </c>
      <c r="C2970" t="s">
        <v>511</v>
      </c>
      <c r="D2970" t="s">
        <v>2688</v>
      </c>
      <c r="E2970" t="s">
        <v>512</v>
      </c>
      <c r="F2970" t="s">
        <v>741</v>
      </c>
      <c r="G2970" t="s">
        <v>474</v>
      </c>
      <c r="H2970" t="s">
        <v>470</v>
      </c>
      <c r="I2970" t="s">
        <v>475</v>
      </c>
      <c r="J2970">
        <v>1364.5</v>
      </c>
    </row>
    <row r="2971" spans="1:10">
      <c r="A2971" s="90" t="s">
        <v>51</v>
      </c>
      <c r="B2971" s="87">
        <v>45821</v>
      </c>
      <c r="C2971" t="s">
        <v>4320</v>
      </c>
      <c r="D2971" t="s">
        <v>2688</v>
      </c>
      <c r="E2971" t="s">
        <v>4310</v>
      </c>
      <c r="F2971" t="s">
        <v>4321</v>
      </c>
      <c r="G2971" t="s">
        <v>2125</v>
      </c>
      <c r="H2971" t="s">
        <v>470</v>
      </c>
      <c r="I2971" t="s">
        <v>487</v>
      </c>
      <c r="J2971">
        <v>13641.6</v>
      </c>
    </row>
    <row r="2972" spans="1:10">
      <c r="A2972" s="90" t="s">
        <v>51</v>
      </c>
      <c r="B2972" s="87">
        <v>45821</v>
      </c>
      <c r="C2972" t="s">
        <v>2833</v>
      </c>
      <c r="D2972" t="s">
        <v>2688</v>
      </c>
      <c r="E2972" t="s">
        <v>3107</v>
      </c>
      <c r="F2972" t="s">
        <v>741</v>
      </c>
      <c r="G2972" t="s">
        <v>60</v>
      </c>
      <c r="H2972" t="s">
        <v>2678</v>
      </c>
      <c r="I2972" t="s">
        <v>796</v>
      </c>
      <c r="J2972">
        <v>56.18</v>
      </c>
    </row>
    <row r="2973" spans="1:10">
      <c r="A2973" s="90" t="s">
        <v>51</v>
      </c>
      <c r="B2973" s="87">
        <v>45821</v>
      </c>
      <c r="C2973" t="s">
        <v>511</v>
      </c>
      <c r="D2973" t="s">
        <v>2688</v>
      </c>
      <c r="E2973" t="s">
        <v>512</v>
      </c>
      <c r="F2973" t="s">
        <v>741</v>
      </c>
      <c r="G2973" t="s">
        <v>474</v>
      </c>
      <c r="H2973" t="s">
        <v>470</v>
      </c>
      <c r="I2973" t="s">
        <v>475</v>
      </c>
      <c r="J2973">
        <v>1056.18</v>
      </c>
    </row>
    <row r="2974" spans="1:10">
      <c r="A2974" s="90" t="s">
        <v>51</v>
      </c>
      <c r="B2974" s="87">
        <v>45824</v>
      </c>
      <c r="C2974" t="s">
        <v>4322</v>
      </c>
      <c r="D2974" t="s">
        <v>2688</v>
      </c>
      <c r="E2974" t="s">
        <v>477</v>
      </c>
      <c r="F2974" t="s">
        <v>3954</v>
      </c>
      <c r="G2974" t="s">
        <v>515</v>
      </c>
      <c r="H2974" t="s">
        <v>4323</v>
      </c>
      <c r="I2974" t="s">
        <v>471</v>
      </c>
      <c r="J2974">
        <v>54166.67</v>
      </c>
    </row>
    <row r="2975" spans="1:10">
      <c r="A2975" s="90" t="s">
        <v>51</v>
      </c>
      <c r="B2975" s="87">
        <v>45824</v>
      </c>
      <c r="C2975" t="s">
        <v>4322</v>
      </c>
      <c r="D2975" t="s">
        <v>2688</v>
      </c>
      <c r="E2975" t="s">
        <v>477</v>
      </c>
      <c r="F2975" t="s">
        <v>3954</v>
      </c>
      <c r="G2975" t="s">
        <v>69</v>
      </c>
      <c r="H2975" t="s">
        <v>4323</v>
      </c>
      <c r="I2975" t="s">
        <v>471</v>
      </c>
      <c r="J2975">
        <v>6699.87</v>
      </c>
    </row>
    <row r="2976" spans="1:10">
      <c r="A2976" s="90" t="s">
        <v>51</v>
      </c>
      <c r="B2976" s="87">
        <v>45824</v>
      </c>
      <c r="C2976" t="s">
        <v>511</v>
      </c>
      <c r="D2976" t="s">
        <v>2688</v>
      </c>
      <c r="E2976" t="s">
        <v>512</v>
      </c>
      <c r="F2976" t="s">
        <v>741</v>
      </c>
      <c r="G2976" t="s">
        <v>474</v>
      </c>
      <c r="H2976" t="s">
        <v>470</v>
      </c>
      <c r="I2976" t="s">
        <v>475</v>
      </c>
      <c r="J2976">
        <v>60866.54</v>
      </c>
    </row>
    <row r="2977" spans="1:10">
      <c r="A2977" s="90" t="s">
        <v>51</v>
      </c>
      <c r="B2977" s="87">
        <v>45825</v>
      </c>
      <c r="C2977" t="s">
        <v>4320</v>
      </c>
      <c r="D2977" t="s">
        <v>2688</v>
      </c>
      <c r="E2977" t="s">
        <v>4310</v>
      </c>
      <c r="F2977" t="s">
        <v>4321</v>
      </c>
      <c r="G2977" t="s">
        <v>2125</v>
      </c>
      <c r="H2977" t="s">
        <v>470</v>
      </c>
      <c r="I2977" t="s">
        <v>487</v>
      </c>
      <c r="J2977">
        <v>7760</v>
      </c>
    </row>
    <row r="2978" spans="1:10">
      <c r="A2978" s="90" t="s">
        <v>51</v>
      </c>
      <c r="B2978" s="87">
        <v>45825</v>
      </c>
      <c r="C2978" t="s">
        <v>4324</v>
      </c>
      <c r="D2978" t="s">
        <v>2688</v>
      </c>
      <c r="E2978" t="s">
        <v>4310</v>
      </c>
      <c r="F2978" t="s">
        <v>4321</v>
      </c>
      <c r="G2978" t="s">
        <v>2125</v>
      </c>
      <c r="H2978" t="s">
        <v>470</v>
      </c>
      <c r="I2978" t="s">
        <v>487</v>
      </c>
      <c r="J2978">
        <v>4881.6000000000004</v>
      </c>
    </row>
    <row r="2979" spans="1:10">
      <c r="A2979" s="90" t="s">
        <v>51</v>
      </c>
      <c r="B2979" s="87">
        <v>45825</v>
      </c>
      <c r="C2979" t="s">
        <v>4325</v>
      </c>
      <c r="D2979" t="s">
        <v>2688</v>
      </c>
      <c r="E2979" t="s">
        <v>4041</v>
      </c>
      <c r="F2979" t="s">
        <v>741</v>
      </c>
      <c r="G2979" t="s">
        <v>71</v>
      </c>
      <c r="H2979" t="s">
        <v>470</v>
      </c>
      <c r="I2979" t="s">
        <v>482</v>
      </c>
      <c r="J2979">
        <v>3000</v>
      </c>
    </row>
    <row r="2980" spans="1:10">
      <c r="A2980" s="90" t="s">
        <v>51</v>
      </c>
      <c r="B2980" s="87">
        <v>45825</v>
      </c>
      <c r="C2980" t="s">
        <v>511</v>
      </c>
      <c r="D2980" t="s">
        <v>2688</v>
      </c>
      <c r="E2980" t="s">
        <v>512</v>
      </c>
      <c r="F2980" t="s">
        <v>741</v>
      </c>
      <c r="G2980" t="s">
        <v>474</v>
      </c>
      <c r="H2980" t="s">
        <v>470</v>
      </c>
      <c r="I2980" t="s">
        <v>475</v>
      </c>
      <c r="J2980">
        <v>15641.6</v>
      </c>
    </row>
    <row r="2981" spans="1:10">
      <c r="A2981" s="90" t="s">
        <v>51</v>
      </c>
      <c r="B2981" s="87">
        <v>45828</v>
      </c>
      <c r="C2981" t="s">
        <v>4326</v>
      </c>
      <c r="D2981" t="s">
        <v>2688</v>
      </c>
      <c r="E2981" t="s">
        <v>3968</v>
      </c>
      <c r="F2981" t="s">
        <v>1740</v>
      </c>
      <c r="G2981" t="s">
        <v>2381</v>
      </c>
      <c r="H2981" t="s">
        <v>470</v>
      </c>
      <c r="I2981" t="s">
        <v>796</v>
      </c>
      <c r="J2981">
        <v>76.42</v>
      </c>
    </row>
    <row r="2982" spans="1:10">
      <c r="A2982" s="90" t="s">
        <v>51</v>
      </c>
      <c r="B2982" s="87">
        <v>45828</v>
      </c>
      <c r="C2982" t="s">
        <v>4326</v>
      </c>
      <c r="D2982" t="s">
        <v>2688</v>
      </c>
      <c r="E2982" t="s">
        <v>3968</v>
      </c>
      <c r="F2982" t="s">
        <v>1740</v>
      </c>
      <c r="G2982" t="s">
        <v>2381</v>
      </c>
      <c r="H2982" t="s">
        <v>470</v>
      </c>
      <c r="I2982" t="s">
        <v>796</v>
      </c>
      <c r="J2982">
        <v>0.01</v>
      </c>
    </row>
    <row r="2983" spans="1:10">
      <c r="A2983" s="90" t="s">
        <v>51</v>
      </c>
      <c r="B2983" s="87">
        <v>45828</v>
      </c>
      <c r="C2983" t="s">
        <v>4327</v>
      </c>
      <c r="D2983" t="s">
        <v>2688</v>
      </c>
      <c r="E2983" t="s">
        <v>3960</v>
      </c>
      <c r="F2983" t="s">
        <v>172</v>
      </c>
      <c r="G2983" t="s">
        <v>2381</v>
      </c>
      <c r="H2983" t="s">
        <v>470</v>
      </c>
      <c r="I2983" t="s">
        <v>796</v>
      </c>
      <c r="J2983">
        <v>133.1</v>
      </c>
    </row>
    <row r="2984" spans="1:10">
      <c r="A2984" s="90" t="s">
        <v>51</v>
      </c>
      <c r="B2984" s="87">
        <v>45828</v>
      </c>
      <c r="C2984" t="s">
        <v>511</v>
      </c>
      <c r="D2984" t="s">
        <v>2688</v>
      </c>
      <c r="E2984" t="s">
        <v>512</v>
      </c>
      <c r="F2984" t="s">
        <v>741</v>
      </c>
      <c r="G2984" t="s">
        <v>474</v>
      </c>
      <c r="H2984" t="s">
        <v>470</v>
      </c>
      <c r="I2984" t="s">
        <v>475</v>
      </c>
      <c r="J2984">
        <v>209.53</v>
      </c>
    </row>
    <row r="2985" spans="1:10">
      <c r="A2985" s="90" t="s">
        <v>51</v>
      </c>
      <c r="B2985" s="87">
        <v>45828</v>
      </c>
      <c r="C2985" t="s">
        <v>4328</v>
      </c>
      <c r="D2985" t="s">
        <v>2688</v>
      </c>
      <c r="E2985" t="s">
        <v>3960</v>
      </c>
      <c r="F2985" t="s">
        <v>172</v>
      </c>
      <c r="G2985" t="s">
        <v>2381</v>
      </c>
      <c r="H2985" t="s">
        <v>470</v>
      </c>
      <c r="I2985" t="s">
        <v>475</v>
      </c>
      <c r="J2985">
        <v>150.21</v>
      </c>
    </row>
    <row r="2986" spans="1:10">
      <c r="A2986" s="90" t="s">
        <v>51</v>
      </c>
      <c r="B2986" s="87">
        <v>45828</v>
      </c>
      <c r="C2986" t="s">
        <v>4329</v>
      </c>
      <c r="D2986" t="s">
        <v>2688</v>
      </c>
      <c r="E2986" t="s">
        <v>2318</v>
      </c>
      <c r="F2986" t="s">
        <v>706</v>
      </c>
      <c r="G2986" t="s">
        <v>64</v>
      </c>
      <c r="H2986" t="s">
        <v>2613</v>
      </c>
      <c r="I2986" t="s">
        <v>475</v>
      </c>
      <c r="J2986">
        <v>805.95</v>
      </c>
    </row>
    <row r="2987" spans="1:10">
      <c r="A2987" s="90" t="s">
        <v>51</v>
      </c>
      <c r="B2987" s="87">
        <v>45831</v>
      </c>
      <c r="C2987" t="s">
        <v>4330</v>
      </c>
      <c r="D2987" t="s">
        <v>2688</v>
      </c>
      <c r="E2987" t="s">
        <v>4331</v>
      </c>
      <c r="F2987" t="s">
        <v>4332</v>
      </c>
      <c r="G2987" t="s">
        <v>2125</v>
      </c>
      <c r="H2987" t="s">
        <v>470</v>
      </c>
      <c r="I2987" t="s">
        <v>487</v>
      </c>
      <c r="J2987">
        <v>5292</v>
      </c>
    </row>
    <row r="2988" spans="1:10">
      <c r="A2988" s="90" t="s">
        <v>51</v>
      </c>
      <c r="B2988" s="87">
        <v>45831</v>
      </c>
      <c r="C2988" t="s">
        <v>2275</v>
      </c>
      <c r="D2988" t="s">
        <v>2688</v>
      </c>
      <c r="E2988" t="s">
        <v>477</v>
      </c>
      <c r="F2988" t="s">
        <v>741</v>
      </c>
      <c r="G2988" t="s">
        <v>74</v>
      </c>
      <c r="H2988" t="s">
        <v>470</v>
      </c>
      <c r="I2988" t="s">
        <v>471</v>
      </c>
      <c r="J2988">
        <v>10</v>
      </c>
    </row>
    <row r="2989" spans="1:10">
      <c r="A2989" s="90" t="s">
        <v>51</v>
      </c>
      <c r="B2989" s="87">
        <v>45831</v>
      </c>
      <c r="C2989" t="s">
        <v>511</v>
      </c>
      <c r="D2989" t="s">
        <v>2688</v>
      </c>
      <c r="E2989" t="s">
        <v>512</v>
      </c>
      <c r="F2989" t="s">
        <v>741</v>
      </c>
      <c r="G2989" t="s">
        <v>474</v>
      </c>
      <c r="H2989" t="s">
        <v>470</v>
      </c>
      <c r="I2989" t="s">
        <v>475</v>
      </c>
      <c r="J2989">
        <v>5302</v>
      </c>
    </row>
    <row r="2990" spans="1:10">
      <c r="A2990" s="90" t="s">
        <v>51</v>
      </c>
      <c r="B2990" s="87">
        <v>45833</v>
      </c>
      <c r="C2990" t="s">
        <v>3961</v>
      </c>
      <c r="D2990" t="s">
        <v>2688</v>
      </c>
      <c r="E2990" t="s">
        <v>3962</v>
      </c>
      <c r="F2990" t="s">
        <v>4333</v>
      </c>
      <c r="G2990" t="s">
        <v>63</v>
      </c>
      <c r="H2990" t="s">
        <v>2678</v>
      </c>
      <c r="I2990" t="s">
        <v>475</v>
      </c>
      <c r="J2990">
        <v>84</v>
      </c>
    </row>
    <row r="2991" spans="1:10">
      <c r="A2991" s="90" t="s">
        <v>51</v>
      </c>
      <c r="B2991" s="87">
        <v>45833</v>
      </c>
      <c r="C2991" t="s">
        <v>4325</v>
      </c>
      <c r="D2991" t="s">
        <v>2688</v>
      </c>
      <c r="E2991" t="s">
        <v>4041</v>
      </c>
      <c r="F2991" t="s">
        <v>741</v>
      </c>
      <c r="G2991" t="s">
        <v>71</v>
      </c>
      <c r="H2991" t="s">
        <v>470</v>
      </c>
      <c r="I2991" t="s">
        <v>482</v>
      </c>
      <c r="J2991">
        <v>1620</v>
      </c>
    </row>
    <row r="2992" spans="1:10">
      <c r="A2992" s="90" t="s">
        <v>51</v>
      </c>
      <c r="B2992" s="87">
        <v>45833</v>
      </c>
      <c r="C2992" t="s">
        <v>2479</v>
      </c>
      <c r="D2992" t="s">
        <v>2688</v>
      </c>
      <c r="E2992" t="s">
        <v>477</v>
      </c>
      <c r="F2992" t="s">
        <v>741</v>
      </c>
      <c r="G2992" t="s">
        <v>74</v>
      </c>
      <c r="H2992" t="s">
        <v>470</v>
      </c>
      <c r="I2992" t="s">
        <v>471</v>
      </c>
      <c r="J2992">
        <v>10</v>
      </c>
    </row>
    <row r="2993" spans="1:10">
      <c r="A2993" s="90" t="s">
        <v>51</v>
      </c>
      <c r="B2993" s="87">
        <v>45833</v>
      </c>
      <c r="C2993" t="s">
        <v>511</v>
      </c>
      <c r="D2993" t="s">
        <v>2688</v>
      </c>
      <c r="E2993" t="s">
        <v>512</v>
      </c>
      <c r="F2993" t="s">
        <v>741</v>
      </c>
      <c r="G2993" t="s">
        <v>474</v>
      </c>
      <c r="H2993" t="s">
        <v>470</v>
      </c>
      <c r="I2993" t="s">
        <v>475</v>
      </c>
      <c r="J2993">
        <v>11714</v>
      </c>
    </row>
    <row r="2994" spans="1:10">
      <c r="A2994" s="90" t="s">
        <v>51</v>
      </c>
      <c r="B2994" s="87">
        <v>45833</v>
      </c>
      <c r="C2994" t="s">
        <v>4334</v>
      </c>
      <c r="D2994" t="s">
        <v>2688</v>
      </c>
      <c r="E2994" t="s">
        <v>4335</v>
      </c>
      <c r="F2994" t="s">
        <v>4336</v>
      </c>
      <c r="G2994" t="s">
        <v>2125</v>
      </c>
      <c r="H2994" t="s">
        <v>470</v>
      </c>
      <c r="I2994" t="s">
        <v>487</v>
      </c>
      <c r="J2994">
        <v>8400</v>
      </c>
    </row>
    <row r="2995" spans="1:10">
      <c r="A2995" s="90" t="s">
        <v>51</v>
      </c>
      <c r="B2995" s="87">
        <v>45833</v>
      </c>
      <c r="C2995" t="s">
        <v>4337</v>
      </c>
      <c r="D2995" t="s">
        <v>2688</v>
      </c>
      <c r="E2995" t="s">
        <v>4335</v>
      </c>
      <c r="F2995" t="s">
        <v>4336</v>
      </c>
      <c r="G2995" t="s">
        <v>2125</v>
      </c>
      <c r="H2995" t="s">
        <v>470</v>
      </c>
      <c r="I2995" t="s">
        <v>487</v>
      </c>
      <c r="J2995">
        <v>1600</v>
      </c>
    </row>
    <row r="2996" spans="1:10">
      <c r="A2996" s="90" t="s">
        <v>51</v>
      </c>
      <c r="B2996" s="87">
        <v>45834</v>
      </c>
      <c r="C2996" t="s">
        <v>4338</v>
      </c>
      <c r="D2996" t="s">
        <v>2688</v>
      </c>
      <c r="E2996" t="s">
        <v>4331</v>
      </c>
      <c r="F2996" t="s">
        <v>4332</v>
      </c>
      <c r="G2996" t="s">
        <v>2125</v>
      </c>
      <c r="H2996" t="s">
        <v>470</v>
      </c>
      <c r="I2996" t="s">
        <v>487</v>
      </c>
      <c r="J2996">
        <v>3792.8</v>
      </c>
    </row>
    <row r="2997" spans="1:10">
      <c r="A2997" s="90" t="s">
        <v>51</v>
      </c>
      <c r="B2997" s="87">
        <v>45834</v>
      </c>
      <c r="C2997" t="s">
        <v>4339</v>
      </c>
      <c r="D2997" t="s">
        <v>2688</v>
      </c>
      <c r="E2997" t="s">
        <v>4331</v>
      </c>
      <c r="F2997" t="s">
        <v>4332</v>
      </c>
      <c r="G2997" t="s">
        <v>2125</v>
      </c>
      <c r="H2997" t="s">
        <v>470</v>
      </c>
      <c r="I2997" t="s">
        <v>487</v>
      </c>
      <c r="J2997">
        <v>1524.8</v>
      </c>
    </row>
    <row r="2998" spans="1:10">
      <c r="A2998" s="90" t="s">
        <v>51</v>
      </c>
      <c r="B2998" s="87">
        <v>45834</v>
      </c>
      <c r="C2998" t="s">
        <v>4340</v>
      </c>
      <c r="D2998" t="s">
        <v>2688</v>
      </c>
      <c r="E2998" t="s">
        <v>4341</v>
      </c>
      <c r="F2998" t="s">
        <v>4342</v>
      </c>
      <c r="G2998" t="s">
        <v>57</v>
      </c>
      <c r="H2998" t="s">
        <v>2123</v>
      </c>
      <c r="I2998" t="s">
        <v>487</v>
      </c>
      <c r="J2998">
        <v>987.75</v>
      </c>
    </row>
    <row r="2999" spans="1:10">
      <c r="A2999" s="90" t="s">
        <v>51</v>
      </c>
      <c r="B2999" s="87">
        <v>45834</v>
      </c>
      <c r="C2999" t="s">
        <v>2275</v>
      </c>
      <c r="D2999" t="s">
        <v>2688</v>
      </c>
      <c r="E2999" t="s">
        <v>477</v>
      </c>
      <c r="F2999" t="s">
        <v>741</v>
      </c>
      <c r="G2999" t="s">
        <v>74</v>
      </c>
      <c r="H2999" t="s">
        <v>470</v>
      </c>
      <c r="I2999" t="s">
        <v>471</v>
      </c>
      <c r="J2999">
        <v>13</v>
      </c>
    </row>
    <row r="3000" spans="1:10">
      <c r="A3000" s="90" t="s">
        <v>51</v>
      </c>
      <c r="B3000" s="87">
        <v>45834</v>
      </c>
      <c r="C3000" t="s">
        <v>2479</v>
      </c>
      <c r="D3000" t="s">
        <v>2688</v>
      </c>
      <c r="E3000" t="s">
        <v>477</v>
      </c>
      <c r="F3000" t="s">
        <v>741</v>
      </c>
      <c r="G3000" t="s">
        <v>74</v>
      </c>
      <c r="H3000" t="s">
        <v>470</v>
      </c>
      <c r="I3000" t="s">
        <v>471</v>
      </c>
      <c r="J3000">
        <v>10</v>
      </c>
    </row>
    <row r="3001" spans="1:10">
      <c r="A3001" s="90" t="s">
        <v>51</v>
      </c>
      <c r="B3001" s="87">
        <v>45834</v>
      </c>
      <c r="C3001" t="s">
        <v>511</v>
      </c>
      <c r="D3001" t="s">
        <v>2688</v>
      </c>
      <c r="E3001" t="s">
        <v>512</v>
      </c>
      <c r="F3001" t="s">
        <v>741</v>
      </c>
      <c r="G3001" t="s">
        <v>474</v>
      </c>
      <c r="H3001" t="s">
        <v>470</v>
      </c>
      <c r="I3001" t="s">
        <v>475</v>
      </c>
      <c r="J3001">
        <v>4803.55</v>
      </c>
    </row>
    <row r="3002" spans="1:10">
      <c r="A3002" s="90" t="s">
        <v>51</v>
      </c>
      <c r="B3002" s="87">
        <v>45835</v>
      </c>
      <c r="C3002" t="s">
        <v>4343</v>
      </c>
      <c r="D3002" t="s">
        <v>2688</v>
      </c>
      <c r="E3002" t="s">
        <v>2919</v>
      </c>
      <c r="F3002" t="s">
        <v>1657</v>
      </c>
      <c r="G3002" t="s">
        <v>2125</v>
      </c>
      <c r="H3002" t="s">
        <v>470</v>
      </c>
      <c r="I3002" t="s">
        <v>796</v>
      </c>
      <c r="J3002">
        <v>9362.6</v>
      </c>
    </row>
    <row r="3003" spans="1:10">
      <c r="A3003" s="90" t="s">
        <v>51</v>
      </c>
      <c r="B3003" s="87">
        <v>45835</v>
      </c>
      <c r="C3003" t="s">
        <v>4344</v>
      </c>
      <c r="D3003" t="s">
        <v>2688</v>
      </c>
      <c r="E3003" t="s">
        <v>2919</v>
      </c>
      <c r="F3003" t="s">
        <v>1663</v>
      </c>
      <c r="G3003" t="s">
        <v>2125</v>
      </c>
      <c r="H3003" t="s">
        <v>470</v>
      </c>
      <c r="I3003" t="s">
        <v>796</v>
      </c>
      <c r="J3003">
        <v>12942.8</v>
      </c>
    </row>
    <row r="3004" spans="1:10">
      <c r="A3004" s="90" t="s">
        <v>51</v>
      </c>
      <c r="B3004" s="87">
        <v>45835</v>
      </c>
      <c r="C3004" t="s">
        <v>4345</v>
      </c>
      <c r="D3004" t="s">
        <v>2688</v>
      </c>
      <c r="E3004" t="s">
        <v>2919</v>
      </c>
      <c r="F3004" t="s">
        <v>1711</v>
      </c>
      <c r="G3004" t="s">
        <v>2125</v>
      </c>
      <c r="H3004" t="s">
        <v>470</v>
      </c>
      <c r="I3004" t="s">
        <v>796</v>
      </c>
      <c r="J3004">
        <v>12521.6</v>
      </c>
    </row>
    <row r="3005" spans="1:10">
      <c r="A3005" s="90" t="s">
        <v>51</v>
      </c>
      <c r="B3005" s="87">
        <v>45835</v>
      </c>
      <c r="C3005" t="s">
        <v>4346</v>
      </c>
      <c r="D3005" t="s">
        <v>2688</v>
      </c>
      <c r="E3005" t="s">
        <v>1693</v>
      </c>
      <c r="F3005" t="s">
        <v>178</v>
      </c>
      <c r="G3005" t="s">
        <v>2112</v>
      </c>
      <c r="H3005" t="s">
        <v>470</v>
      </c>
      <c r="I3005" t="s">
        <v>540</v>
      </c>
      <c r="J3005">
        <v>200000</v>
      </c>
    </row>
    <row r="3006" spans="1:10">
      <c r="A3006" s="90" t="s">
        <v>51</v>
      </c>
      <c r="B3006" s="87">
        <v>45835</v>
      </c>
      <c r="C3006" t="s">
        <v>4347</v>
      </c>
      <c r="D3006" t="s">
        <v>2688</v>
      </c>
      <c r="E3006" t="s">
        <v>1667</v>
      </c>
      <c r="F3006" t="s">
        <v>741</v>
      </c>
      <c r="G3006" t="s">
        <v>72</v>
      </c>
      <c r="H3006" t="s">
        <v>470</v>
      </c>
      <c r="I3006" t="s">
        <v>475</v>
      </c>
      <c r="J3006">
        <v>1072.04</v>
      </c>
    </row>
    <row r="3007" spans="1:10">
      <c r="A3007" s="90" t="s">
        <v>51</v>
      </c>
      <c r="B3007" s="87">
        <v>45835</v>
      </c>
      <c r="C3007" t="s">
        <v>4347</v>
      </c>
      <c r="D3007" t="s">
        <v>2688</v>
      </c>
      <c r="E3007" t="s">
        <v>1667</v>
      </c>
      <c r="F3007" t="s">
        <v>741</v>
      </c>
      <c r="G3007" t="s">
        <v>58</v>
      </c>
      <c r="H3007" t="s">
        <v>470</v>
      </c>
      <c r="I3007" t="s">
        <v>475</v>
      </c>
      <c r="J3007">
        <v>3450.94</v>
      </c>
    </row>
    <row r="3008" spans="1:10">
      <c r="A3008" s="90" t="s">
        <v>51</v>
      </c>
      <c r="B3008" s="87">
        <v>45835</v>
      </c>
      <c r="C3008" t="s">
        <v>2275</v>
      </c>
      <c r="D3008" t="s">
        <v>2688</v>
      </c>
      <c r="E3008" t="s">
        <v>477</v>
      </c>
      <c r="F3008" t="s">
        <v>741</v>
      </c>
      <c r="G3008" t="s">
        <v>74</v>
      </c>
      <c r="H3008" t="s">
        <v>470</v>
      </c>
      <c r="I3008" t="s">
        <v>471</v>
      </c>
      <c r="J3008">
        <v>13</v>
      </c>
    </row>
    <row r="3009" spans="1:10">
      <c r="A3009" s="90" t="s">
        <v>51</v>
      </c>
      <c r="B3009" s="87">
        <v>45835</v>
      </c>
      <c r="C3009" t="s">
        <v>511</v>
      </c>
      <c r="D3009" t="s">
        <v>2688</v>
      </c>
      <c r="E3009" t="s">
        <v>512</v>
      </c>
      <c r="F3009" t="s">
        <v>741</v>
      </c>
      <c r="G3009" t="s">
        <v>474</v>
      </c>
      <c r="H3009" t="s">
        <v>470</v>
      </c>
      <c r="I3009" t="s">
        <v>475</v>
      </c>
      <c r="J3009">
        <v>194187.18</v>
      </c>
    </row>
    <row r="3010" spans="1:10">
      <c r="A3010" s="90" t="s">
        <v>51</v>
      </c>
      <c r="B3010" s="87">
        <v>45838</v>
      </c>
      <c r="C3010" t="s">
        <v>4348</v>
      </c>
      <c r="D3010" t="s">
        <v>2688</v>
      </c>
      <c r="E3010" t="s">
        <v>773</v>
      </c>
      <c r="F3010" t="s">
        <v>4349</v>
      </c>
      <c r="G3010" t="s">
        <v>537</v>
      </c>
      <c r="H3010" t="s">
        <v>470</v>
      </c>
      <c r="I3010" t="s">
        <v>475</v>
      </c>
      <c r="J3010">
        <v>127728.54</v>
      </c>
    </row>
    <row r="3011" spans="1:10">
      <c r="A3011" s="90" t="s">
        <v>51</v>
      </c>
      <c r="B3011" s="87">
        <v>45838</v>
      </c>
      <c r="C3011" t="s">
        <v>4350</v>
      </c>
      <c r="D3011" t="s">
        <v>2688</v>
      </c>
      <c r="E3011" t="s">
        <v>1137</v>
      </c>
      <c r="F3011" t="s">
        <v>4351</v>
      </c>
      <c r="G3011" t="s">
        <v>61</v>
      </c>
      <c r="H3011" t="s">
        <v>2678</v>
      </c>
      <c r="I3011" t="s">
        <v>487</v>
      </c>
      <c r="J3011">
        <v>1518</v>
      </c>
    </row>
    <row r="3012" spans="1:10">
      <c r="A3012" s="90" t="s">
        <v>51</v>
      </c>
      <c r="B3012" s="87">
        <v>45838</v>
      </c>
      <c r="C3012" t="s">
        <v>2336</v>
      </c>
      <c r="D3012" t="s">
        <v>2688</v>
      </c>
      <c r="E3012" t="s">
        <v>1667</v>
      </c>
      <c r="F3012" t="s">
        <v>741</v>
      </c>
      <c r="G3012" t="s">
        <v>71</v>
      </c>
      <c r="H3012" t="s">
        <v>2678</v>
      </c>
      <c r="I3012" t="s">
        <v>475</v>
      </c>
      <c r="J3012">
        <v>2314</v>
      </c>
    </row>
    <row r="3013" spans="1:10">
      <c r="A3013" s="90" t="s">
        <v>51</v>
      </c>
      <c r="B3013" s="87">
        <v>45838</v>
      </c>
      <c r="C3013" t="s">
        <v>4352</v>
      </c>
      <c r="D3013" t="s">
        <v>2688</v>
      </c>
      <c r="E3013" t="s">
        <v>4335</v>
      </c>
      <c r="F3013" t="s">
        <v>4336</v>
      </c>
      <c r="G3013" t="s">
        <v>2125</v>
      </c>
      <c r="H3013" t="s">
        <v>470</v>
      </c>
      <c r="I3013" t="s">
        <v>487</v>
      </c>
      <c r="J3013">
        <v>2694.4</v>
      </c>
    </row>
    <row r="3014" spans="1:10">
      <c r="A3014" s="90" t="s">
        <v>51</v>
      </c>
      <c r="B3014" s="87">
        <v>45838</v>
      </c>
      <c r="C3014" t="s">
        <v>4353</v>
      </c>
      <c r="D3014" t="s">
        <v>2688</v>
      </c>
      <c r="E3014" t="s">
        <v>1667</v>
      </c>
      <c r="F3014" t="s">
        <v>4354</v>
      </c>
      <c r="G3014" t="s">
        <v>2115</v>
      </c>
      <c r="H3014" t="s">
        <v>470</v>
      </c>
      <c r="I3014" t="s">
        <v>475</v>
      </c>
      <c r="J3014">
        <v>752</v>
      </c>
    </row>
    <row r="3015" spans="1:10">
      <c r="A3015" s="90" t="s">
        <v>51</v>
      </c>
      <c r="B3015" s="87">
        <v>45838</v>
      </c>
      <c r="C3015" t="s">
        <v>4353</v>
      </c>
      <c r="D3015" t="s">
        <v>2688</v>
      </c>
      <c r="E3015" t="s">
        <v>1667</v>
      </c>
      <c r="F3015" t="s">
        <v>4354</v>
      </c>
      <c r="G3015" t="s">
        <v>71</v>
      </c>
      <c r="H3015" t="s">
        <v>470</v>
      </c>
      <c r="I3015" t="s">
        <v>475</v>
      </c>
      <c r="J3015">
        <v>94</v>
      </c>
    </row>
    <row r="3016" spans="1:10">
      <c r="A3016" s="90" t="s">
        <v>51</v>
      </c>
      <c r="B3016" s="87">
        <v>45838</v>
      </c>
      <c r="C3016" t="s">
        <v>2275</v>
      </c>
      <c r="D3016" t="s">
        <v>2688</v>
      </c>
      <c r="E3016" t="s">
        <v>477</v>
      </c>
      <c r="F3016" t="s">
        <v>741</v>
      </c>
      <c r="G3016" t="s">
        <v>74</v>
      </c>
      <c r="H3016" t="s">
        <v>470</v>
      </c>
      <c r="I3016" t="s">
        <v>471</v>
      </c>
      <c r="J3016">
        <v>20</v>
      </c>
    </row>
    <row r="3017" spans="1:10">
      <c r="A3017" s="90" t="s">
        <v>51</v>
      </c>
      <c r="B3017" s="87">
        <v>45838</v>
      </c>
      <c r="C3017" t="s">
        <v>511</v>
      </c>
      <c r="D3017" t="s">
        <v>2688</v>
      </c>
      <c r="E3017" t="s">
        <v>512</v>
      </c>
      <c r="F3017" t="s">
        <v>741</v>
      </c>
      <c r="G3017" t="s">
        <v>474</v>
      </c>
      <c r="H3017" t="s">
        <v>470</v>
      </c>
      <c r="I3017" t="s">
        <v>475</v>
      </c>
      <c r="J3017">
        <v>135120.94</v>
      </c>
    </row>
    <row r="3018" spans="1:10">
      <c r="A3018" s="90" t="s">
        <v>51</v>
      </c>
      <c r="B3018" s="87">
        <v>45838</v>
      </c>
      <c r="C3018" t="s">
        <v>2347</v>
      </c>
      <c r="D3018" t="s">
        <v>2688</v>
      </c>
      <c r="E3018" t="s">
        <v>477</v>
      </c>
      <c r="F3018" t="s">
        <v>741</v>
      </c>
      <c r="G3018" t="s">
        <v>68</v>
      </c>
      <c r="H3018" t="s">
        <v>470</v>
      </c>
      <c r="I3018" t="s">
        <v>471</v>
      </c>
      <c r="J3018">
        <v>1688.44</v>
      </c>
    </row>
    <row r="3019" spans="1:10">
      <c r="A3019" s="90" t="s">
        <v>51</v>
      </c>
      <c r="B3019" s="87">
        <v>45838</v>
      </c>
      <c r="C3019" t="s">
        <v>2348</v>
      </c>
      <c r="D3019" t="s">
        <v>2688</v>
      </c>
      <c r="E3019" t="s">
        <v>477</v>
      </c>
      <c r="F3019" t="s">
        <v>741</v>
      </c>
      <c r="G3019" t="s">
        <v>66</v>
      </c>
      <c r="H3019" t="s">
        <v>470</v>
      </c>
      <c r="I3019" t="s">
        <v>471</v>
      </c>
      <c r="J3019">
        <v>52.48</v>
      </c>
    </row>
    <row r="3020" spans="1:10">
      <c r="A3020" s="90" t="s">
        <v>51</v>
      </c>
      <c r="B3020" s="87">
        <v>45839</v>
      </c>
      <c r="C3020" t="s">
        <v>4355</v>
      </c>
      <c r="D3020" t="s">
        <v>2688</v>
      </c>
      <c r="E3020" t="s">
        <v>2262</v>
      </c>
      <c r="F3020" t="s">
        <v>4356</v>
      </c>
      <c r="G3020" t="s">
        <v>73</v>
      </c>
      <c r="H3020" t="s">
        <v>2795</v>
      </c>
      <c r="I3020" t="s">
        <v>796</v>
      </c>
      <c r="J3020">
        <v>633.01</v>
      </c>
    </row>
    <row r="3021" spans="1:10">
      <c r="A3021" s="90" t="s">
        <v>51</v>
      </c>
      <c r="B3021" s="87">
        <v>45839</v>
      </c>
      <c r="C3021" t="s">
        <v>4357</v>
      </c>
      <c r="D3021" t="s">
        <v>2688</v>
      </c>
      <c r="E3021" t="s">
        <v>477</v>
      </c>
      <c r="F3021" t="s">
        <v>1449</v>
      </c>
      <c r="G3021" t="s">
        <v>66</v>
      </c>
      <c r="H3021" t="s">
        <v>470</v>
      </c>
      <c r="I3021" t="s">
        <v>471</v>
      </c>
      <c r="J3021">
        <v>14.08</v>
      </c>
    </row>
    <row r="3022" spans="1:10">
      <c r="A3022" s="90" t="s">
        <v>51</v>
      </c>
      <c r="B3022" s="87">
        <v>45839</v>
      </c>
      <c r="C3022" t="s">
        <v>511</v>
      </c>
      <c r="D3022" t="s">
        <v>2688</v>
      </c>
      <c r="E3022" t="s">
        <v>512</v>
      </c>
      <c r="F3022" t="s">
        <v>778</v>
      </c>
      <c r="G3022" t="s">
        <v>474</v>
      </c>
      <c r="H3022" t="s">
        <v>470</v>
      </c>
      <c r="I3022" t="s">
        <v>475</v>
      </c>
      <c r="J3022">
        <v>647.09</v>
      </c>
    </row>
    <row r="3023" spans="1:10">
      <c r="A3023" s="90" t="s">
        <v>51</v>
      </c>
      <c r="B3023" s="87">
        <v>45841</v>
      </c>
      <c r="C3023" t="s">
        <v>3633</v>
      </c>
      <c r="D3023" t="s">
        <v>2688</v>
      </c>
      <c r="E3023" t="s">
        <v>1667</v>
      </c>
      <c r="F3023" t="s">
        <v>741</v>
      </c>
      <c r="G3023" t="s">
        <v>180</v>
      </c>
      <c r="H3023" t="s">
        <v>470</v>
      </c>
      <c r="I3023" t="s">
        <v>475</v>
      </c>
      <c r="J3023">
        <v>4508.2</v>
      </c>
    </row>
    <row r="3024" spans="1:10">
      <c r="A3024" s="90" t="s">
        <v>51</v>
      </c>
      <c r="B3024" s="87">
        <v>45841</v>
      </c>
      <c r="C3024" t="s">
        <v>511</v>
      </c>
      <c r="D3024" t="s">
        <v>2688</v>
      </c>
      <c r="E3024" t="s">
        <v>512</v>
      </c>
      <c r="F3024" t="s">
        <v>778</v>
      </c>
      <c r="G3024" t="s">
        <v>474</v>
      </c>
      <c r="H3024" t="s">
        <v>470</v>
      </c>
      <c r="I3024" t="s">
        <v>475</v>
      </c>
      <c r="J3024">
        <v>4508.2</v>
      </c>
    </row>
    <row r="3025" spans="1:10">
      <c r="A3025" s="90" t="s">
        <v>51</v>
      </c>
      <c r="B3025" s="87">
        <v>45842</v>
      </c>
      <c r="C3025" t="s">
        <v>4358</v>
      </c>
      <c r="D3025" t="s">
        <v>2688</v>
      </c>
      <c r="E3025" t="s">
        <v>4041</v>
      </c>
      <c r="F3025" t="s">
        <v>778</v>
      </c>
      <c r="G3025" t="s">
        <v>71</v>
      </c>
      <c r="H3025" t="s">
        <v>470</v>
      </c>
      <c r="I3025" t="s">
        <v>482</v>
      </c>
      <c r="J3025">
        <v>3000</v>
      </c>
    </row>
    <row r="3026" spans="1:10">
      <c r="A3026" s="90" t="s">
        <v>51</v>
      </c>
      <c r="B3026" s="87">
        <v>45842</v>
      </c>
      <c r="C3026" t="s">
        <v>511</v>
      </c>
      <c r="D3026" t="s">
        <v>2688</v>
      </c>
      <c r="E3026" t="s">
        <v>512</v>
      </c>
      <c r="F3026" t="s">
        <v>778</v>
      </c>
      <c r="G3026" t="s">
        <v>474</v>
      </c>
      <c r="H3026" t="s">
        <v>470</v>
      </c>
      <c r="I3026" t="s">
        <v>475</v>
      </c>
      <c r="J3026">
        <v>3000</v>
      </c>
    </row>
    <row r="3027" spans="1:10">
      <c r="A3027" s="90" t="s">
        <v>51</v>
      </c>
      <c r="B3027" s="87">
        <v>45845</v>
      </c>
      <c r="C3027" t="s">
        <v>4359</v>
      </c>
      <c r="D3027" t="s">
        <v>2688</v>
      </c>
      <c r="E3027" t="s">
        <v>480</v>
      </c>
      <c r="F3027" t="s">
        <v>4308</v>
      </c>
      <c r="G3027" t="s">
        <v>2213</v>
      </c>
      <c r="H3027" t="s">
        <v>470</v>
      </c>
      <c r="I3027" t="s">
        <v>475</v>
      </c>
      <c r="J3027">
        <v>1250</v>
      </c>
    </row>
    <row r="3028" spans="1:10">
      <c r="A3028" s="90" t="s">
        <v>51</v>
      </c>
      <c r="B3028" s="87">
        <v>45845</v>
      </c>
      <c r="C3028" t="s">
        <v>4360</v>
      </c>
      <c r="D3028" t="s">
        <v>2688</v>
      </c>
      <c r="E3028" t="s">
        <v>1693</v>
      </c>
      <c r="F3028" t="s">
        <v>178</v>
      </c>
      <c r="G3028" t="s">
        <v>2494</v>
      </c>
      <c r="H3028" t="s">
        <v>470</v>
      </c>
      <c r="I3028" t="s">
        <v>796</v>
      </c>
      <c r="J3028">
        <v>8018.37</v>
      </c>
    </row>
    <row r="3029" spans="1:10">
      <c r="A3029" s="90" t="s">
        <v>51</v>
      </c>
      <c r="B3029" s="87">
        <v>45845</v>
      </c>
      <c r="C3029" t="s">
        <v>4361</v>
      </c>
      <c r="D3029" t="s">
        <v>2688</v>
      </c>
      <c r="E3029" t="s">
        <v>3960</v>
      </c>
      <c r="F3029" t="s">
        <v>172</v>
      </c>
      <c r="G3029" t="s">
        <v>2494</v>
      </c>
      <c r="H3029" t="s">
        <v>470</v>
      </c>
      <c r="I3029" t="s">
        <v>796</v>
      </c>
      <c r="J3029">
        <v>3059.21</v>
      </c>
    </row>
    <row r="3030" spans="1:10">
      <c r="A3030" s="90" t="s">
        <v>51</v>
      </c>
      <c r="B3030" s="87">
        <v>45845</v>
      </c>
      <c r="C3030" t="s">
        <v>4362</v>
      </c>
      <c r="D3030" t="s">
        <v>2688</v>
      </c>
      <c r="E3030" t="s">
        <v>4363</v>
      </c>
      <c r="F3030" t="s">
        <v>4364</v>
      </c>
      <c r="G3030" t="s">
        <v>2125</v>
      </c>
      <c r="H3030" t="s">
        <v>470</v>
      </c>
      <c r="I3030" t="s">
        <v>487</v>
      </c>
      <c r="J3030">
        <v>11620</v>
      </c>
    </row>
    <row r="3031" spans="1:10">
      <c r="A3031" s="90" t="s">
        <v>51</v>
      </c>
      <c r="B3031" s="87">
        <v>45845</v>
      </c>
      <c r="C3031" t="s">
        <v>4365</v>
      </c>
      <c r="D3031" t="s">
        <v>2688</v>
      </c>
      <c r="E3031" t="s">
        <v>3960</v>
      </c>
      <c r="F3031" t="s">
        <v>172</v>
      </c>
      <c r="G3031" t="s">
        <v>2494</v>
      </c>
      <c r="H3031" t="s">
        <v>470</v>
      </c>
      <c r="I3031" t="s">
        <v>796</v>
      </c>
      <c r="J3031">
        <v>2039.47</v>
      </c>
    </row>
    <row r="3032" spans="1:10">
      <c r="A3032" s="90" t="s">
        <v>51</v>
      </c>
      <c r="B3032" s="87">
        <v>45845</v>
      </c>
      <c r="C3032" t="s">
        <v>4366</v>
      </c>
      <c r="D3032" t="s">
        <v>2688</v>
      </c>
      <c r="E3032" t="s">
        <v>4363</v>
      </c>
      <c r="F3032" t="s">
        <v>4308</v>
      </c>
      <c r="G3032" t="s">
        <v>2125</v>
      </c>
      <c r="H3032" t="s">
        <v>470</v>
      </c>
      <c r="I3032" t="s">
        <v>487</v>
      </c>
      <c r="J3032">
        <v>5000</v>
      </c>
    </row>
    <row r="3033" spans="1:10">
      <c r="A3033" s="90" t="s">
        <v>51</v>
      </c>
      <c r="B3033" s="87">
        <v>45845</v>
      </c>
      <c r="C3033" t="s">
        <v>4367</v>
      </c>
      <c r="D3033" t="s">
        <v>2688</v>
      </c>
      <c r="E3033" t="s">
        <v>4363</v>
      </c>
      <c r="F3033" t="s">
        <v>4364</v>
      </c>
      <c r="G3033" t="s">
        <v>2125</v>
      </c>
      <c r="H3033" t="s">
        <v>470</v>
      </c>
      <c r="I3033" t="s">
        <v>487</v>
      </c>
      <c r="J3033">
        <v>3620</v>
      </c>
    </row>
    <row r="3034" spans="1:10">
      <c r="A3034" s="90" t="s">
        <v>51</v>
      </c>
      <c r="B3034" s="87">
        <v>45845</v>
      </c>
      <c r="C3034" t="s">
        <v>4368</v>
      </c>
      <c r="D3034" t="s">
        <v>2688</v>
      </c>
      <c r="E3034" t="s">
        <v>3949</v>
      </c>
      <c r="F3034" t="s">
        <v>741</v>
      </c>
      <c r="G3034" t="s">
        <v>65</v>
      </c>
      <c r="H3034" t="s">
        <v>2678</v>
      </c>
      <c r="I3034" t="s">
        <v>796</v>
      </c>
      <c r="J3034">
        <v>179.9</v>
      </c>
    </row>
    <row r="3035" spans="1:10">
      <c r="A3035" s="90" t="s">
        <v>51</v>
      </c>
      <c r="B3035" s="87">
        <v>45845</v>
      </c>
      <c r="C3035" t="s">
        <v>4369</v>
      </c>
      <c r="D3035" t="s">
        <v>2688</v>
      </c>
      <c r="E3035" t="s">
        <v>1693</v>
      </c>
      <c r="F3035" t="s">
        <v>178</v>
      </c>
      <c r="G3035" t="s">
        <v>2494</v>
      </c>
      <c r="H3035" t="s">
        <v>470</v>
      </c>
      <c r="I3035" t="s">
        <v>796</v>
      </c>
      <c r="J3035">
        <v>5345.58</v>
      </c>
    </row>
    <row r="3036" spans="1:10">
      <c r="A3036" s="90" t="s">
        <v>51</v>
      </c>
      <c r="B3036" s="87">
        <v>45845</v>
      </c>
      <c r="C3036" t="s">
        <v>511</v>
      </c>
      <c r="D3036" t="s">
        <v>2688</v>
      </c>
      <c r="E3036" t="s">
        <v>512</v>
      </c>
      <c r="F3036" t="s">
        <v>778</v>
      </c>
      <c r="G3036" t="s">
        <v>474</v>
      </c>
      <c r="H3036" t="s">
        <v>470</v>
      </c>
      <c r="I3036" t="s">
        <v>475</v>
      </c>
      <c r="J3036">
        <v>36512.53</v>
      </c>
    </row>
    <row r="3037" spans="1:10">
      <c r="A3037" s="90" t="s">
        <v>51</v>
      </c>
      <c r="B3037" s="87">
        <v>45846</v>
      </c>
      <c r="C3037" t="s">
        <v>4370</v>
      </c>
      <c r="D3037" t="s">
        <v>2688</v>
      </c>
      <c r="E3037" t="s">
        <v>4371</v>
      </c>
      <c r="F3037" t="s">
        <v>4372</v>
      </c>
      <c r="G3037" t="s">
        <v>57</v>
      </c>
      <c r="H3037" t="s">
        <v>470</v>
      </c>
      <c r="I3037" t="s">
        <v>487</v>
      </c>
      <c r="J3037">
        <v>93</v>
      </c>
    </row>
    <row r="3038" spans="1:10">
      <c r="A3038" s="90" t="s">
        <v>51</v>
      </c>
      <c r="B3038" s="87">
        <v>45846</v>
      </c>
      <c r="C3038" t="s">
        <v>511</v>
      </c>
      <c r="D3038" t="s">
        <v>2688</v>
      </c>
      <c r="E3038" t="s">
        <v>512</v>
      </c>
      <c r="F3038" t="s">
        <v>778</v>
      </c>
      <c r="G3038" t="s">
        <v>474</v>
      </c>
      <c r="H3038" t="s">
        <v>470</v>
      </c>
      <c r="I3038" t="s">
        <v>475</v>
      </c>
      <c r="J3038">
        <v>93</v>
      </c>
    </row>
    <row r="3039" spans="1:10">
      <c r="A3039" s="90" t="s">
        <v>51</v>
      </c>
      <c r="B3039" s="87">
        <v>45848</v>
      </c>
      <c r="C3039" t="s">
        <v>4373</v>
      </c>
      <c r="D3039" t="s">
        <v>2688</v>
      </c>
      <c r="E3039" t="s">
        <v>3999</v>
      </c>
      <c r="F3039" t="s">
        <v>4205</v>
      </c>
      <c r="G3039" t="s">
        <v>2213</v>
      </c>
      <c r="H3039" t="s">
        <v>470</v>
      </c>
      <c r="I3039" t="s">
        <v>475</v>
      </c>
      <c r="J3039">
        <v>1485</v>
      </c>
    </row>
    <row r="3040" spans="1:10">
      <c r="A3040" s="90" t="s">
        <v>51</v>
      </c>
      <c r="B3040" s="87">
        <v>45848</v>
      </c>
      <c r="C3040" t="s">
        <v>4374</v>
      </c>
      <c r="D3040" t="s">
        <v>2688</v>
      </c>
      <c r="E3040" t="s">
        <v>2702</v>
      </c>
      <c r="F3040" t="s">
        <v>4375</v>
      </c>
      <c r="G3040" t="s">
        <v>63</v>
      </c>
      <c r="H3040" t="s">
        <v>470</v>
      </c>
      <c r="I3040" t="s">
        <v>796</v>
      </c>
      <c r="J3040">
        <v>125</v>
      </c>
    </row>
    <row r="3041" spans="1:10">
      <c r="A3041" s="90" t="s">
        <v>51</v>
      </c>
      <c r="B3041" s="87">
        <v>45848</v>
      </c>
      <c r="C3041" t="s">
        <v>4222</v>
      </c>
      <c r="D3041" t="s">
        <v>2688</v>
      </c>
      <c r="E3041" t="s">
        <v>477</v>
      </c>
      <c r="F3041" t="s">
        <v>1449</v>
      </c>
      <c r="G3041" t="s">
        <v>69</v>
      </c>
      <c r="H3041" t="s">
        <v>470</v>
      </c>
      <c r="I3041" t="s">
        <v>471</v>
      </c>
      <c r="J3041">
        <v>181.06</v>
      </c>
    </row>
    <row r="3042" spans="1:10">
      <c r="A3042" s="90" t="s">
        <v>51</v>
      </c>
      <c r="B3042" s="87">
        <v>45848</v>
      </c>
      <c r="C3042" t="s">
        <v>2275</v>
      </c>
      <c r="D3042" t="s">
        <v>2688</v>
      </c>
      <c r="E3042" t="s">
        <v>2393</v>
      </c>
      <c r="F3042" t="s">
        <v>778</v>
      </c>
      <c r="G3042" t="s">
        <v>74</v>
      </c>
      <c r="H3042" t="s">
        <v>470</v>
      </c>
      <c r="I3042" t="s">
        <v>471</v>
      </c>
      <c r="J3042">
        <v>95</v>
      </c>
    </row>
    <row r="3043" spans="1:10">
      <c r="A3043" s="90" t="s">
        <v>51</v>
      </c>
      <c r="B3043" s="87">
        <v>45848</v>
      </c>
      <c r="C3043" t="s">
        <v>2295</v>
      </c>
      <c r="D3043" t="s">
        <v>2688</v>
      </c>
      <c r="E3043" t="s">
        <v>477</v>
      </c>
      <c r="F3043" t="s">
        <v>778</v>
      </c>
      <c r="G3043" t="s">
        <v>2295</v>
      </c>
      <c r="H3043" t="s">
        <v>470</v>
      </c>
      <c r="I3043" t="s">
        <v>471</v>
      </c>
      <c r="J3043">
        <v>696.36</v>
      </c>
    </row>
    <row r="3044" spans="1:10">
      <c r="A3044" s="90" t="s">
        <v>51</v>
      </c>
      <c r="B3044" s="87">
        <v>45848</v>
      </c>
      <c r="C3044" t="s">
        <v>511</v>
      </c>
      <c r="D3044" t="s">
        <v>2688</v>
      </c>
      <c r="E3044" t="s">
        <v>512</v>
      </c>
      <c r="F3044" t="s">
        <v>778</v>
      </c>
      <c r="G3044" t="s">
        <v>474</v>
      </c>
      <c r="H3044" t="s">
        <v>470</v>
      </c>
      <c r="I3044" t="s">
        <v>475</v>
      </c>
      <c r="J3044">
        <v>2582.42</v>
      </c>
    </row>
    <row r="3045" spans="1:10">
      <c r="A3045" s="90" t="s">
        <v>51</v>
      </c>
      <c r="B3045" s="87">
        <v>45853</v>
      </c>
      <c r="C3045" t="s">
        <v>4376</v>
      </c>
      <c r="D3045" t="s">
        <v>2688</v>
      </c>
      <c r="E3045" t="s">
        <v>4341</v>
      </c>
      <c r="F3045" t="s">
        <v>4377</v>
      </c>
      <c r="G3045" t="s">
        <v>57</v>
      </c>
      <c r="H3045" t="s">
        <v>2123</v>
      </c>
      <c r="I3045" t="s">
        <v>487</v>
      </c>
      <c r="J3045">
        <v>1646.25</v>
      </c>
    </row>
    <row r="3046" spans="1:10">
      <c r="A3046" s="90" t="s">
        <v>51</v>
      </c>
      <c r="B3046" s="87">
        <v>45853</v>
      </c>
      <c r="C3046" t="s">
        <v>4378</v>
      </c>
      <c r="D3046" t="s">
        <v>2688</v>
      </c>
      <c r="E3046" t="s">
        <v>3107</v>
      </c>
      <c r="F3046" t="s">
        <v>778</v>
      </c>
      <c r="G3046" t="s">
        <v>60</v>
      </c>
      <c r="H3046" t="s">
        <v>2795</v>
      </c>
      <c r="I3046" t="s">
        <v>796</v>
      </c>
      <c r="J3046">
        <v>87.37</v>
      </c>
    </row>
    <row r="3047" spans="1:10">
      <c r="A3047" s="90" t="s">
        <v>51</v>
      </c>
      <c r="B3047" s="87">
        <v>45853</v>
      </c>
      <c r="C3047" t="s">
        <v>511</v>
      </c>
      <c r="D3047" t="s">
        <v>2688</v>
      </c>
      <c r="E3047" t="s">
        <v>512</v>
      </c>
      <c r="F3047" t="s">
        <v>778</v>
      </c>
      <c r="G3047" t="s">
        <v>474</v>
      </c>
      <c r="H3047" t="s">
        <v>470</v>
      </c>
      <c r="I3047" t="s">
        <v>475</v>
      </c>
      <c r="J3047">
        <v>1733.62</v>
      </c>
    </row>
    <row r="3048" spans="1:10">
      <c r="A3048" s="90" t="s">
        <v>51</v>
      </c>
      <c r="B3048" s="87">
        <v>45854</v>
      </c>
      <c r="C3048" t="s">
        <v>4379</v>
      </c>
      <c r="D3048" t="s">
        <v>2688</v>
      </c>
      <c r="E3048" t="s">
        <v>4041</v>
      </c>
      <c r="F3048" t="s">
        <v>778</v>
      </c>
      <c r="G3048" t="s">
        <v>71</v>
      </c>
      <c r="H3048" t="s">
        <v>470</v>
      </c>
      <c r="I3048" t="s">
        <v>482</v>
      </c>
      <c r="J3048">
        <v>3000</v>
      </c>
    </row>
    <row r="3049" spans="1:10">
      <c r="A3049" s="90" t="s">
        <v>51</v>
      </c>
      <c r="B3049" s="87">
        <v>45854</v>
      </c>
      <c r="C3049" t="s">
        <v>4380</v>
      </c>
      <c r="D3049" t="s">
        <v>2688</v>
      </c>
      <c r="E3049" t="s">
        <v>477</v>
      </c>
      <c r="F3049" t="s">
        <v>3954</v>
      </c>
      <c r="G3049" t="s">
        <v>515</v>
      </c>
      <c r="H3049" t="s">
        <v>4381</v>
      </c>
      <c r="I3049" t="s">
        <v>471</v>
      </c>
      <c r="J3049">
        <v>54166.67</v>
      </c>
    </row>
    <row r="3050" spans="1:10">
      <c r="A3050" s="90" t="s">
        <v>51</v>
      </c>
      <c r="B3050" s="87">
        <v>45854</v>
      </c>
      <c r="C3050" t="s">
        <v>4380</v>
      </c>
      <c r="D3050" t="s">
        <v>2688</v>
      </c>
      <c r="E3050" t="s">
        <v>477</v>
      </c>
      <c r="F3050" t="s">
        <v>3954</v>
      </c>
      <c r="G3050" t="s">
        <v>69</v>
      </c>
      <c r="H3050" t="s">
        <v>4381</v>
      </c>
      <c r="I3050" t="s">
        <v>471</v>
      </c>
      <c r="J3050">
        <v>5763.33</v>
      </c>
    </row>
    <row r="3051" spans="1:10">
      <c r="A3051" s="90" t="s">
        <v>51</v>
      </c>
      <c r="B3051" s="87">
        <v>45854</v>
      </c>
      <c r="C3051" t="s">
        <v>511</v>
      </c>
      <c r="D3051" t="s">
        <v>2688</v>
      </c>
      <c r="E3051" t="s">
        <v>512</v>
      </c>
      <c r="F3051" t="s">
        <v>778</v>
      </c>
      <c r="G3051" t="s">
        <v>474</v>
      </c>
      <c r="H3051" t="s">
        <v>470</v>
      </c>
      <c r="I3051" t="s">
        <v>475</v>
      </c>
      <c r="J3051">
        <v>62930</v>
      </c>
    </row>
    <row r="3052" spans="1:10">
      <c r="A3052" s="90" t="s">
        <v>51</v>
      </c>
      <c r="B3052" s="87">
        <v>45856</v>
      </c>
      <c r="C3052" t="s">
        <v>4382</v>
      </c>
      <c r="D3052" t="s">
        <v>2688</v>
      </c>
      <c r="E3052" t="s">
        <v>1693</v>
      </c>
      <c r="F3052" t="s">
        <v>178</v>
      </c>
      <c r="G3052" t="s">
        <v>2381</v>
      </c>
      <c r="H3052" t="s">
        <v>470</v>
      </c>
      <c r="I3052" t="s">
        <v>796</v>
      </c>
      <c r="J3052">
        <v>2415.5300000000002</v>
      </c>
    </row>
    <row r="3053" spans="1:10">
      <c r="A3053" s="90" t="s">
        <v>51</v>
      </c>
      <c r="B3053" s="87">
        <v>45856</v>
      </c>
      <c r="C3053" t="s">
        <v>4383</v>
      </c>
      <c r="D3053" t="s">
        <v>2688</v>
      </c>
      <c r="E3053" t="s">
        <v>3960</v>
      </c>
      <c r="F3053" t="s">
        <v>172</v>
      </c>
      <c r="G3053" t="s">
        <v>2381</v>
      </c>
      <c r="H3053" t="s">
        <v>470</v>
      </c>
      <c r="I3053" t="s">
        <v>796</v>
      </c>
      <c r="J3053">
        <v>615.29</v>
      </c>
    </row>
    <row r="3054" spans="1:10">
      <c r="A3054" s="90" t="s">
        <v>51</v>
      </c>
      <c r="B3054" s="87">
        <v>45856</v>
      </c>
      <c r="C3054" t="s">
        <v>4384</v>
      </c>
      <c r="D3054" t="s">
        <v>2688</v>
      </c>
      <c r="E3054" t="s">
        <v>2318</v>
      </c>
      <c r="F3054" t="s">
        <v>741</v>
      </c>
      <c r="G3054" t="s">
        <v>67</v>
      </c>
      <c r="H3054" t="s">
        <v>2678</v>
      </c>
      <c r="I3054" t="s">
        <v>796</v>
      </c>
      <c r="J3054">
        <v>652.36</v>
      </c>
    </row>
    <row r="3055" spans="1:10">
      <c r="A3055" s="90" t="s">
        <v>51</v>
      </c>
      <c r="B3055" s="87">
        <v>45856</v>
      </c>
      <c r="C3055" t="s">
        <v>4384</v>
      </c>
      <c r="D3055" t="s">
        <v>2688</v>
      </c>
      <c r="E3055" t="s">
        <v>2318</v>
      </c>
      <c r="F3055" t="s">
        <v>741</v>
      </c>
      <c r="G3055" t="s">
        <v>64</v>
      </c>
      <c r="H3055" t="s">
        <v>2678</v>
      </c>
      <c r="I3055" t="s">
        <v>796</v>
      </c>
      <c r="J3055">
        <v>805.99</v>
      </c>
    </row>
    <row r="3056" spans="1:10">
      <c r="A3056" s="90" t="s">
        <v>51</v>
      </c>
      <c r="B3056" s="87">
        <v>45856</v>
      </c>
      <c r="C3056" t="s">
        <v>511</v>
      </c>
      <c r="D3056" t="s">
        <v>2688</v>
      </c>
      <c r="E3056" t="s">
        <v>512</v>
      </c>
      <c r="F3056" t="s">
        <v>778</v>
      </c>
      <c r="G3056" t="s">
        <v>474</v>
      </c>
      <c r="H3056" t="s">
        <v>470</v>
      </c>
      <c r="I3056" t="s">
        <v>475</v>
      </c>
      <c r="J3056">
        <v>4489.17</v>
      </c>
    </row>
    <row r="3057" spans="1:10">
      <c r="A3057" s="90" t="s">
        <v>51</v>
      </c>
      <c r="B3057" s="87">
        <v>45861</v>
      </c>
      <c r="C3057" t="s">
        <v>4385</v>
      </c>
      <c r="D3057" t="s">
        <v>2688</v>
      </c>
      <c r="E3057" t="s">
        <v>773</v>
      </c>
      <c r="F3057" t="s">
        <v>4349</v>
      </c>
      <c r="G3057" t="s">
        <v>537</v>
      </c>
      <c r="H3057" t="s">
        <v>470</v>
      </c>
      <c r="I3057" t="s">
        <v>475</v>
      </c>
      <c r="J3057">
        <v>2252271.46</v>
      </c>
    </row>
    <row r="3058" spans="1:10">
      <c r="A3058" s="90" t="s">
        <v>51</v>
      </c>
      <c r="B3058" s="87">
        <v>45861</v>
      </c>
      <c r="C3058" t="s">
        <v>511</v>
      </c>
      <c r="D3058" t="s">
        <v>2688</v>
      </c>
      <c r="E3058" t="s">
        <v>512</v>
      </c>
      <c r="F3058" t="s">
        <v>778</v>
      </c>
      <c r="G3058" t="s">
        <v>474</v>
      </c>
      <c r="H3058" t="s">
        <v>470</v>
      </c>
      <c r="I3058" t="s">
        <v>475</v>
      </c>
      <c r="J3058">
        <v>1800000</v>
      </c>
    </row>
    <row r="3059" spans="1:10">
      <c r="A3059" s="90" t="s">
        <v>51</v>
      </c>
      <c r="B3059" s="87">
        <v>45861</v>
      </c>
      <c r="C3059" t="s">
        <v>511</v>
      </c>
      <c r="D3059" t="s">
        <v>2688</v>
      </c>
      <c r="E3059" t="s">
        <v>512</v>
      </c>
      <c r="F3059" t="s">
        <v>778</v>
      </c>
      <c r="G3059" t="s">
        <v>474</v>
      </c>
      <c r="H3059" t="s">
        <v>470</v>
      </c>
      <c r="I3059" t="s">
        <v>475</v>
      </c>
      <c r="J3059">
        <v>452271.46</v>
      </c>
    </row>
    <row r="3060" spans="1:10">
      <c r="A3060" s="90" t="s">
        <v>51</v>
      </c>
      <c r="B3060" s="87">
        <v>45863</v>
      </c>
      <c r="C3060" t="s">
        <v>4386</v>
      </c>
      <c r="D3060" t="s">
        <v>2688</v>
      </c>
      <c r="E3060" t="s">
        <v>785</v>
      </c>
      <c r="F3060" t="s">
        <v>136</v>
      </c>
      <c r="G3060" t="s">
        <v>2213</v>
      </c>
      <c r="H3060" t="s">
        <v>470</v>
      </c>
      <c r="I3060" t="s">
        <v>487</v>
      </c>
      <c r="J3060">
        <v>2754.52</v>
      </c>
    </row>
    <row r="3061" spans="1:10">
      <c r="A3061" s="90" t="s">
        <v>51</v>
      </c>
      <c r="B3061" s="87">
        <v>45863</v>
      </c>
      <c r="C3061" t="s">
        <v>4386</v>
      </c>
      <c r="D3061" t="s">
        <v>2688</v>
      </c>
      <c r="E3061" t="s">
        <v>785</v>
      </c>
      <c r="F3061" t="s">
        <v>136</v>
      </c>
      <c r="G3061" t="s">
        <v>181</v>
      </c>
      <c r="H3061" t="s">
        <v>470</v>
      </c>
      <c r="I3061" t="s">
        <v>487</v>
      </c>
      <c r="J3061">
        <v>47245.48</v>
      </c>
    </row>
    <row r="3062" spans="1:10">
      <c r="A3062" s="90" t="s">
        <v>51</v>
      </c>
      <c r="B3062" s="87">
        <v>45863</v>
      </c>
      <c r="C3062" t="s">
        <v>511</v>
      </c>
      <c r="D3062" t="s">
        <v>2688</v>
      </c>
      <c r="E3062" t="s">
        <v>512</v>
      </c>
      <c r="F3062" t="s">
        <v>778</v>
      </c>
      <c r="G3062" t="s">
        <v>474</v>
      </c>
      <c r="H3062" t="s">
        <v>470</v>
      </c>
      <c r="I3062" t="s">
        <v>475</v>
      </c>
      <c r="J3062">
        <v>50000</v>
      </c>
    </row>
    <row r="3063" spans="1:10">
      <c r="A3063" s="90" t="s">
        <v>51</v>
      </c>
      <c r="B3063" s="87">
        <v>45866</v>
      </c>
      <c r="C3063" t="s">
        <v>4387</v>
      </c>
      <c r="D3063" t="s">
        <v>2688</v>
      </c>
      <c r="E3063" t="s">
        <v>4388</v>
      </c>
      <c r="F3063" t="s">
        <v>4389</v>
      </c>
      <c r="G3063" t="s">
        <v>182</v>
      </c>
      <c r="H3063" t="s">
        <v>470</v>
      </c>
      <c r="I3063" t="s">
        <v>487</v>
      </c>
      <c r="J3063">
        <v>187.56</v>
      </c>
    </row>
    <row r="3064" spans="1:10">
      <c r="A3064" s="90" t="s">
        <v>51</v>
      </c>
      <c r="B3064" s="87">
        <v>45866</v>
      </c>
      <c r="C3064" t="s">
        <v>511</v>
      </c>
      <c r="D3064" t="s">
        <v>2688</v>
      </c>
      <c r="E3064" t="s">
        <v>512</v>
      </c>
      <c r="F3064" t="s">
        <v>778</v>
      </c>
      <c r="G3064" t="s">
        <v>474</v>
      </c>
      <c r="H3064" t="s">
        <v>470</v>
      </c>
      <c r="I3064" t="s">
        <v>475</v>
      </c>
      <c r="J3064">
        <v>187.56</v>
      </c>
    </row>
    <row r="3065" spans="1:10">
      <c r="A3065" s="90" t="s">
        <v>51</v>
      </c>
      <c r="B3065" s="87">
        <v>45868</v>
      </c>
      <c r="C3065" t="s">
        <v>2478</v>
      </c>
      <c r="D3065" t="s">
        <v>2688</v>
      </c>
      <c r="E3065" t="s">
        <v>1667</v>
      </c>
      <c r="F3065" t="s">
        <v>778</v>
      </c>
      <c r="G3065" t="s">
        <v>72</v>
      </c>
      <c r="H3065" t="s">
        <v>470</v>
      </c>
      <c r="I3065" t="s">
        <v>475</v>
      </c>
      <c r="J3065">
        <v>1283.68</v>
      </c>
    </row>
    <row r="3066" spans="1:10">
      <c r="A3066" s="90" t="s">
        <v>51</v>
      </c>
      <c r="B3066" s="87">
        <v>45868</v>
      </c>
      <c r="C3066" t="s">
        <v>2478</v>
      </c>
      <c r="D3066" t="s">
        <v>2688</v>
      </c>
      <c r="E3066" t="s">
        <v>1667</v>
      </c>
      <c r="F3066" t="s">
        <v>778</v>
      </c>
      <c r="G3066" t="s">
        <v>58</v>
      </c>
      <c r="H3066" t="s">
        <v>470</v>
      </c>
      <c r="I3066" t="s">
        <v>475</v>
      </c>
      <c r="J3066">
        <v>2826.23</v>
      </c>
    </row>
    <row r="3067" spans="1:10">
      <c r="A3067" s="90" t="s">
        <v>51</v>
      </c>
      <c r="B3067" s="87">
        <v>45868</v>
      </c>
      <c r="C3067" t="s">
        <v>2478</v>
      </c>
      <c r="D3067" t="s">
        <v>2688</v>
      </c>
      <c r="E3067" t="s">
        <v>1667</v>
      </c>
      <c r="F3067" t="s">
        <v>778</v>
      </c>
      <c r="G3067" t="s">
        <v>62</v>
      </c>
      <c r="H3067" t="s">
        <v>470</v>
      </c>
      <c r="I3067" t="s">
        <v>475</v>
      </c>
      <c r="J3067">
        <v>871</v>
      </c>
    </row>
    <row r="3068" spans="1:10">
      <c r="A3068" s="90" t="s">
        <v>51</v>
      </c>
      <c r="B3068" s="87">
        <v>45868</v>
      </c>
      <c r="C3068" t="s">
        <v>4386</v>
      </c>
      <c r="D3068" t="s">
        <v>2688</v>
      </c>
      <c r="E3068" t="s">
        <v>785</v>
      </c>
      <c r="F3068" t="s">
        <v>136</v>
      </c>
      <c r="G3068" t="s">
        <v>181</v>
      </c>
      <c r="H3068" t="s">
        <v>470</v>
      </c>
      <c r="I3068" t="s">
        <v>487</v>
      </c>
      <c r="J3068">
        <v>117941.65</v>
      </c>
    </row>
    <row r="3069" spans="1:10">
      <c r="A3069" s="90" t="s">
        <v>51</v>
      </c>
      <c r="B3069" s="87">
        <v>45868</v>
      </c>
      <c r="C3069" t="s">
        <v>511</v>
      </c>
      <c r="D3069" t="s">
        <v>2688</v>
      </c>
      <c r="E3069" t="s">
        <v>512</v>
      </c>
      <c r="F3069" t="s">
        <v>778</v>
      </c>
      <c r="G3069" t="s">
        <v>474</v>
      </c>
      <c r="H3069" t="s">
        <v>470</v>
      </c>
      <c r="I3069" t="s">
        <v>475</v>
      </c>
      <c r="J3069">
        <v>122922.56</v>
      </c>
    </row>
    <row r="3070" spans="1:10">
      <c r="A3070" s="90" t="s">
        <v>51</v>
      </c>
      <c r="B3070" s="87">
        <v>45869</v>
      </c>
      <c r="C3070" t="s">
        <v>4390</v>
      </c>
      <c r="D3070" t="s">
        <v>2688</v>
      </c>
      <c r="E3070" t="s">
        <v>1756</v>
      </c>
      <c r="F3070" t="s">
        <v>741</v>
      </c>
      <c r="G3070" t="s">
        <v>67</v>
      </c>
      <c r="H3070" t="s">
        <v>470</v>
      </c>
      <c r="I3070" t="s">
        <v>796</v>
      </c>
      <c r="J3070">
        <v>136255.38</v>
      </c>
    </row>
    <row r="3071" spans="1:10">
      <c r="A3071" s="90" t="s">
        <v>51</v>
      </c>
      <c r="B3071" s="87">
        <v>45869</v>
      </c>
      <c r="C3071" t="s">
        <v>4390</v>
      </c>
      <c r="D3071" t="s">
        <v>2688</v>
      </c>
      <c r="E3071" t="s">
        <v>1756</v>
      </c>
      <c r="F3071" t="s">
        <v>741</v>
      </c>
      <c r="G3071" t="s">
        <v>59</v>
      </c>
      <c r="H3071" t="s">
        <v>470</v>
      </c>
      <c r="I3071" t="s">
        <v>796</v>
      </c>
      <c r="J3071">
        <v>25996.84</v>
      </c>
    </row>
    <row r="3072" spans="1:10">
      <c r="A3072" s="90" t="s">
        <v>51</v>
      </c>
      <c r="B3072" s="87">
        <v>45869</v>
      </c>
      <c r="C3072" t="s">
        <v>4391</v>
      </c>
      <c r="D3072" t="s">
        <v>2688</v>
      </c>
      <c r="E3072" t="s">
        <v>1137</v>
      </c>
      <c r="F3072" t="s">
        <v>4392</v>
      </c>
      <c r="G3072" t="s">
        <v>61</v>
      </c>
      <c r="H3072" t="s">
        <v>2795</v>
      </c>
      <c r="I3072" t="s">
        <v>487</v>
      </c>
      <c r="J3072">
        <v>1518</v>
      </c>
    </row>
    <row r="3073" spans="1:10">
      <c r="A3073" s="90" t="s">
        <v>51</v>
      </c>
      <c r="B3073" s="87">
        <v>45869</v>
      </c>
      <c r="C3073" t="s">
        <v>3961</v>
      </c>
      <c r="D3073" t="s">
        <v>2688</v>
      </c>
      <c r="E3073" t="s">
        <v>3962</v>
      </c>
      <c r="F3073" t="s">
        <v>4393</v>
      </c>
      <c r="G3073" t="s">
        <v>63</v>
      </c>
      <c r="H3073" t="s">
        <v>2795</v>
      </c>
      <c r="I3073" t="s">
        <v>475</v>
      </c>
      <c r="J3073">
        <v>84</v>
      </c>
    </row>
    <row r="3074" spans="1:10">
      <c r="A3074" s="90" t="s">
        <v>51</v>
      </c>
      <c r="B3074" s="87">
        <v>45869</v>
      </c>
      <c r="C3074" t="s">
        <v>2336</v>
      </c>
      <c r="D3074" t="s">
        <v>2688</v>
      </c>
      <c r="E3074" t="s">
        <v>1667</v>
      </c>
      <c r="F3074" t="s">
        <v>778</v>
      </c>
      <c r="G3074" t="s">
        <v>71</v>
      </c>
      <c r="H3074" t="s">
        <v>2795</v>
      </c>
      <c r="I3074" t="s">
        <v>475</v>
      </c>
      <c r="J3074">
        <v>2314</v>
      </c>
    </row>
    <row r="3075" spans="1:10">
      <c r="A3075" s="90" t="s">
        <v>51</v>
      </c>
      <c r="B3075" s="87">
        <v>45869</v>
      </c>
      <c r="C3075" t="s">
        <v>4394</v>
      </c>
      <c r="D3075" t="s">
        <v>2688</v>
      </c>
      <c r="E3075" t="s">
        <v>785</v>
      </c>
      <c r="F3075" t="s">
        <v>128</v>
      </c>
      <c r="G3075" t="s">
        <v>2213</v>
      </c>
      <c r="H3075" t="s">
        <v>470</v>
      </c>
      <c r="I3075" t="s">
        <v>475</v>
      </c>
      <c r="J3075">
        <v>3000</v>
      </c>
    </row>
    <row r="3076" spans="1:10">
      <c r="A3076" s="90" t="s">
        <v>51</v>
      </c>
      <c r="B3076" s="87">
        <v>45869</v>
      </c>
      <c r="C3076" t="s">
        <v>4394</v>
      </c>
      <c r="D3076" t="s">
        <v>2688</v>
      </c>
      <c r="E3076" t="s">
        <v>785</v>
      </c>
      <c r="F3076" t="s">
        <v>128</v>
      </c>
      <c r="G3076" t="s">
        <v>181</v>
      </c>
      <c r="H3076" t="s">
        <v>470</v>
      </c>
      <c r="I3076" t="s">
        <v>475</v>
      </c>
      <c r="J3076">
        <v>8400</v>
      </c>
    </row>
    <row r="3077" spans="1:10">
      <c r="A3077" s="90" t="s">
        <v>51</v>
      </c>
      <c r="B3077" s="87">
        <v>45869</v>
      </c>
      <c r="C3077" t="s">
        <v>4395</v>
      </c>
      <c r="D3077" t="s">
        <v>2688</v>
      </c>
      <c r="E3077" t="s">
        <v>785</v>
      </c>
      <c r="F3077" t="s">
        <v>147</v>
      </c>
      <c r="G3077" t="s">
        <v>2213</v>
      </c>
      <c r="H3077" t="s">
        <v>470</v>
      </c>
      <c r="I3077" t="s">
        <v>475</v>
      </c>
      <c r="J3077">
        <v>52110.06</v>
      </c>
    </row>
    <row r="3078" spans="1:10">
      <c r="A3078" s="90" t="s">
        <v>51</v>
      </c>
      <c r="B3078" s="87">
        <v>45869</v>
      </c>
      <c r="C3078" t="s">
        <v>4396</v>
      </c>
      <c r="D3078" t="s">
        <v>2688</v>
      </c>
      <c r="E3078" t="s">
        <v>785</v>
      </c>
      <c r="F3078" t="s">
        <v>154</v>
      </c>
      <c r="G3078" t="s">
        <v>2213</v>
      </c>
      <c r="H3078" t="s">
        <v>470</v>
      </c>
      <c r="I3078" t="s">
        <v>475</v>
      </c>
      <c r="J3078">
        <v>64925.19</v>
      </c>
    </row>
    <row r="3079" spans="1:10">
      <c r="A3079" s="90" t="s">
        <v>51</v>
      </c>
      <c r="B3079" s="87">
        <v>45869</v>
      </c>
      <c r="C3079" t="s">
        <v>4396</v>
      </c>
      <c r="D3079" t="s">
        <v>2688</v>
      </c>
      <c r="E3079" t="s">
        <v>785</v>
      </c>
      <c r="F3079" t="s">
        <v>154</v>
      </c>
      <c r="G3079" t="s">
        <v>78</v>
      </c>
      <c r="H3079" t="s">
        <v>470</v>
      </c>
      <c r="I3079" t="s">
        <v>475</v>
      </c>
      <c r="J3079">
        <v>0.09</v>
      </c>
    </row>
    <row r="3080" spans="1:10">
      <c r="A3080" s="90" t="s">
        <v>51</v>
      </c>
      <c r="B3080" s="87">
        <v>45869</v>
      </c>
      <c r="C3080" t="s">
        <v>4397</v>
      </c>
      <c r="D3080" t="s">
        <v>2688</v>
      </c>
      <c r="E3080" t="s">
        <v>785</v>
      </c>
      <c r="F3080" t="s">
        <v>142</v>
      </c>
      <c r="G3080" t="s">
        <v>2213</v>
      </c>
      <c r="H3080" t="s">
        <v>470</v>
      </c>
      <c r="I3080" t="s">
        <v>475</v>
      </c>
      <c r="J3080">
        <v>490.21</v>
      </c>
    </row>
    <row r="3081" spans="1:10">
      <c r="A3081" s="90" t="s">
        <v>51</v>
      </c>
      <c r="B3081" s="87">
        <v>45869</v>
      </c>
      <c r="C3081" t="s">
        <v>4397</v>
      </c>
      <c r="D3081" t="s">
        <v>2688</v>
      </c>
      <c r="E3081" t="s">
        <v>785</v>
      </c>
      <c r="F3081" t="s">
        <v>142</v>
      </c>
      <c r="G3081" t="s">
        <v>181</v>
      </c>
      <c r="H3081" t="s">
        <v>470</v>
      </c>
      <c r="I3081" t="s">
        <v>475</v>
      </c>
      <c r="J3081">
        <v>6662.86</v>
      </c>
    </row>
    <row r="3082" spans="1:10">
      <c r="A3082" s="90" t="s">
        <v>51</v>
      </c>
      <c r="B3082" s="87">
        <v>45869</v>
      </c>
      <c r="C3082" t="s">
        <v>4398</v>
      </c>
      <c r="D3082" t="s">
        <v>2688</v>
      </c>
      <c r="E3082" t="s">
        <v>785</v>
      </c>
      <c r="F3082" t="s">
        <v>124</v>
      </c>
      <c r="G3082" t="s">
        <v>2213</v>
      </c>
      <c r="H3082" t="s">
        <v>470</v>
      </c>
      <c r="I3082" t="s">
        <v>475</v>
      </c>
      <c r="J3082">
        <v>4447.3500000000004</v>
      </c>
    </row>
    <row r="3083" spans="1:10">
      <c r="A3083" s="90" t="s">
        <v>51</v>
      </c>
      <c r="B3083" s="87">
        <v>45869</v>
      </c>
      <c r="C3083" t="s">
        <v>4398</v>
      </c>
      <c r="D3083" t="s">
        <v>2688</v>
      </c>
      <c r="E3083" t="s">
        <v>785</v>
      </c>
      <c r="F3083" t="s">
        <v>124</v>
      </c>
      <c r="G3083" t="s">
        <v>181</v>
      </c>
      <c r="H3083" t="s">
        <v>470</v>
      </c>
      <c r="I3083" t="s">
        <v>475</v>
      </c>
      <c r="J3083">
        <v>10597.19</v>
      </c>
    </row>
    <row r="3084" spans="1:10">
      <c r="A3084" s="90" t="s">
        <v>51</v>
      </c>
      <c r="B3084" s="87">
        <v>45869</v>
      </c>
      <c r="C3084" t="s">
        <v>4399</v>
      </c>
      <c r="D3084" t="s">
        <v>2688</v>
      </c>
      <c r="E3084" t="s">
        <v>785</v>
      </c>
      <c r="F3084" t="s">
        <v>163</v>
      </c>
      <c r="G3084" t="s">
        <v>2213</v>
      </c>
      <c r="H3084" t="s">
        <v>470</v>
      </c>
      <c r="I3084" t="s">
        <v>475</v>
      </c>
      <c r="J3084">
        <v>10000</v>
      </c>
    </row>
    <row r="3085" spans="1:10">
      <c r="A3085" s="90" t="s">
        <v>51</v>
      </c>
      <c r="B3085" s="87">
        <v>45869</v>
      </c>
      <c r="C3085" t="s">
        <v>4400</v>
      </c>
      <c r="D3085" t="s">
        <v>2688</v>
      </c>
      <c r="E3085" t="s">
        <v>785</v>
      </c>
      <c r="F3085" t="s">
        <v>164</v>
      </c>
      <c r="G3085" t="s">
        <v>2213</v>
      </c>
      <c r="H3085" t="s">
        <v>470</v>
      </c>
      <c r="I3085" t="s">
        <v>475</v>
      </c>
      <c r="J3085">
        <v>10000</v>
      </c>
    </row>
    <row r="3086" spans="1:10">
      <c r="A3086" s="90" t="s">
        <v>51</v>
      </c>
      <c r="B3086" s="87">
        <v>45869</v>
      </c>
      <c r="C3086" t="s">
        <v>4401</v>
      </c>
      <c r="D3086" t="s">
        <v>2688</v>
      </c>
      <c r="E3086" t="s">
        <v>785</v>
      </c>
      <c r="F3086" t="s">
        <v>140</v>
      </c>
      <c r="G3086" t="s">
        <v>2213</v>
      </c>
      <c r="H3086" t="s">
        <v>470</v>
      </c>
      <c r="I3086" t="s">
        <v>475</v>
      </c>
      <c r="J3086">
        <v>19831.52</v>
      </c>
    </row>
    <row r="3087" spans="1:10">
      <c r="A3087" s="90" t="s">
        <v>51</v>
      </c>
      <c r="B3087" s="87">
        <v>45869</v>
      </c>
      <c r="C3087" t="s">
        <v>4400</v>
      </c>
      <c r="D3087" t="s">
        <v>2688</v>
      </c>
      <c r="E3087" t="s">
        <v>785</v>
      </c>
      <c r="F3087" t="s">
        <v>164</v>
      </c>
      <c r="G3087" t="s">
        <v>181</v>
      </c>
      <c r="H3087" t="s">
        <v>470</v>
      </c>
      <c r="I3087" t="s">
        <v>475</v>
      </c>
      <c r="J3087">
        <v>3620.8</v>
      </c>
    </row>
    <row r="3088" spans="1:10">
      <c r="A3088" s="90" t="s">
        <v>51</v>
      </c>
      <c r="B3088" s="87">
        <v>45869</v>
      </c>
      <c r="C3088" t="s">
        <v>4402</v>
      </c>
      <c r="D3088" t="s">
        <v>2688</v>
      </c>
      <c r="E3088" t="s">
        <v>785</v>
      </c>
      <c r="F3088" t="s">
        <v>136</v>
      </c>
      <c r="G3088" t="s">
        <v>2213</v>
      </c>
      <c r="H3088" t="s">
        <v>470</v>
      </c>
      <c r="I3088" t="s">
        <v>475</v>
      </c>
      <c r="J3088">
        <v>14136.05</v>
      </c>
    </row>
    <row r="3089" spans="1:10">
      <c r="A3089" s="90" t="s">
        <v>51</v>
      </c>
      <c r="B3089" s="87">
        <v>45869</v>
      </c>
      <c r="C3089" t="s">
        <v>3633</v>
      </c>
      <c r="D3089" t="s">
        <v>2688</v>
      </c>
      <c r="E3089" t="s">
        <v>1667</v>
      </c>
      <c r="F3089" t="s">
        <v>778</v>
      </c>
      <c r="G3089" t="s">
        <v>180</v>
      </c>
      <c r="H3089" t="s">
        <v>470</v>
      </c>
      <c r="I3089" t="s">
        <v>475</v>
      </c>
      <c r="J3089">
        <v>4508.2</v>
      </c>
    </row>
    <row r="3090" spans="1:10">
      <c r="A3090" s="90" t="s">
        <v>51</v>
      </c>
      <c r="B3090" s="87">
        <v>45869</v>
      </c>
      <c r="C3090" t="s">
        <v>2347</v>
      </c>
      <c r="D3090" t="s">
        <v>2688</v>
      </c>
      <c r="E3090" t="s">
        <v>477</v>
      </c>
      <c r="F3090" t="s">
        <v>778</v>
      </c>
      <c r="G3090" t="s">
        <v>68</v>
      </c>
      <c r="H3090" t="s">
        <v>470</v>
      </c>
      <c r="I3090" t="s">
        <v>471</v>
      </c>
      <c r="J3090">
        <v>4620.1099999999997</v>
      </c>
    </row>
    <row r="3091" spans="1:10">
      <c r="A3091" s="90" t="s">
        <v>51</v>
      </c>
      <c r="B3091" s="87">
        <v>45869</v>
      </c>
      <c r="C3091" t="s">
        <v>2347</v>
      </c>
      <c r="D3091" t="s">
        <v>2688</v>
      </c>
      <c r="E3091" t="s">
        <v>477</v>
      </c>
      <c r="F3091" t="s">
        <v>778</v>
      </c>
      <c r="G3091" t="s">
        <v>68</v>
      </c>
      <c r="H3091" t="s">
        <v>470</v>
      </c>
      <c r="I3091" t="s">
        <v>471</v>
      </c>
      <c r="J3091">
        <v>9931.94</v>
      </c>
    </row>
    <row r="3092" spans="1:10">
      <c r="A3092" s="90" t="s">
        <v>51</v>
      </c>
      <c r="B3092" s="87">
        <v>45869</v>
      </c>
      <c r="C3092" t="s">
        <v>511</v>
      </c>
      <c r="D3092" t="s">
        <v>2688</v>
      </c>
      <c r="E3092" t="s">
        <v>512</v>
      </c>
      <c r="F3092" t="s">
        <v>778</v>
      </c>
      <c r="G3092" t="s">
        <v>474</v>
      </c>
      <c r="H3092" t="s">
        <v>470</v>
      </c>
      <c r="I3092" t="s">
        <v>475</v>
      </c>
      <c r="J3092">
        <v>170676.42</v>
      </c>
    </row>
    <row r="3093" spans="1:10">
      <c r="A3093" s="90" t="s">
        <v>51</v>
      </c>
      <c r="B3093" s="87">
        <v>45870</v>
      </c>
      <c r="C3093" t="s">
        <v>4403</v>
      </c>
      <c r="D3093" t="s">
        <v>2688</v>
      </c>
      <c r="E3093" t="s">
        <v>1756</v>
      </c>
      <c r="F3093" t="s">
        <v>741</v>
      </c>
      <c r="G3093" t="s">
        <v>67</v>
      </c>
      <c r="H3093" t="s">
        <v>470</v>
      </c>
      <c r="I3093" t="s">
        <v>796</v>
      </c>
      <c r="J3093">
        <v>848.1</v>
      </c>
    </row>
    <row r="3094" spans="1:10">
      <c r="A3094" s="90" t="s">
        <v>51</v>
      </c>
      <c r="B3094" s="87">
        <v>45870</v>
      </c>
      <c r="C3094" t="s">
        <v>4403</v>
      </c>
      <c r="D3094" t="s">
        <v>2688</v>
      </c>
      <c r="E3094" t="s">
        <v>1756</v>
      </c>
      <c r="F3094" t="s">
        <v>741</v>
      </c>
      <c r="G3094" t="s">
        <v>78</v>
      </c>
      <c r="H3094" t="s">
        <v>470</v>
      </c>
      <c r="I3094" t="s">
        <v>796</v>
      </c>
      <c r="J3094">
        <v>0.04</v>
      </c>
    </row>
    <row r="3095" spans="1:10">
      <c r="A3095" s="90" t="s">
        <v>51</v>
      </c>
      <c r="B3095" s="87">
        <v>45870</v>
      </c>
      <c r="C3095" t="s">
        <v>4404</v>
      </c>
      <c r="D3095" t="s">
        <v>2688</v>
      </c>
      <c r="E3095" t="s">
        <v>2262</v>
      </c>
      <c r="F3095" t="s">
        <v>4405</v>
      </c>
      <c r="G3095" t="s">
        <v>73</v>
      </c>
      <c r="H3095" t="s">
        <v>2870</v>
      </c>
      <c r="I3095" t="s">
        <v>796</v>
      </c>
      <c r="J3095">
        <v>633.01</v>
      </c>
    </row>
    <row r="3096" spans="1:10">
      <c r="A3096" s="90" t="s">
        <v>51</v>
      </c>
      <c r="B3096" s="87">
        <v>45870</v>
      </c>
      <c r="C3096" t="s">
        <v>4357</v>
      </c>
      <c r="D3096" t="s">
        <v>2688</v>
      </c>
      <c r="E3096" t="s">
        <v>477</v>
      </c>
      <c r="F3096" t="s">
        <v>1449</v>
      </c>
      <c r="G3096" t="s">
        <v>66</v>
      </c>
      <c r="H3096" t="s">
        <v>470</v>
      </c>
      <c r="I3096" t="s">
        <v>471</v>
      </c>
      <c r="J3096">
        <v>11.56</v>
      </c>
    </row>
    <row r="3097" spans="1:10">
      <c r="A3097" s="90" t="s">
        <v>51</v>
      </c>
      <c r="B3097" s="87">
        <v>45870</v>
      </c>
      <c r="C3097" t="s">
        <v>511</v>
      </c>
      <c r="D3097" t="s">
        <v>2688</v>
      </c>
      <c r="E3097" t="s">
        <v>512</v>
      </c>
      <c r="F3097" t="s">
        <v>788</v>
      </c>
      <c r="G3097" t="s">
        <v>474</v>
      </c>
      <c r="H3097" t="s">
        <v>470</v>
      </c>
      <c r="I3097" t="s">
        <v>475</v>
      </c>
      <c r="J3097">
        <v>1492.71</v>
      </c>
    </row>
    <row r="3098" spans="1:10">
      <c r="A3098" s="90" t="s">
        <v>51</v>
      </c>
      <c r="B3098" s="87">
        <v>45874</v>
      </c>
      <c r="C3098" t="s">
        <v>4403</v>
      </c>
      <c r="D3098" t="s">
        <v>2688</v>
      </c>
      <c r="E3098" t="s">
        <v>1756</v>
      </c>
      <c r="F3098" t="s">
        <v>778</v>
      </c>
      <c r="G3098" t="s">
        <v>67</v>
      </c>
      <c r="H3098" t="s">
        <v>470</v>
      </c>
      <c r="I3098" t="s">
        <v>796</v>
      </c>
      <c r="J3098">
        <v>795.56</v>
      </c>
    </row>
    <row r="3099" spans="1:10">
      <c r="A3099" s="90" t="s">
        <v>51</v>
      </c>
      <c r="B3099" s="87">
        <v>45874</v>
      </c>
      <c r="C3099" t="s">
        <v>4406</v>
      </c>
      <c r="D3099" t="s">
        <v>2688</v>
      </c>
      <c r="E3099" t="s">
        <v>3949</v>
      </c>
      <c r="F3099" t="s">
        <v>778</v>
      </c>
      <c r="G3099" t="s">
        <v>65</v>
      </c>
      <c r="H3099" t="s">
        <v>2795</v>
      </c>
      <c r="I3099" t="s">
        <v>796</v>
      </c>
      <c r="J3099">
        <v>179.9</v>
      </c>
    </row>
    <row r="3100" spans="1:10">
      <c r="A3100" s="90" t="s">
        <v>51</v>
      </c>
      <c r="B3100" s="87">
        <v>45874</v>
      </c>
      <c r="C3100" t="s">
        <v>511</v>
      </c>
      <c r="D3100" t="s">
        <v>2688</v>
      </c>
      <c r="E3100" t="s">
        <v>512</v>
      </c>
      <c r="F3100" t="s">
        <v>788</v>
      </c>
      <c r="G3100" t="s">
        <v>474</v>
      </c>
      <c r="H3100" t="s">
        <v>470</v>
      </c>
      <c r="I3100" t="s">
        <v>475</v>
      </c>
      <c r="J3100">
        <v>975.46</v>
      </c>
    </row>
    <row r="3101" spans="1:10">
      <c r="A3101" s="90" t="s">
        <v>51</v>
      </c>
      <c r="B3101" s="87">
        <v>45877</v>
      </c>
      <c r="C3101" t="s">
        <v>4407</v>
      </c>
      <c r="D3101" t="s">
        <v>2688</v>
      </c>
      <c r="E3101" t="s">
        <v>4408</v>
      </c>
      <c r="F3101" t="s">
        <v>4409</v>
      </c>
      <c r="G3101" t="s">
        <v>192</v>
      </c>
      <c r="H3101" t="s">
        <v>2123</v>
      </c>
      <c r="I3101" t="s">
        <v>475</v>
      </c>
      <c r="J3101">
        <v>33305.019999999997</v>
      </c>
    </row>
    <row r="3102" spans="1:10">
      <c r="A3102" s="90" t="s">
        <v>51</v>
      </c>
      <c r="B3102" s="87">
        <v>45877</v>
      </c>
      <c r="C3102" t="s">
        <v>4407</v>
      </c>
      <c r="D3102" t="s">
        <v>2688</v>
      </c>
      <c r="E3102" t="s">
        <v>4408</v>
      </c>
      <c r="F3102" t="s">
        <v>4409</v>
      </c>
      <c r="G3102" t="s">
        <v>192</v>
      </c>
      <c r="H3102" t="s">
        <v>2123</v>
      </c>
      <c r="I3102" t="s">
        <v>475</v>
      </c>
      <c r="J3102">
        <v>36516.26</v>
      </c>
    </row>
    <row r="3103" spans="1:10">
      <c r="A3103" s="90" t="s">
        <v>51</v>
      </c>
      <c r="B3103" s="87">
        <v>45877</v>
      </c>
      <c r="C3103" t="s">
        <v>4410</v>
      </c>
      <c r="D3103" t="s">
        <v>2688</v>
      </c>
      <c r="E3103" t="s">
        <v>4408</v>
      </c>
      <c r="F3103" t="s">
        <v>4409</v>
      </c>
      <c r="G3103" t="s">
        <v>192</v>
      </c>
      <c r="H3103" t="s">
        <v>2123</v>
      </c>
      <c r="I3103" t="s">
        <v>475</v>
      </c>
      <c r="J3103">
        <v>36516.26</v>
      </c>
    </row>
    <row r="3104" spans="1:10">
      <c r="A3104" s="90" t="s">
        <v>51</v>
      </c>
      <c r="B3104" s="87">
        <v>45877</v>
      </c>
      <c r="C3104" t="s">
        <v>4410</v>
      </c>
      <c r="D3104" t="s">
        <v>2688</v>
      </c>
      <c r="E3104" t="s">
        <v>4408</v>
      </c>
      <c r="F3104" t="s">
        <v>4409</v>
      </c>
      <c r="G3104" t="s">
        <v>192</v>
      </c>
      <c r="H3104" t="s">
        <v>2123</v>
      </c>
      <c r="I3104" t="s">
        <v>475</v>
      </c>
      <c r="J3104">
        <v>40037.14</v>
      </c>
    </row>
    <row r="3105" spans="1:10">
      <c r="A3105" s="90" t="s">
        <v>51</v>
      </c>
      <c r="B3105" s="87">
        <v>45877</v>
      </c>
      <c r="C3105" t="s">
        <v>4411</v>
      </c>
      <c r="D3105" t="s">
        <v>2688</v>
      </c>
      <c r="E3105" t="s">
        <v>4412</v>
      </c>
      <c r="F3105" t="s">
        <v>4413</v>
      </c>
      <c r="G3105" t="s">
        <v>194</v>
      </c>
      <c r="H3105" t="s">
        <v>2123</v>
      </c>
      <c r="I3105" t="s">
        <v>487</v>
      </c>
      <c r="J3105">
        <v>490</v>
      </c>
    </row>
    <row r="3106" spans="1:10">
      <c r="A3106" s="90" t="s">
        <v>51</v>
      </c>
      <c r="B3106" s="87">
        <v>45877</v>
      </c>
      <c r="C3106" t="s">
        <v>4414</v>
      </c>
      <c r="D3106" t="s">
        <v>2688</v>
      </c>
      <c r="E3106" t="s">
        <v>2702</v>
      </c>
      <c r="F3106" t="s">
        <v>4415</v>
      </c>
      <c r="G3106" t="s">
        <v>63</v>
      </c>
      <c r="H3106" t="s">
        <v>470</v>
      </c>
      <c r="I3106" t="s">
        <v>796</v>
      </c>
      <c r="J3106">
        <v>125</v>
      </c>
    </row>
    <row r="3107" spans="1:10">
      <c r="A3107" s="90" t="s">
        <v>51</v>
      </c>
      <c r="B3107" s="87">
        <v>45877</v>
      </c>
      <c r="C3107" t="s">
        <v>511</v>
      </c>
      <c r="D3107" t="s">
        <v>2688</v>
      </c>
      <c r="E3107" t="s">
        <v>512</v>
      </c>
      <c r="F3107" t="s">
        <v>788</v>
      </c>
      <c r="G3107" t="s">
        <v>474</v>
      </c>
      <c r="H3107" t="s">
        <v>470</v>
      </c>
      <c r="I3107" t="s">
        <v>475</v>
      </c>
      <c r="J3107">
        <v>69821.279999999999</v>
      </c>
    </row>
    <row r="3108" spans="1:10">
      <c r="A3108" s="90" t="s">
        <v>51</v>
      </c>
      <c r="B3108" s="87">
        <v>45877</v>
      </c>
      <c r="C3108" t="s">
        <v>511</v>
      </c>
      <c r="D3108" t="s">
        <v>2688</v>
      </c>
      <c r="E3108" t="s">
        <v>512</v>
      </c>
      <c r="F3108" t="s">
        <v>788</v>
      </c>
      <c r="G3108" t="s">
        <v>474</v>
      </c>
      <c r="H3108" t="s">
        <v>470</v>
      </c>
      <c r="I3108" t="s">
        <v>475</v>
      </c>
      <c r="J3108">
        <v>615</v>
      </c>
    </row>
    <row r="3109" spans="1:10">
      <c r="A3109" s="90" t="s">
        <v>51</v>
      </c>
      <c r="B3109" s="87">
        <v>45880</v>
      </c>
      <c r="C3109" t="s">
        <v>4416</v>
      </c>
      <c r="D3109" t="s">
        <v>2688</v>
      </c>
      <c r="E3109" t="s">
        <v>4041</v>
      </c>
      <c r="F3109" t="s">
        <v>788</v>
      </c>
      <c r="G3109" t="s">
        <v>71</v>
      </c>
      <c r="H3109" t="s">
        <v>470</v>
      </c>
      <c r="I3109" t="s">
        <v>482</v>
      </c>
      <c r="J3109">
        <v>3000</v>
      </c>
    </row>
    <row r="3110" spans="1:10">
      <c r="A3110" s="90" t="s">
        <v>51</v>
      </c>
      <c r="B3110" s="87">
        <v>45880</v>
      </c>
      <c r="C3110" t="s">
        <v>2295</v>
      </c>
      <c r="D3110" t="s">
        <v>2688</v>
      </c>
      <c r="E3110" t="s">
        <v>477</v>
      </c>
      <c r="F3110" t="s">
        <v>788</v>
      </c>
      <c r="G3110" t="s">
        <v>2295</v>
      </c>
      <c r="H3110" t="s">
        <v>470</v>
      </c>
      <c r="I3110" t="s">
        <v>471</v>
      </c>
      <c r="J3110">
        <v>695.66</v>
      </c>
    </row>
    <row r="3111" spans="1:10">
      <c r="A3111" s="90" t="s">
        <v>51</v>
      </c>
      <c r="B3111" s="87">
        <v>45880</v>
      </c>
      <c r="C3111" t="s">
        <v>2275</v>
      </c>
      <c r="D3111" t="s">
        <v>2688</v>
      </c>
      <c r="E3111" t="s">
        <v>477</v>
      </c>
      <c r="F3111" t="s">
        <v>788</v>
      </c>
      <c r="G3111" t="s">
        <v>74</v>
      </c>
      <c r="H3111" t="s">
        <v>470</v>
      </c>
      <c r="I3111" t="s">
        <v>471</v>
      </c>
      <c r="J3111">
        <v>95</v>
      </c>
    </row>
    <row r="3112" spans="1:10">
      <c r="A3112" s="90" t="s">
        <v>51</v>
      </c>
      <c r="B3112" s="87">
        <v>45880</v>
      </c>
      <c r="C3112" t="s">
        <v>4222</v>
      </c>
      <c r="D3112" t="s">
        <v>2688</v>
      </c>
      <c r="E3112" t="s">
        <v>477</v>
      </c>
      <c r="F3112" t="s">
        <v>1449</v>
      </c>
      <c r="G3112" t="s">
        <v>69</v>
      </c>
      <c r="H3112" t="s">
        <v>470</v>
      </c>
      <c r="I3112" t="s">
        <v>471</v>
      </c>
      <c r="J3112">
        <v>178.79</v>
      </c>
    </row>
    <row r="3113" spans="1:10">
      <c r="A3113" s="90" t="s">
        <v>51</v>
      </c>
      <c r="B3113" s="87">
        <v>45880</v>
      </c>
      <c r="C3113" t="s">
        <v>511</v>
      </c>
      <c r="D3113" t="s">
        <v>2688</v>
      </c>
      <c r="E3113" t="s">
        <v>512</v>
      </c>
      <c r="F3113" t="s">
        <v>788</v>
      </c>
      <c r="G3113" t="s">
        <v>474</v>
      </c>
      <c r="H3113" t="s">
        <v>470</v>
      </c>
      <c r="I3113" t="s">
        <v>475</v>
      </c>
      <c r="J3113">
        <v>3969.45</v>
      </c>
    </row>
    <row r="3114" spans="1:10">
      <c r="A3114" s="90" t="s">
        <v>51</v>
      </c>
      <c r="B3114" s="87">
        <v>45882</v>
      </c>
      <c r="C3114" t="s">
        <v>2454</v>
      </c>
      <c r="D3114" t="s">
        <v>2688</v>
      </c>
      <c r="E3114" t="s">
        <v>1667</v>
      </c>
      <c r="F3114" t="s">
        <v>788</v>
      </c>
      <c r="G3114" t="s">
        <v>71</v>
      </c>
      <c r="H3114" t="s">
        <v>470</v>
      </c>
      <c r="I3114" t="s">
        <v>475</v>
      </c>
      <c r="J3114">
        <v>6000</v>
      </c>
    </row>
    <row r="3115" spans="1:10">
      <c r="A3115" s="90" t="s">
        <v>51</v>
      </c>
      <c r="B3115" s="87">
        <v>45882</v>
      </c>
      <c r="C3115" t="s">
        <v>511</v>
      </c>
      <c r="D3115" t="s">
        <v>2688</v>
      </c>
      <c r="E3115" t="s">
        <v>512</v>
      </c>
      <c r="F3115" t="s">
        <v>788</v>
      </c>
      <c r="G3115" t="s">
        <v>474</v>
      </c>
      <c r="H3115" t="s">
        <v>470</v>
      </c>
      <c r="I3115" t="s">
        <v>475</v>
      </c>
      <c r="J3115">
        <v>6000</v>
      </c>
    </row>
    <row r="3116" spans="1:10">
      <c r="A3116" s="90" t="s">
        <v>51</v>
      </c>
      <c r="B3116" s="87">
        <v>45884</v>
      </c>
      <c r="C3116" t="s">
        <v>3050</v>
      </c>
      <c r="D3116" t="s">
        <v>2688</v>
      </c>
      <c r="E3116" t="s">
        <v>3107</v>
      </c>
      <c r="F3116" t="s">
        <v>788</v>
      </c>
      <c r="G3116" t="s">
        <v>60</v>
      </c>
      <c r="H3116" t="s">
        <v>2870</v>
      </c>
      <c r="I3116" t="s">
        <v>796</v>
      </c>
      <c r="J3116">
        <v>86.19</v>
      </c>
    </row>
    <row r="3117" spans="1:10">
      <c r="A3117" s="90" t="s">
        <v>51</v>
      </c>
      <c r="B3117" s="87">
        <v>45884</v>
      </c>
      <c r="C3117" t="s">
        <v>511</v>
      </c>
      <c r="D3117" t="s">
        <v>2688</v>
      </c>
      <c r="E3117" t="s">
        <v>512</v>
      </c>
      <c r="F3117" t="s">
        <v>788</v>
      </c>
      <c r="G3117" t="s">
        <v>474</v>
      </c>
      <c r="H3117" t="s">
        <v>470</v>
      </c>
      <c r="I3117" t="s">
        <v>475</v>
      </c>
      <c r="J3117">
        <v>86.19</v>
      </c>
    </row>
    <row r="3118" spans="1:10">
      <c r="A3118" s="90" t="s">
        <v>51</v>
      </c>
      <c r="B3118" s="87">
        <v>45887</v>
      </c>
      <c r="C3118" t="s">
        <v>511</v>
      </c>
      <c r="D3118" t="s">
        <v>2688</v>
      </c>
      <c r="E3118" t="s">
        <v>512</v>
      </c>
      <c r="F3118" t="s">
        <v>788</v>
      </c>
      <c r="G3118" t="s">
        <v>474</v>
      </c>
      <c r="H3118" t="s">
        <v>470</v>
      </c>
      <c r="I3118" t="s">
        <v>475</v>
      </c>
      <c r="J3118">
        <v>60000</v>
      </c>
    </row>
    <row r="3119" spans="1:10">
      <c r="A3119" s="90" t="s">
        <v>51</v>
      </c>
      <c r="B3119" s="87">
        <v>45887</v>
      </c>
      <c r="C3119" t="s">
        <v>4417</v>
      </c>
      <c r="D3119" t="s">
        <v>2688</v>
      </c>
      <c r="E3119" t="s">
        <v>477</v>
      </c>
      <c r="F3119" t="s">
        <v>3954</v>
      </c>
      <c r="G3119" t="s">
        <v>515</v>
      </c>
      <c r="H3119" t="s">
        <v>4418</v>
      </c>
      <c r="I3119" t="s">
        <v>471</v>
      </c>
      <c r="J3119">
        <v>54166.67</v>
      </c>
    </row>
    <row r="3120" spans="1:10">
      <c r="A3120" s="90" t="s">
        <v>51</v>
      </c>
      <c r="B3120" s="87">
        <v>45887</v>
      </c>
      <c r="C3120" t="s">
        <v>4417</v>
      </c>
      <c r="D3120" t="s">
        <v>2688</v>
      </c>
      <c r="E3120" t="s">
        <v>477</v>
      </c>
      <c r="F3120" t="s">
        <v>3954</v>
      </c>
      <c r="G3120" t="s">
        <v>69</v>
      </c>
      <c r="H3120" t="s">
        <v>4418</v>
      </c>
      <c r="I3120" t="s">
        <v>471</v>
      </c>
      <c r="J3120">
        <v>5211.01</v>
      </c>
    </row>
    <row r="3121" spans="1:10">
      <c r="A3121" s="90" t="s">
        <v>51</v>
      </c>
      <c r="B3121" s="87">
        <v>45887</v>
      </c>
      <c r="C3121" t="s">
        <v>517</v>
      </c>
      <c r="D3121" t="s">
        <v>2688</v>
      </c>
      <c r="E3121" t="s">
        <v>512</v>
      </c>
      <c r="F3121" t="s">
        <v>788</v>
      </c>
      <c r="G3121" t="s">
        <v>474</v>
      </c>
      <c r="H3121" t="s">
        <v>470</v>
      </c>
      <c r="I3121" t="s">
        <v>475</v>
      </c>
      <c r="J3121">
        <v>622.32000000000005</v>
      </c>
    </row>
    <row r="3122" spans="1:10">
      <c r="A3122" s="90" t="s">
        <v>51</v>
      </c>
      <c r="B3122" s="87">
        <v>45889</v>
      </c>
      <c r="C3122" t="s">
        <v>4378</v>
      </c>
      <c r="D3122" t="s">
        <v>2688</v>
      </c>
      <c r="E3122" t="s">
        <v>2318</v>
      </c>
      <c r="F3122" t="s">
        <v>778</v>
      </c>
      <c r="G3122" t="s">
        <v>64</v>
      </c>
      <c r="H3122" t="s">
        <v>2795</v>
      </c>
      <c r="I3122" t="s">
        <v>796</v>
      </c>
      <c r="J3122">
        <v>806</v>
      </c>
    </row>
    <row r="3123" spans="1:10">
      <c r="A3123" s="90" t="s">
        <v>51</v>
      </c>
      <c r="B3123" s="87">
        <v>45889</v>
      </c>
      <c r="C3123" t="s">
        <v>517</v>
      </c>
      <c r="D3123" t="s">
        <v>2688</v>
      </c>
      <c r="E3123" t="s">
        <v>512</v>
      </c>
      <c r="F3123" t="s">
        <v>788</v>
      </c>
      <c r="G3123" t="s">
        <v>474</v>
      </c>
      <c r="H3123" t="s">
        <v>470</v>
      </c>
      <c r="I3123" t="s">
        <v>475</v>
      </c>
      <c r="J3123">
        <v>6244.11</v>
      </c>
    </row>
    <row r="3124" spans="1:10">
      <c r="A3124" s="90" t="s">
        <v>51</v>
      </c>
      <c r="B3124" s="87">
        <v>45895</v>
      </c>
      <c r="C3124" t="s">
        <v>3961</v>
      </c>
      <c r="D3124" t="s">
        <v>2688</v>
      </c>
      <c r="E3124" t="s">
        <v>3962</v>
      </c>
      <c r="F3124" t="s">
        <v>4419</v>
      </c>
      <c r="G3124" t="s">
        <v>63</v>
      </c>
      <c r="H3124" t="s">
        <v>2870</v>
      </c>
      <c r="I3124" t="s">
        <v>475</v>
      </c>
      <c r="J3124">
        <v>94.37</v>
      </c>
    </row>
    <row r="3125" spans="1:10">
      <c r="A3125" s="90" t="s">
        <v>51</v>
      </c>
      <c r="B3125" s="87">
        <v>45895</v>
      </c>
      <c r="C3125" t="s">
        <v>511</v>
      </c>
      <c r="D3125" t="s">
        <v>2688</v>
      </c>
      <c r="E3125" t="s">
        <v>512</v>
      </c>
      <c r="F3125" t="s">
        <v>788</v>
      </c>
      <c r="G3125" t="s">
        <v>474</v>
      </c>
      <c r="H3125" t="s">
        <v>470</v>
      </c>
      <c r="I3125" t="s">
        <v>475</v>
      </c>
      <c r="J3125">
        <v>94.37</v>
      </c>
    </row>
    <row r="3126" spans="1:10">
      <c r="A3126" s="90" t="s">
        <v>51</v>
      </c>
      <c r="B3126" s="87">
        <v>45896</v>
      </c>
      <c r="C3126" t="s">
        <v>4420</v>
      </c>
      <c r="D3126" t="s">
        <v>2688</v>
      </c>
      <c r="E3126" t="s">
        <v>4421</v>
      </c>
      <c r="F3126" t="s">
        <v>4422</v>
      </c>
      <c r="G3126" t="s">
        <v>193</v>
      </c>
      <c r="H3126" t="s">
        <v>470</v>
      </c>
      <c r="I3126" t="s">
        <v>487</v>
      </c>
      <c r="J3126">
        <v>7500</v>
      </c>
    </row>
    <row r="3127" spans="1:10">
      <c r="A3127" s="90" t="s">
        <v>51</v>
      </c>
      <c r="B3127" s="87">
        <v>45896</v>
      </c>
      <c r="C3127" t="s">
        <v>511</v>
      </c>
      <c r="D3127" t="s">
        <v>2688</v>
      </c>
      <c r="E3127" t="s">
        <v>512</v>
      </c>
      <c r="F3127" t="s">
        <v>788</v>
      </c>
      <c r="G3127" t="s">
        <v>474</v>
      </c>
      <c r="H3127" t="s">
        <v>470</v>
      </c>
      <c r="I3127" t="s">
        <v>475</v>
      </c>
      <c r="J3127">
        <v>6772.45</v>
      </c>
    </row>
    <row r="3128" spans="1:10">
      <c r="A3128" s="90" t="s">
        <v>51</v>
      </c>
      <c r="B3128" s="87">
        <v>45896</v>
      </c>
      <c r="C3128" t="s">
        <v>511</v>
      </c>
      <c r="D3128" t="s">
        <v>2688</v>
      </c>
      <c r="E3128" t="s">
        <v>512</v>
      </c>
      <c r="F3128" t="s">
        <v>788</v>
      </c>
      <c r="G3128" t="s">
        <v>474</v>
      </c>
      <c r="H3128" t="s">
        <v>470</v>
      </c>
      <c r="I3128" t="s">
        <v>475</v>
      </c>
      <c r="J3128">
        <v>727.55</v>
      </c>
    </row>
    <row r="3129" spans="1:10">
      <c r="A3129" s="90" t="s">
        <v>51</v>
      </c>
      <c r="B3129" s="87">
        <v>45897</v>
      </c>
      <c r="C3129" t="s">
        <v>4423</v>
      </c>
      <c r="D3129" t="s">
        <v>2688</v>
      </c>
      <c r="E3129" t="s">
        <v>4424</v>
      </c>
      <c r="F3129" t="s">
        <v>1759</v>
      </c>
      <c r="G3129" t="s">
        <v>2112</v>
      </c>
      <c r="H3129" t="s">
        <v>470</v>
      </c>
      <c r="I3129" t="s">
        <v>796</v>
      </c>
      <c r="J3129">
        <v>20485</v>
      </c>
    </row>
    <row r="3130" spans="1:10">
      <c r="A3130" s="90" t="s">
        <v>51</v>
      </c>
      <c r="B3130" s="87">
        <v>45897</v>
      </c>
      <c r="C3130" t="s">
        <v>511</v>
      </c>
      <c r="D3130" t="s">
        <v>2688</v>
      </c>
      <c r="E3130" t="s">
        <v>512</v>
      </c>
      <c r="F3130" t="s">
        <v>788</v>
      </c>
      <c r="G3130" t="s">
        <v>474</v>
      </c>
      <c r="H3130" t="s">
        <v>470</v>
      </c>
      <c r="I3130" t="s">
        <v>475</v>
      </c>
      <c r="J3130">
        <v>20485</v>
      </c>
    </row>
    <row r="3131" spans="1:10">
      <c r="A3131" s="90" t="s">
        <v>51</v>
      </c>
      <c r="B3131" s="87">
        <v>45898</v>
      </c>
      <c r="C3131" t="s">
        <v>2336</v>
      </c>
      <c r="D3131" t="s">
        <v>2688</v>
      </c>
      <c r="E3131" t="s">
        <v>1667</v>
      </c>
      <c r="F3131" t="s">
        <v>788</v>
      </c>
      <c r="G3131" t="s">
        <v>71</v>
      </c>
      <c r="H3131" t="s">
        <v>2870</v>
      </c>
      <c r="I3131" t="s">
        <v>475</v>
      </c>
      <c r="J3131">
        <v>2314</v>
      </c>
    </row>
    <row r="3132" spans="1:10">
      <c r="A3132" s="90" t="s">
        <v>51</v>
      </c>
      <c r="B3132" s="87">
        <v>45898</v>
      </c>
      <c r="C3132" t="s">
        <v>4425</v>
      </c>
      <c r="D3132" t="s">
        <v>2688</v>
      </c>
      <c r="E3132" t="s">
        <v>1137</v>
      </c>
      <c r="F3132" t="s">
        <v>4426</v>
      </c>
      <c r="G3132" t="s">
        <v>61</v>
      </c>
      <c r="H3132" t="s">
        <v>2870</v>
      </c>
      <c r="I3132" t="s">
        <v>487</v>
      </c>
      <c r="J3132">
        <v>1518</v>
      </c>
    </row>
    <row r="3133" spans="1:10">
      <c r="A3133" s="90" t="s">
        <v>51</v>
      </c>
      <c r="B3133" s="87">
        <v>45898</v>
      </c>
      <c r="C3133" t="s">
        <v>4427</v>
      </c>
      <c r="D3133" t="s">
        <v>2688</v>
      </c>
      <c r="E3133" t="s">
        <v>4428</v>
      </c>
      <c r="F3133" t="s">
        <v>4429</v>
      </c>
      <c r="G3133" t="s">
        <v>191</v>
      </c>
      <c r="H3133" t="s">
        <v>470</v>
      </c>
      <c r="I3133" t="s">
        <v>796</v>
      </c>
      <c r="J3133">
        <v>390</v>
      </c>
    </row>
    <row r="3134" spans="1:10">
      <c r="A3134" s="90" t="s">
        <v>51</v>
      </c>
      <c r="B3134" s="87">
        <v>45898</v>
      </c>
      <c r="C3134" t="s">
        <v>3633</v>
      </c>
      <c r="D3134" t="s">
        <v>2688</v>
      </c>
      <c r="E3134" t="s">
        <v>1667</v>
      </c>
      <c r="F3134" t="s">
        <v>788</v>
      </c>
      <c r="G3134" t="s">
        <v>180</v>
      </c>
      <c r="H3134" t="s">
        <v>470</v>
      </c>
      <c r="I3134" t="s">
        <v>475</v>
      </c>
      <c r="J3134">
        <v>2403.9</v>
      </c>
    </row>
    <row r="3135" spans="1:10">
      <c r="A3135" s="90" t="s">
        <v>51</v>
      </c>
      <c r="B3135" s="87">
        <v>45898</v>
      </c>
      <c r="C3135" t="s">
        <v>2707</v>
      </c>
      <c r="D3135" t="s">
        <v>2688</v>
      </c>
      <c r="E3135" t="s">
        <v>1667</v>
      </c>
      <c r="F3135" t="s">
        <v>788</v>
      </c>
      <c r="G3135" t="s">
        <v>71</v>
      </c>
      <c r="H3135" t="s">
        <v>470</v>
      </c>
      <c r="I3135" t="s">
        <v>475</v>
      </c>
      <c r="J3135">
        <v>175000</v>
      </c>
    </row>
    <row r="3136" spans="1:10">
      <c r="A3136" s="90" t="s">
        <v>51</v>
      </c>
      <c r="B3136" s="87">
        <v>45898</v>
      </c>
      <c r="C3136" t="s">
        <v>511</v>
      </c>
      <c r="D3136" t="s">
        <v>2688</v>
      </c>
      <c r="E3136" t="s">
        <v>512</v>
      </c>
      <c r="F3136" t="s">
        <v>788</v>
      </c>
      <c r="G3136" t="s">
        <v>474</v>
      </c>
      <c r="H3136" t="s">
        <v>470</v>
      </c>
      <c r="I3136" t="s">
        <v>475</v>
      </c>
      <c r="J3136">
        <v>28000</v>
      </c>
    </row>
    <row r="3137" spans="1:10">
      <c r="A3137" s="90" t="s">
        <v>51</v>
      </c>
      <c r="B3137" s="87">
        <v>45898</v>
      </c>
      <c r="C3137" t="s">
        <v>511</v>
      </c>
      <c r="D3137" t="s">
        <v>2688</v>
      </c>
      <c r="E3137" t="s">
        <v>512</v>
      </c>
      <c r="F3137" t="s">
        <v>788</v>
      </c>
      <c r="G3137" t="s">
        <v>474</v>
      </c>
      <c r="H3137" t="s">
        <v>470</v>
      </c>
      <c r="I3137" t="s">
        <v>475</v>
      </c>
      <c r="J3137">
        <v>175000</v>
      </c>
    </row>
    <row r="3138" spans="1:10">
      <c r="A3138" s="90" t="s">
        <v>51</v>
      </c>
      <c r="B3138" s="87">
        <v>45898</v>
      </c>
      <c r="C3138" t="s">
        <v>4430</v>
      </c>
      <c r="D3138" t="s">
        <v>2688</v>
      </c>
      <c r="E3138" t="s">
        <v>4424</v>
      </c>
      <c r="F3138" t="s">
        <v>1761</v>
      </c>
      <c r="G3138" t="s">
        <v>2112</v>
      </c>
      <c r="H3138" t="s">
        <v>470</v>
      </c>
      <c r="I3138" t="s">
        <v>796</v>
      </c>
      <c r="J3138">
        <v>18887</v>
      </c>
    </row>
    <row r="3139" spans="1:10">
      <c r="A3139" s="90" t="s">
        <v>51</v>
      </c>
      <c r="B3139" s="87">
        <v>45898</v>
      </c>
      <c r="C3139" t="s">
        <v>517</v>
      </c>
      <c r="D3139" t="s">
        <v>2688</v>
      </c>
      <c r="E3139" t="s">
        <v>512</v>
      </c>
      <c r="F3139" t="s">
        <v>788</v>
      </c>
      <c r="G3139" t="s">
        <v>474</v>
      </c>
      <c r="H3139" t="s">
        <v>470</v>
      </c>
      <c r="I3139" t="s">
        <v>475</v>
      </c>
      <c r="J3139">
        <v>2487.1</v>
      </c>
    </row>
    <row r="3140" spans="1:10">
      <c r="A3140" s="90" t="s">
        <v>51</v>
      </c>
      <c r="B3140" s="87">
        <v>45898</v>
      </c>
      <c r="C3140" t="s">
        <v>66</v>
      </c>
      <c r="D3140" t="s">
        <v>2688</v>
      </c>
      <c r="E3140" t="s">
        <v>477</v>
      </c>
      <c r="F3140" t="s">
        <v>788</v>
      </c>
      <c r="G3140" t="s">
        <v>66</v>
      </c>
      <c r="H3140" t="s">
        <v>470</v>
      </c>
      <c r="I3140" t="s">
        <v>471</v>
      </c>
      <c r="J3140">
        <v>90.2</v>
      </c>
    </row>
    <row r="3141" spans="1:10">
      <c r="A3141" s="90" t="s">
        <v>51</v>
      </c>
      <c r="B3141" s="87">
        <v>45898</v>
      </c>
      <c r="C3141" t="s">
        <v>2347</v>
      </c>
      <c r="D3141" t="s">
        <v>2688</v>
      </c>
      <c r="E3141" t="s">
        <v>477</v>
      </c>
      <c r="F3141" t="s">
        <v>788</v>
      </c>
      <c r="G3141" t="s">
        <v>68</v>
      </c>
      <c r="H3141" t="s">
        <v>470</v>
      </c>
      <c r="I3141" t="s">
        <v>471</v>
      </c>
      <c r="J3141">
        <v>2965.84</v>
      </c>
    </row>
    <row r="3142" spans="1:10">
      <c r="A3142" s="90" t="s">
        <v>51</v>
      </c>
      <c r="B3142" s="87">
        <v>45901</v>
      </c>
      <c r="C3142" t="s">
        <v>4357</v>
      </c>
      <c r="D3142" t="s">
        <v>2688</v>
      </c>
      <c r="E3142" t="s">
        <v>477</v>
      </c>
      <c r="F3142" t="s">
        <v>1449</v>
      </c>
      <c r="G3142" t="s">
        <v>66</v>
      </c>
      <c r="H3142" t="s">
        <v>470</v>
      </c>
      <c r="I3142" t="s">
        <v>471</v>
      </c>
      <c r="J3142">
        <v>15.58</v>
      </c>
    </row>
    <row r="3143" spans="1:10">
      <c r="A3143" s="90" t="s">
        <v>51</v>
      </c>
      <c r="B3143" s="87">
        <v>45901</v>
      </c>
      <c r="C3143" t="s">
        <v>4431</v>
      </c>
      <c r="D3143" t="s">
        <v>2688</v>
      </c>
      <c r="E3143" t="s">
        <v>2262</v>
      </c>
      <c r="F3143" t="s">
        <v>4432</v>
      </c>
      <c r="G3143" t="s">
        <v>73</v>
      </c>
      <c r="H3143" t="s">
        <v>2994</v>
      </c>
      <c r="I3143" t="s">
        <v>471</v>
      </c>
      <c r="J3143">
        <v>633.01</v>
      </c>
    </row>
    <row r="3144" spans="1:10">
      <c r="A3144" s="90" t="s">
        <v>51</v>
      </c>
      <c r="B3144" s="87">
        <v>45901</v>
      </c>
      <c r="C3144" t="s">
        <v>511</v>
      </c>
      <c r="D3144" t="s">
        <v>2688</v>
      </c>
      <c r="E3144" t="s">
        <v>512</v>
      </c>
      <c r="F3144" t="s">
        <v>802</v>
      </c>
      <c r="G3144" t="s">
        <v>474</v>
      </c>
      <c r="H3144" t="s">
        <v>470</v>
      </c>
      <c r="I3144" t="s">
        <v>475</v>
      </c>
      <c r="J3144">
        <v>648.59</v>
      </c>
    </row>
    <row r="3145" spans="1:10">
      <c r="A3145" s="90" t="s">
        <v>51</v>
      </c>
      <c r="B3145" s="87">
        <v>45902</v>
      </c>
      <c r="C3145" t="s">
        <v>517</v>
      </c>
      <c r="D3145" t="s">
        <v>2688</v>
      </c>
      <c r="E3145" t="s">
        <v>512</v>
      </c>
      <c r="F3145" t="s">
        <v>802</v>
      </c>
      <c r="G3145" t="s">
        <v>474</v>
      </c>
      <c r="H3145" t="s">
        <v>470</v>
      </c>
      <c r="I3145" t="s">
        <v>475</v>
      </c>
      <c r="J3145">
        <v>25305</v>
      </c>
    </row>
    <row r="3146" spans="1:10">
      <c r="A3146" s="90" t="s">
        <v>51</v>
      </c>
      <c r="B3146" s="87">
        <v>45903</v>
      </c>
      <c r="C3146" t="s">
        <v>4433</v>
      </c>
      <c r="D3146" t="s">
        <v>2688</v>
      </c>
      <c r="E3146" t="s">
        <v>4424</v>
      </c>
      <c r="F3146" t="s">
        <v>1791</v>
      </c>
      <c r="G3146" t="s">
        <v>2112</v>
      </c>
      <c r="H3146" t="s">
        <v>470</v>
      </c>
      <c r="I3146" t="s">
        <v>796</v>
      </c>
      <c r="J3146">
        <v>18020</v>
      </c>
    </row>
    <row r="3147" spans="1:10">
      <c r="A3147" s="90" t="s">
        <v>51</v>
      </c>
      <c r="B3147" s="87">
        <v>45903</v>
      </c>
      <c r="C3147" t="s">
        <v>4434</v>
      </c>
      <c r="D3147" t="s">
        <v>2688</v>
      </c>
      <c r="E3147" t="s">
        <v>4424</v>
      </c>
      <c r="F3147" t="s">
        <v>1767</v>
      </c>
      <c r="G3147" t="s">
        <v>2112</v>
      </c>
      <c r="H3147" t="s">
        <v>470</v>
      </c>
      <c r="I3147" t="s">
        <v>796</v>
      </c>
      <c r="J3147">
        <v>18105</v>
      </c>
    </row>
    <row r="3148" spans="1:10">
      <c r="A3148" s="90" t="s">
        <v>51</v>
      </c>
      <c r="B3148" s="87">
        <v>45903</v>
      </c>
      <c r="C3148" t="s">
        <v>4435</v>
      </c>
      <c r="D3148" t="s">
        <v>2688</v>
      </c>
      <c r="E3148" t="s">
        <v>4436</v>
      </c>
      <c r="F3148" t="s">
        <v>802</v>
      </c>
      <c r="G3148" t="s">
        <v>199</v>
      </c>
      <c r="H3148" t="s">
        <v>470</v>
      </c>
      <c r="I3148" t="s">
        <v>796</v>
      </c>
      <c r="J3148">
        <v>427.14</v>
      </c>
    </row>
    <row r="3149" spans="1:10">
      <c r="A3149" s="90" t="s">
        <v>51</v>
      </c>
      <c r="B3149" s="87">
        <v>45903</v>
      </c>
      <c r="C3149" t="s">
        <v>511</v>
      </c>
      <c r="D3149" t="s">
        <v>2688</v>
      </c>
      <c r="E3149" t="s">
        <v>512</v>
      </c>
      <c r="F3149" t="s">
        <v>802</v>
      </c>
      <c r="G3149" t="s">
        <v>474</v>
      </c>
      <c r="H3149" t="s">
        <v>470</v>
      </c>
      <c r="I3149" t="s">
        <v>475</v>
      </c>
      <c r="J3149">
        <v>20000</v>
      </c>
    </row>
    <row r="3150" spans="1:10">
      <c r="A3150" s="90" t="s">
        <v>51</v>
      </c>
      <c r="B3150" s="87">
        <v>45903</v>
      </c>
      <c r="C3150" t="s">
        <v>511</v>
      </c>
      <c r="D3150" t="s">
        <v>2688</v>
      </c>
      <c r="E3150" t="s">
        <v>512</v>
      </c>
      <c r="F3150" t="s">
        <v>802</v>
      </c>
      <c r="G3150" t="s">
        <v>474</v>
      </c>
      <c r="H3150" t="s">
        <v>470</v>
      </c>
      <c r="I3150" t="s">
        <v>475</v>
      </c>
      <c r="J3150">
        <v>16552.14</v>
      </c>
    </row>
    <row r="3151" spans="1:10">
      <c r="A3151" s="90" t="s">
        <v>51</v>
      </c>
      <c r="B3151" s="87">
        <v>45905</v>
      </c>
      <c r="C3151" t="s">
        <v>4403</v>
      </c>
      <c r="D3151" t="s">
        <v>2688</v>
      </c>
      <c r="E3151" t="s">
        <v>1756</v>
      </c>
      <c r="F3151" t="s">
        <v>788</v>
      </c>
      <c r="G3151" t="s">
        <v>67</v>
      </c>
      <c r="H3151" t="s">
        <v>470</v>
      </c>
      <c r="I3151" t="s">
        <v>796</v>
      </c>
      <c r="J3151">
        <v>427.01</v>
      </c>
    </row>
    <row r="3152" spans="1:10">
      <c r="A3152" s="90" t="s">
        <v>51</v>
      </c>
      <c r="B3152" s="87">
        <v>45905</v>
      </c>
      <c r="C3152" t="s">
        <v>4437</v>
      </c>
      <c r="D3152" t="s">
        <v>2688</v>
      </c>
      <c r="E3152" t="s">
        <v>3949</v>
      </c>
      <c r="F3152" t="s">
        <v>788</v>
      </c>
      <c r="G3152" t="s">
        <v>65</v>
      </c>
      <c r="H3152" t="s">
        <v>2870</v>
      </c>
      <c r="I3152" t="s">
        <v>796</v>
      </c>
      <c r="J3152">
        <v>179.9</v>
      </c>
    </row>
    <row r="3153" spans="1:10">
      <c r="A3153" s="90" t="s">
        <v>51</v>
      </c>
      <c r="B3153" s="87">
        <v>45905</v>
      </c>
      <c r="C3153" t="s">
        <v>511</v>
      </c>
      <c r="D3153" t="s">
        <v>2688</v>
      </c>
      <c r="E3153" t="s">
        <v>512</v>
      </c>
      <c r="F3153" t="s">
        <v>802</v>
      </c>
      <c r="G3153" t="s">
        <v>474</v>
      </c>
      <c r="H3153" t="s">
        <v>470</v>
      </c>
      <c r="I3153" t="s">
        <v>475</v>
      </c>
      <c r="J3153">
        <v>606.91</v>
      </c>
    </row>
    <row r="3154" spans="1:10">
      <c r="A3154" s="90" t="s">
        <v>51</v>
      </c>
      <c r="B3154" s="87">
        <v>45909</v>
      </c>
      <c r="C3154" t="s">
        <v>4438</v>
      </c>
      <c r="D3154" t="s">
        <v>2688</v>
      </c>
      <c r="E3154" t="s">
        <v>2628</v>
      </c>
      <c r="F3154" t="s">
        <v>4439</v>
      </c>
      <c r="G3154" t="s">
        <v>76</v>
      </c>
      <c r="H3154" t="s">
        <v>470</v>
      </c>
      <c r="I3154" t="s">
        <v>487</v>
      </c>
      <c r="J3154">
        <v>200</v>
      </c>
    </row>
    <row r="3155" spans="1:10">
      <c r="A3155" s="90" t="s">
        <v>51</v>
      </c>
      <c r="B3155" s="87">
        <v>45909</v>
      </c>
      <c r="C3155" t="s">
        <v>517</v>
      </c>
      <c r="D3155" t="s">
        <v>2688</v>
      </c>
      <c r="E3155" t="s">
        <v>512</v>
      </c>
      <c r="F3155" t="s">
        <v>802</v>
      </c>
      <c r="G3155" t="s">
        <v>474</v>
      </c>
      <c r="H3155" t="s">
        <v>470</v>
      </c>
      <c r="I3155" t="s">
        <v>475</v>
      </c>
      <c r="J3155">
        <v>23131</v>
      </c>
    </row>
    <row r="3156" spans="1:10">
      <c r="A3156" s="90" t="s">
        <v>51</v>
      </c>
      <c r="B3156" s="87">
        <v>45910</v>
      </c>
      <c r="C3156" t="s">
        <v>511</v>
      </c>
      <c r="D3156" t="s">
        <v>2688</v>
      </c>
      <c r="E3156" t="s">
        <v>512</v>
      </c>
      <c r="F3156" t="s">
        <v>802</v>
      </c>
      <c r="G3156" t="s">
        <v>474</v>
      </c>
      <c r="H3156" t="s">
        <v>470</v>
      </c>
      <c r="I3156" t="s">
        <v>475</v>
      </c>
      <c r="J3156">
        <v>330000</v>
      </c>
    </row>
    <row r="3157" spans="1:10">
      <c r="A3157" s="90" t="s">
        <v>51</v>
      </c>
      <c r="B3157" s="87">
        <v>45910</v>
      </c>
      <c r="C3157" t="s">
        <v>4440</v>
      </c>
      <c r="D3157" t="s">
        <v>2688</v>
      </c>
      <c r="E3157" t="s">
        <v>3547</v>
      </c>
      <c r="F3157" t="s">
        <v>205</v>
      </c>
      <c r="G3157" t="s">
        <v>2112</v>
      </c>
      <c r="H3157" t="s">
        <v>470</v>
      </c>
      <c r="I3157" t="s">
        <v>540</v>
      </c>
      <c r="J3157">
        <v>464070</v>
      </c>
    </row>
    <row r="3158" spans="1:10">
      <c r="A3158" s="90" t="s">
        <v>51</v>
      </c>
      <c r="B3158" s="87">
        <v>45910</v>
      </c>
      <c r="C3158" t="s">
        <v>4222</v>
      </c>
      <c r="D3158" t="s">
        <v>2688</v>
      </c>
      <c r="E3158" t="s">
        <v>477</v>
      </c>
      <c r="F3158" t="s">
        <v>1449</v>
      </c>
      <c r="G3158" t="s">
        <v>69</v>
      </c>
      <c r="H3158" t="s">
        <v>470</v>
      </c>
      <c r="I3158" t="s">
        <v>471</v>
      </c>
      <c r="J3158">
        <v>187.04</v>
      </c>
    </row>
    <row r="3159" spans="1:10">
      <c r="A3159" s="90" t="s">
        <v>51</v>
      </c>
      <c r="B3159" s="87">
        <v>45910</v>
      </c>
      <c r="C3159" t="s">
        <v>2275</v>
      </c>
      <c r="D3159" t="s">
        <v>2688</v>
      </c>
      <c r="E3159" t="s">
        <v>477</v>
      </c>
      <c r="F3159" t="s">
        <v>802</v>
      </c>
      <c r="G3159" t="s">
        <v>74</v>
      </c>
      <c r="H3159" t="s">
        <v>470</v>
      </c>
      <c r="I3159" t="s">
        <v>471</v>
      </c>
      <c r="J3159">
        <v>95</v>
      </c>
    </row>
    <row r="3160" spans="1:10">
      <c r="A3160" s="90" t="s">
        <v>51</v>
      </c>
      <c r="B3160" s="87">
        <v>45910</v>
      </c>
      <c r="C3160" t="s">
        <v>2295</v>
      </c>
      <c r="D3160" t="s">
        <v>2688</v>
      </c>
      <c r="E3160" t="s">
        <v>477</v>
      </c>
      <c r="F3160" t="s">
        <v>802</v>
      </c>
      <c r="G3160" t="s">
        <v>2295</v>
      </c>
      <c r="H3160" t="s">
        <v>470</v>
      </c>
      <c r="I3160" t="s">
        <v>471</v>
      </c>
      <c r="J3160">
        <v>688.08</v>
      </c>
    </row>
    <row r="3161" spans="1:10">
      <c r="A3161" s="90" t="s">
        <v>51</v>
      </c>
      <c r="B3161" s="87">
        <v>45910</v>
      </c>
      <c r="C3161" t="s">
        <v>2454</v>
      </c>
      <c r="D3161" t="s">
        <v>2688</v>
      </c>
      <c r="E3161" t="s">
        <v>1667</v>
      </c>
      <c r="F3161" t="s">
        <v>802</v>
      </c>
      <c r="G3161" t="s">
        <v>71</v>
      </c>
      <c r="H3161" t="s">
        <v>470</v>
      </c>
      <c r="I3161" t="s">
        <v>475</v>
      </c>
      <c r="J3161">
        <v>12000</v>
      </c>
    </row>
    <row r="3162" spans="1:10">
      <c r="A3162" s="90" t="s">
        <v>51</v>
      </c>
      <c r="B3162" s="87">
        <v>45910</v>
      </c>
      <c r="C3162" t="s">
        <v>517</v>
      </c>
      <c r="D3162" t="s">
        <v>2688</v>
      </c>
      <c r="E3162" t="s">
        <v>512</v>
      </c>
      <c r="F3162" t="s">
        <v>802</v>
      </c>
      <c r="G3162" t="s">
        <v>474</v>
      </c>
      <c r="H3162" t="s">
        <v>470</v>
      </c>
      <c r="I3162" t="s">
        <v>475</v>
      </c>
      <c r="J3162">
        <v>2901.55</v>
      </c>
    </row>
    <row r="3163" spans="1:10">
      <c r="A3163" s="90" t="s">
        <v>51</v>
      </c>
      <c r="B3163" s="87">
        <v>45910</v>
      </c>
      <c r="C3163" t="s">
        <v>4441</v>
      </c>
      <c r="D3163" t="s">
        <v>2688</v>
      </c>
      <c r="E3163" t="s">
        <v>2702</v>
      </c>
      <c r="F3163" t="s">
        <v>4442</v>
      </c>
      <c r="G3163" t="s">
        <v>63</v>
      </c>
      <c r="H3163" t="s">
        <v>470</v>
      </c>
      <c r="I3163" t="s">
        <v>796</v>
      </c>
      <c r="J3163">
        <v>125</v>
      </c>
    </row>
    <row r="3164" spans="1:10">
      <c r="A3164" s="90" t="s">
        <v>51</v>
      </c>
      <c r="B3164" s="87">
        <v>45911</v>
      </c>
      <c r="C3164" t="s">
        <v>4443</v>
      </c>
      <c r="D3164" t="s">
        <v>2688</v>
      </c>
      <c r="E3164" t="s">
        <v>4041</v>
      </c>
      <c r="F3164" t="s">
        <v>802</v>
      </c>
      <c r="G3164" t="s">
        <v>71</v>
      </c>
      <c r="H3164" t="s">
        <v>470</v>
      </c>
      <c r="I3164" t="s">
        <v>482</v>
      </c>
      <c r="J3164">
        <v>1000</v>
      </c>
    </row>
    <row r="3165" spans="1:10">
      <c r="A3165" s="90" t="s">
        <v>51</v>
      </c>
      <c r="B3165" s="87">
        <v>45911</v>
      </c>
      <c r="C3165" t="s">
        <v>511</v>
      </c>
      <c r="D3165" t="s">
        <v>2688</v>
      </c>
      <c r="E3165" t="s">
        <v>512</v>
      </c>
      <c r="F3165" t="s">
        <v>802</v>
      </c>
      <c r="G3165" t="s">
        <v>474</v>
      </c>
      <c r="H3165" t="s">
        <v>470</v>
      </c>
      <c r="I3165" t="s">
        <v>475</v>
      </c>
      <c r="J3165">
        <v>1000</v>
      </c>
    </row>
    <row r="3166" spans="1:10">
      <c r="A3166" s="90" t="s">
        <v>51</v>
      </c>
      <c r="B3166" s="87">
        <v>45912</v>
      </c>
      <c r="C3166" t="s">
        <v>4444</v>
      </c>
      <c r="D3166" t="s">
        <v>2688</v>
      </c>
      <c r="E3166" t="s">
        <v>1693</v>
      </c>
      <c r="F3166" t="s">
        <v>385</v>
      </c>
      <c r="G3166" t="s">
        <v>2112</v>
      </c>
      <c r="H3166" t="s">
        <v>470</v>
      </c>
      <c r="I3166" t="s">
        <v>540</v>
      </c>
      <c r="J3166">
        <v>500000</v>
      </c>
    </row>
    <row r="3167" spans="1:10">
      <c r="A3167" s="90" t="s">
        <v>51</v>
      </c>
      <c r="B3167" s="87">
        <v>45912</v>
      </c>
      <c r="C3167" t="s">
        <v>1322</v>
      </c>
      <c r="D3167" t="s">
        <v>2688</v>
      </c>
      <c r="E3167" t="s">
        <v>512</v>
      </c>
      <c r="F3167" t="s">
        <v>802</v>
      </c>
      <c r="G3167" t="s">
        <v>474</v>
      </c>
      <c r="H3167" t="s">
        <v>470</v>
      </c>
      <c r="I3167" t="s">
        <v>475</v>
      </c>
      <c r="J3167">
        <v>1774.69</v>
      </c>
    </row>
    <row r="3168" spans="1:10">
      <c r="A3168" s="90" t="s">
        <v>51</v>
      </c>
      <c r="B3168" s="87">
        <v>45912</v>
      </c>
      <c r="C3168" t="s">
        <v>511</v>
      </c>
      <c r="D3168" t="s">
        <v>2688</v>
      </c>
      <c r="E3168" t="s">
        <v>512</v>
      </c>
      <c r="F3168" t="s">
        <v>802</v>
      </c>
      <c r="G3168" t="s">
        <v>474</v>
      </c>
      <c r="H3168" t="s">
        <v>470</v>
      </c>
      <c r="I3168" t="s">
        <v>475</v>
      </c>
      <c r="J3168">
        <v>691000</v>
      </c>
    </row>
    <row r="3169" spans="1:10">
      <c r="A3169" s="90" t="s">
        <v>51</v>
      </c>
      <c r="B3169" s="87">
        <v>45912</v>
      </c>
      <c r="C3169" t="s">
        <v>517</v>
      </c>
      <c r="D3169" t="s">
        <v>2688</v>
      </c>
      <c r="E3169" t="s">
        <v>512</v>
      </c>
      <c r="F3169" t="s">
        <v>802</v>
      </c>
      <c r="G3169" t="s">
        <v>474</v>
      </c>
      <c r="H3169" t="s">
        <v>470</v>
      </c>
      <c r="I3169" t="s">
        <v>475</v>
      </c>
      <c r="J3169">
        <v>192774.69</v>
      </c>
    </row>
    <row r="3170" spans="1:10">
      <c r="A3170" s="90" t="s">
        <v>51</v>
      </c>
      <c r="B3170" s="87">
        <v>45912</v>
      </c>
      <c r="C3170" t="s">
        <v>2347</v>
      </c>
      <c r="D3170" t="s">
        <v>2688</v>
      </c>
      <c r="E3170" t="s">
        <v>1324</v>
      </c>
      <c r="F3170" t="s">
        <v>802</v>
      </c>
      <c r="G3170" t="s">
        <v>68</v>
      </c>
      <c r="H3170" t="s">
        <v>470</v>
      </c>
      <c r="I3170" t="s">
        <v>471</v>
      </c>
      <c r="J3170">
        <v>7225.31</v>
      </c>
    </row>
    <row r="3171" spans="1:10">
      <c r="A3171" s="90" t="s">
        <v>51</v>
      </c>
      <c r="B3171" s="87">
        <v>45915</v>
      </c>
      <c r="C3171" t="s">
        <v>3193</v>
      </c>
      <c r="D3171" t="s">
        <v>2688</v>
      </c>
      <c r="E3171" t="s">
        <v>3107</v>
      </c>
      <c r="F3171" t="s">
        <v>802</v>
      </c>
      <c r="G3171" t="s">
        <v>60</v>
      </c>
      <c r="H3171" t="s">
        <v>470</v>
      </c>
      <c r="I3171" t="s">
        <v>796</v>
      </c>
      <c r="J3171">
        <v>82.57</v>
      </c>
    </row>
    <row r="3172" spans="1:10">
      <c r="A3172" s="90" t="s">
        <v>51</v>
      </c>
      <c r="B3172" s="87">
        <v>45915</v>
      </c>
      <c r="C3172" t="s">
        <v>4445</v>
      </c>
      <c r="D3172" t="s">
        <v>2688</v>
      </c>
      <c r="E3172" t="s">
        <v>4446</v>
      </c>
      <c r="F3172" t="s">
        <v>802</v>
      </c>
      <c r="G3172" t="s">
        <v>57</v>
      </c>
      <c r="H3172" t="s">
        <v>470</v>
      </c>
      <c r="I3172" t="s">
        <v>487</v>
      </c>
      <c r="J3172">
        <v>130</v>
      </c>
    </row>
    <row r="3173" spans="1:10">
      <c r="A3173" s="90" t="s">
        <v>51</v>
      </c>
      <c r="B3173" s="87">
        <v>45915</v>
      </c>
      <c r="C3173" t="s">
        <v>511</v>
      </c>
      <c r="D3173" t="s">
        <v>2688</v>
      </c>
      <c r="E3173" t="s">
        <v>512</v>
      </c>
      <c r="F3173" t="s">
        <v>802</v>
      </c>
      <c r="G3173" t="s">
        <v>474</v>
      </c>
      <c r="H3173" t="s">
        <v>470</v>
      </c>
      <c r="I3173" t="s">
        <v>475</v>
      </c>
      <c r="J3173">
        <v>212.57</v>
      </c>
    </row>
    <row r="3174" spans="1:10">
      <c r="A3174" s="90" t="s">
        <v>51</v>
      </c>
      <c r="B3174" s="87">
        <v>45916</v>
      </c>
      <c r="C3174" t="s">
        <v>4447</v>
      </c>
      <c r="D3174" t="s">
        <v>2688</v>
      </c>
      <c r="E3174" t="s">
        <v>477</v>
      </c>
      <c r="F3174" t="s">
        <v>3954</v>
      </c>
      <c r="G3174" t="s">
        <v>515</v>
      </c>
      <c r="H3174" t="s">
        <v>4448</v>
      </c>
      <c r="I3174" t="s">
        <v>471</v>
      </c>
      <c r="J3174">
        <v>54166.67</v>
      </c>
    </row>
    <row r="3175" spans="1:10">
      <c r="A3175" s="90" t="s">
        <v>51</v>
      </c>
      <c r="B3175" s="87">
        <v>45916</v>
      </c>
      <c r="C3175" t="s">
        <v>4447</v>
      </c>
      <c r="D3175" t="s">
        <v>2688</v>
      </c>
      <c r="E3175" t="s">
        <v>477</v>
      </c>
      <c r="F3175" t="s">
        <v>3954</v>
      </c>
      <c r="G3175" t="s">
        <v>69</v>
      </c>
      <c r="H3175" t="s">
        <v>4448</v>
      </c>
      <c r="I3175" t="s">
        <v>471</v>
      </c>
      <c r="J3175">
        <v>4466.58</v>
      </c>
    </row>
    <row r="3176" spans="1:10">
      <c r="A3176" s="90" t="s">
        <v>51</v>
      </c>
      <c r="B3176" s="87">
        <v>45916</v>
      </c>
      <c r="C3176" t="s">
        <v>511</v>
      </c>
      <c r="D3176" t="s">
        <v>2688</v>
      </c>
      <c r="E3176" t="s">
        <v>512</v>
      </c>
      <c r="F3176" t="s">
        <v>802</v>
      </c>
      <c r="G3176" t="s">
        <v>474</v>
      </c>
      <c r="H3176" t="s">
        <v>470</v>
      </c>
      <c r="I3176" t="s">
        <v>475</v>
      </c>
      <c r="J3176">
        <v>36268.25</v>
      </c>
    </row>
    <row r="3177" spans="1:10">
      <c r="A3177" s="90" t="s">
        <v>51</v>
      </c>
      <c r="B3177" s="87">
        <v>45919</v>
      </c>
      <c r="C3177" t="s">
        <v>3050</v>
      </c>
      <c r="D3177" t="s">
        <v>2688</v>
      </c>
      <c r="E3177" t="s">
        <v>2318</v>
      </c>
      <c r="F3177" t="s">
        <v>788</v>
      </c>
      <c r="G3177" t="s">
        <v>64</v>
      </c>
      <c r="H3177" t="s">
        <v>2870</v>
      </c>
      <c r="I3177" t="s">
        <v>796</v>
      </c>
      <c r="J3177">
        <v>806</v>
      </c>
    </row>
    <row r="3178" spans="1:10">
      <c r="A3178" s="90" t="s">
        <v>51</v>
      </c>
      <c r="B3178" s="87">
        <v>45919</v>
      </c>
      <c r="C3178" t="s">
        <v>511</v>
      </c>
      <c r="D3178" t="s">
        <v>2688</v>
      </c>
      <c r="E3178" t="s">
        <v>512</v>
      </c>
      <c r="F3178" t="s">
        <v>802</v>
      </c>
      <c r="G3178" t="s">
        <v>474</v>
      </c>
      <c r="H3178" t="s">
        <v>470</v>
      </c>
      <c r="I3178" t="s">
        <v>475</v>
      </c>
      <c r="J3178">
        <v>806</v>
      </c>
    </row>
    <row r="3179" spans="1:10">
      <c r="A3179" s="90" t="s">
        <v>51</v>
      </c>
      <c r="B3179" s="87">
        <v>45922</v>
      </c>
      <c r="C3179" t="s">
        <v>4449</v>
      </c>
      <c r="D3179" t="s">
        <v>2688</v>
      </c>
      <c r="E3179" t="s">
        <v>3383</v>
      </c>
      <c r="F3179" t="s">
        <v>802</v>
      </c>
      <c r="G3179" t="s">
        <v>76</v>
      </c>
      <c r="H3179" t="s">
        <v>470</v>
      </c>
      <c r="I3179" t="s">
        <v>487</v>
      </c>
      <c r="J3179">
        <v>4326.46</v>
      </c>
    </row>
    <row r="3180" spans="1:10">
      <c r="A3180" s="90" t="s">
        <v>51</v>
      </c>
      <c r="B3180" s="87">
        <v>45922</v>
      </c>
      <c r="C3180" t="s">
        <v>511</v>
      </c>
      <c r="D3180" t="s">
        <v>2688</v>
      </c>
      <c r="E3180" t="s">
        <v>512</v>
      </c>
      <c r="F3180" t="s">
        <v>802</v>
      </c>
      <c r="G3180" t="s">
        <v>474</v>
      </c>
      <c r="H3180" t="s">
        <v>470</v>
      </c>
      <c r="I3180" t="s">
        <v>475</v>
      </c>
      <c r="J3180">
        <v>4326.46</v>
      </c>
    </row>
    <row r="3181" spans="1:10">
      <c r="A3181" s="90" t="s">
        <v>51</v>
      </c>
      <c r="B3181" s="87">
        <v>45923</v>
      </c>
      <c r="C3181" t="s">
        <v>4450</v>
      </c>
      <c r="D3181" t="s">
        <v>2688</v>
      </c>
      <c r="E3181" t="s">
        <v>2986</v>
      </c>
      <c r="F3181" t="s">
        <v>196</v>
      </c>
      <c r="G3181" t="s">
        <v>2112</v>
      </c>
      <c r="H3181" t="s">
        <v>470</v>
      </c>
      <c r="I3181" t="s">
        <v>475</v>
      </c>
      <c r="J3181">
        <v>300000</v>
      </c>
    </row>
    <row r="3182" spans="1:10">
      <c r="A3182" s="90" t="s">
        <v>51</v>
      </c>
      <c r="B3182" s="87">
        <v>45923</v>
      </c>
      <c r="C3182" t="s">
        <v>4444</v>
      </c>
      <c r="D3182" t="s">
        <v>2688</v>
      </c>
      <c r="E3182" t="s">
        <v>1693</v>
      </c>
      <c r="F3182" t="s">
        <v>385</v>
      </c>
      <c r="G3182" t="s">
        <v>2112</v>
      </c>
      <c r="H3182" t="s">
        <v>470</v>
      </c>
      <c r="I3182" t="s">
        <v>540</v>
      </c>
      <c r="J3182">
        <v>100000</v>
      </c>
    </row>
    <row r="3183" spans="1:10">
      <c r="A3183" s="90" t="s">
        <v>51</v>
      </c>
      <c r="B3183" s="87">
        <v>45923</v>
      </c>
      <c r="C3183" t="s">
        <v>2478</v>
      </c>
      <c r="D3183" t="s">
        <v>2688</v>
      </c>
      <c r="E3183" t="s">
        <v>1667</v>
      </c>
      <c r="F3183" t="s">
        <v>802</v>
      </c>
      <c r="G3183" t="s">
        <v>72</v>
      </c>
      <c r="H3183" t="s">
        <v>470</v>
      </c>
      <c r="I3183" t="s">
        <v>475</v>
      </c>
      <c r="J3183">
        <v>84.29</v>
      </c>
    </row>
    <row r="3184" spans="1:10">
      <c r="A3184" s="90" t="s">
        <v>51</v>
      </c>
      <c r="B3184" s="87">
        <v>45923</v>
      </c>
      <c r="C3184" t="s">
        <v>2478</v>
      </c>
      <c r="D3184" t="s">
        <v>2688</v>
      </c>
      <c r="E3184" t="s">
        <v>1667</v>
      </c>
      <c r="F3184" t="s">
        <v>802</v>
      </c>
      <c r="G3184" t="s">
        <v>58</v>
      </c>
      <c r="H3184" t="s">
        <v>470</v>
      </c>
      <c r="I3184" t="s">
        <v>475</v>
      </c>
      <c r="J3184">
        <v>367.59</v>
      </c>
    </row>
    <row r="3185" spans="1:10">
      <c r="A3185" s="90" t="s">
        <v>51</v>
      </c>
      <c r="B3185" s="87">
        <v>45923</v>
      </c>
      <c r="C3185" t="s">
        <v>2478</v>
      </c>
      <c r="D3185" t="s">
        <v>2688</v>
      </c>
      <c r="E3185" t="s">
        <v>1667</v>
      </c>
      <c r="F3185" t="s">
        <v>802</v>
      </c>
      <c r="G3185" t="s">
        <v>198</v>
      </c>
      <c r="H3185" t="s">
        <v>470</v>
      </c>
      <c r="I3185" t="s">
        <v>475</v>
      </c>
      <c r="J3185">
        <v>78.5</v>
      </c>
    </row>
    <row r="3186" spans="1:10">
      <c r="A3186" s="90" t="s">
        <v>51</v>
      </c>
      <c r="B3186" s="87">
        <v>45923</v>
      </c>
      <c r="C3186" t="s">
        <v>2478</v>
      </c>
      <c r="D3186" t="s">
        <v>2688</v>
      </c>
      <c r="E3186" t="s">
        <v>1667</v>
      </c>
      <c r="F3186" t="s">
        <v>802</v>
      </c>
      <c r="G3186" t="s">
        <v>76</v>
      </c>
      <c r="H3186" t="s">
        <v>470</v>
      </c>
      <c r="I3186" t="s">
        <v>475</v>
      </c>
      <c r="J3186">
        <v>1353.64</v>
      </c>
    </row>
    <row r="3187" spans="1:10">
      <c r="A3187" s="90" t="s">
        <v>51</v>
      </c>
      <c r="B3187" s="87">
        <v>45923</v>
      </c>
      <c r="C3187" t="s">
        <v>517</v>
      </c>
      <c r="D3187" t="s">
        <v>2688</v>
      </c>
      <c r="E3187" t="s">
        <v>512</v>
      </c>
      <c r="F3187" t="s">
        <v>802</v>
      </c>
      <c r="G3187" t="s">
        <v>474</v>
      </c>
      <c r="H3187" t="s">
        <v>470</v>
      </c>
      <c r="I3187" t="s">
        <v>475</v>
      </c>
      <c r="J3187">
        <v>335405.98</v>
      </c>
    </row>
    <row r="3188" spans="1:10">
      <c r="A3188" s="90" t="s">
        <v>51</v>
      </c>
      <c r="B3188" s="87">
        <v>45924</v>
      </c>
      <c r="C3188" t="s">
        <v>2364</v>
      </c>
      <c r="D3188" t="s">
        <v>2688</v>
      </c>
      <c r="E3188" t="s">
        <v>1667</v>
      </c>
      <c r="F3188" t="s">
        <v>802</v>
      </c>
      <c r="G3188" t="s">
        <v>71</v>
      </c>
      <c r="H3188" t="s">
        <v>470</v>
      </c>
      <c r="I3188" t="s">
        <v>475</v>
      </c>
      <c r="J3188">
        <v>10000</v>
      </c>
    </row>
    <row r="3189" spans="1:10">
      <c r="A3189" s="90" t="s">
        <v>51</v>
      </c>
      <c r="B3189" s="87">
        <v>45924</v>
      </c>
      <c r="C3189" t="s">
        <v>4451</v>
      </c>
      <c r="D3189" t="s">
        <v>2688</v>
      </c>
      <c r="E3189" t="s">
        <v>2986</v>
      </c>
      <c r="F3189" t="s">
        <v>1825</v>
      </c>
      <c r="G3189" t="s">
        <v>2112</v>
      </c>
      <c r="H3189" t="s">
        <v>470</v>
      </c>
      <c r="I3189" t="s">
        <v>487</v>
      </c>
      <c r="J3189">
        <v>52466.35</v>
      </c>
    </row>
    <row r="3190" spans="1:10">
      <c r="A3190" s="90" t="s">
        <v>51</v>
      </c>
      <c r="B3190" s="87">
        <v>45924</v>
      </c>
      <c r="C3190" t="s">
        <v>4452</v>
      </c>
      <c r="D3190" t="s">
        <v>2688</v>
      </c>
      <c r="E3190" t="s">
        <v>2986</v>
      </c>
      <c r="F3190" t="s">
        <v>1827</v>
      </c>
      <c r="G3190" t="s">
        <v>2112</v>
      </c>
      <c r="H3190" t="s">
        <v>470</v>
      </c>
      <c r="I3190" t="s">
        <v>475</v>
      </c>
      <c r="J3190">
        <v>83432.289999999994</v>
      </c>
    </row>
    <row r="3191" spans="1:10">
      <c r="A3191" s="90" t="s">
        <v>51</v>
      </c>
      <c r="B3191" s="87">
        <v>45924</v>
      </c>
      <c r="C3191" t="s">
        <v>4453</v>
      </c>
      <c r="D3191" t="s">
        <v>2688</v>
      </c>
      <c r="E3191" t="s">
        <v>2986</v>
      </c>
      <c r="F3191" t="s">
        <v>1829</v>
      </c>
      <c r="G3191" t="s">
        <v>2112</v>
      </c>
      <c r="H3191" t="s">
        <v>470</v>
      </c>
      <c r="I3191" t="s">
        <v>487</v>
      </c>
      <c r="J3191">
        <v>82469.94</v>
      </c>
    </row>
    <row r="3192" spans="1:10">
      <c r="A3192" s="90" t="s">
        <v>51</v>
      </c>
      <c r="B3192" s="87">
        <v>45924</v>
      </c>
      <c r="C3192" t="s">
        <v>511</v>
      </c>
      <c r="D3192" t="s">
        <v>2688</v>
      </c>
      <c r="E3192" t="s">
        <v>512</v>
      </c>
      <c r="F3192" t="s">
        <v>802</v>
      </c>
      <c r="G3192" t="s">
        <v>474</v>
      </c>
      <c r="H3192" t="s">
        <v>470</v>
      </c>
      <c r="I3192" t="s">
        <v>475</v>
      </c>
      <c r="J3192">
        <v>228368.58</v>
      </c>
    </row>
    <row r="3193" spans="1:10">
      <c r="A3193" s="90" t="s">
        <v>51</v>
      </c>
      <c r="B3193" s="87">
        <v>45925</v>
      </c>
      <c r="C3193" t="s">
        <v>4454</v>
      </c>
      <c r="D3193" t="s">
        <v>2688</v>
      </c>
      <c r="E3193" t="s">
        <v>2986</v>
      </c>
      <c r="F3193" t="s">
        <v>1831</v>
      </c>
      <c r="G3193" t="s">
        <v>2112</v>
      </c>
      <c r="H3193" t="s">
        <v>470</v>
      </c>
      <c r="I3193" t="s">
        <v>487</v>
      </c>
      <c r="J3193">
        <v>83076.11</v>
      </c>
    </row>
    <row r="3194" spans="1:10">
      <c r="A3194" s="90" t="s">
        <v>51</v>
      </c>
      <c r="B3194" s="87">
        <v>45925</v>
      </c>
      <c r="C3194" t="s">
        <v>4455</v>
      </c>
      <c r="D3194" t="s">
        <v>2688</v>
      </c>
      <c r="E3194" t="s">
        <v>2986</v>
      </c>
      <c r="F3194" t="s">
        <v>1833</v>
      </c>
      <c r="G3194" t="s">
        <v>2112</v>
      </c>
      <c r="H3194" t="s">
        <v>470</v>
      </c>
      <c r="I3194" t="s">
        <v>487</v>
      </c>
      <c r="J3194">
        <v>85661.98</v>
      </c>
    </row>
    <row r="3195" spans="1:10">
      <c r="A3195" s="90" t="s">
        <v>51</v>
      </c>
      <c r="B3195" s="87">
        <v>45925</v>
      </c>
      <c r="C3195" t="s">
        <v>4456</v>
      </c>
      <c r="D3195" t="s">
        <v>2688</v>
      </c>
      <c r="E3195" t="s">
        <v>2986</v>
      </c>
      <c r="F3195" t="s">
        <v>1835</v>
      </c>
      <c r="G3195" t="s">
        <v>2112</v>
      </c>
      <c r="H3195" t="s">
        <v>470</v>
      </c>
      <c r="I3195" t="s">
        <v>487</v>
      </c>
      <c r="J3195">
        <v>82282.14</v>
      </c>
    </row>
    <row r="3196" spans="1:10">
      <c r="A3196" s="90" t="s">
        <v>51</v>
      </c>
      <c r="B3196" s="87">
        <v>45925</v>
      </c>
      <c r="C3196" t="s">
        <v>4457</v>
      </c>
      <c r="D3196" t="s">
        <v>2688</v>
      </c>
      <c r="E3196" t="s">
        <v>2986</v>
      </c>
      <c r="F3196" t="s">
        <v>1837</v>
      </c>
      <c r="G3196" t="s">
        <v>2112</v>
      </c>
      <c r="H3196" t="s">
        <v>470</v>
      </c>
      <c r="I3196" t="s">
        <v>487</v>
      </c>
      <c r="J3196">
        <v>41718.68</v>
      </c>
    </row>
    <row r="3197" spans="1:10">
      <c r="A3197" s="90" t="s">
        <v>51</v>
      </c>
      <c r="B3197" s="87">
        <v>45925</v>
      </c>
      <c r="C3197" t="s">
        <v>511</v>
      </c>
      <c r="D3197" t="s">
        <v>2688</v>
      </c>
      <c r="E3197" t="s">
        <v>512</v>
      </c>
      <c r="F3197" t="s">
        <v>802</v>
      </c>
      <c r="G3197" t="s">
        <v>474</v>
      </c>
      <c r="H3197" t="s">
        <v>470</v>
      </c>
      <c r="I3197" t="s">
        <v>475</v>
      </c>
      <c r="J3197">
        <v>292738.90999999997</v>
      </c>
    </row>
    <row r="3198" spans="1:10">
      <c r="A3198" s="90" t="s">
        <v>51</v>
      </c>
      <c r="B3198" s="87">
        <v>45926</v>
      </c>
      <c r="C3198" t="s">
        <v>517</v>
      </c>
      <c r="D3198" t="s">
        <v>2688</v>
      </c>
      <c r="E3198" t="s">
        <v>512</v>
      </c>
      <c r="F3198" t="s">
        <v>802</v>
      </c>
      <c r="G3198" t="s">
        <v>474</v>
      </c>
      <c r="H3198" t="s">
        <v>470</v>
      </c>
      <c r="I3198" t="s">
        <v>475</v>
      </c>
      <c r="J3198">
        <v>22260</v>
      </c>
    </row>
    <row r="3199" spans="1:10">
      <c r="A3199" s="90" t="s">
        <v>51</v>
      </c>
      <c r="B3199" s="87">
        <v>45930</v>
      </c>
      <c r="C3199" t="s">
        <v>3961</v>
      </c>
      <c r="D3199" t="s">
        <v>2688</v>
      </c>
      <c r="E3199" t="s">
        <v>3962</v>
      </c>
      <c r="F3199" t="s">
        <v>4458</v>
      </c>
      <c r="G3199" t="s">
        <v>63</v>
      </c>
      <c r="H3199" t="s">
        <v>2994</v>
      </c>
      <c r="I3199" t="s">
        <v>475</v>
      </c>
      <c r="J3199">
        <v>98</v>
      </c>
    </row>
    <row r="3200" spans="1:10">
      <c r="A3200" s="90" t="s">
        <v>51</v>
      </c>
      <c r="B3200" s="87">
        <v>45930</v>
      </c>
      <c r="C3200" t="s">
        <v>4459</v>
      </c>
      <c r="D3200" t="s">
        <v>2688</v>
      </c>
      <c r="E3200" t="s">
        <v>1137</v>
      </c>
      <c r="F3200" t="s">
        <v>4460</v>
      </c>
      <c r="G3200" t="s">
        <v>61</v>
      </c>
      <c r="H3200" t="s">
        <v>2994</v>
      </c>
      <c r="I3200" t="s">
        <v>487</v>
      </c>
      <c r="J3200">
        <v>1518</v>
      </c>
    </row>
    <row r="3201" spans="1:10">
      <c r="A3201" s="90" t="s">
        <v>51</v>
      </c>
      <c r="B3201" s="87">
        <v>45930</v>
      </c>
      <c r="C3201" t="s">
        <v>2336</v>
      </c>
      <c r="D3201" t="s">
        <v>2688</v>
      </c>
      <c r="E3201" t="s">
        <v>1667</v>
      </c>
      <c r="F3201" t="s">
        <v>802</v>
      </c>
      <c r="G3201" t="s">
        <v>71</v>
      </c>
      <c r="H3201" t="s">
        <v>2994</v>
      </c>
      <c r="I3201" t="s">
        <v>475</v>
      </c>
      <c r="J3201">
        <v>2314</v>
      </c>
    </row>
    <row r="3202" spans="1:10">
      <c r="A3202" s="90" t="s">
        <v>51</v>
      </c>
      <c r="B3202" s="87">
        <v>45930</v>
      </c>
      <c r="C3202" t="s">
        <v>3633</v>
      </c>
      <c r="D3202" t="s">
        <v>2688</v>
      </c>
      <c r="E3202" t="s">
        <v>1667</v>
      </c>
      <c r="F3202" t="s">
        <v>802</v>
      </c>
      <c r="G3202" t="s">
        <v>180</v>
      </c>
      <c r="H3202" t="s">
        <v>470</v>
      </c>
      <c r="I3202" t="s">
        <v>475</v>
      </c>
      <c r="J3202">
        <v>2266.33</v>
      </c>
    </row>
    <row r="3203" spans="1:10">
      <c r="A3203" s="90" t="s">
        <v>51</v>
      </c>
      <c r="B3203" s="87">
        <v>45930</v>
      </c>
      <c r="C3203" t="s">
        <v>1322</v>
      </c>
      <c r="D3203" t="s">
        <v>2688</v>
      </c>
      <c r="E3203" t="s">
        <v>512</v>
      </c>
      <c r="F3203" t="s">
        <v>802</v>
      </c>
      <c r="G3203" t="s">
        <v>474</v>
      </c>
      <c r="H3203" t="s">
        <v>470</v>
      </c>
      <c r="I3203" t="s">
        <v>475</v>
      </c>
      <c r="J3203">
        <v>790501.6</v>
      </c>
    </row>
    <row r="3204" spans="1:10">
      <c r="A3204" s="90" t="s">
        <v>51</v>
      </c>
      <c r="B3204" s="87">
        <v>45930</v>
      </c>
      <c r="C3204" t="s">
        <v>4444</v>
      </c>
      <c r="D3204" t="s">
        <v>2688</v>
      </c>
      <c r="E3204" t="s">
        <v>1693</v>
      </c>
      <c r="F3204" t="s">
        <v>385</v>
      </c>
      <c r="G3204" t="s">
        <v>2112</v>
      </c>
      <c r="H3204" t="s">
        <v>470</v>
      </c>
      <c r="I3204" t="s">
        <v>540</v>
      </c>
      <c r="J3204">
        <v>700000</v>
      </c>
    </row>
    <row r="3205" spans="1:10">
      <c r="A3205" s="90" t="s">
        <v>51</v>
      </c>
      <c r="B3205" s="87">
        <v>45930</v>
      </c>
      <c r="C3205" t="s">
        <v>2347</v>
      </c>
      <c r="D3205" t="s">
        <v>2688</v>
      </c>
      <c r="E3205" t="s">
        <v>1324</v>
      </c>
      <c r="F3205" t="s">
        <v>802</v>
      </c>
      <c r="G3205" t="s">
        <v>68</v>
      </c>
      <c r="H3205" t="s">
        <v>470</v>
      </c>
      <c r="I3205" t="s">
        <v>471</v>
      </c>
      <c r="J3205">
        <v>9498.4</v>
      </c>
    </row>
    <row r="3206" spans="1:10">
      <c r="A3206" s="90" t="s">
        <v>51</v>
      </c>
      <c r="B3206" s="87">
        <v>45930</v>
      </c>
      <c r="C3206" t="s">
        <v>2347</v>
      </c>
      <c r="D3206" t="s">
        <v>2688</v>
      </c>
      <c r="E3206" t="s">
        <v>477</v>
      </c>
      <c r="F3206" t="s">
        <v>802</v>
      </c>
      <c r="G3206" t="s">
        <v>68</v>
      </c>
      <c r="H3206" t="s">
        <v>470</v>
      </c>
      <c r="I3206" t="s">
        <v>471</v>
      </c>
      <c r="J3206">
        <v>8.94</v>
      </c>
    </row>
    <row r="3207" spans="1:10">
      <c r="A3207" s="90" t="s">
        <v>51</v>
      </c>
      <c r="B3207" s="87">
        <v>45930</v>
      </c>
      <c r="C3207" t="s">
        <v>2348</v>
      </c>
      <c r="D3207" t="s">
        <v>2688</v>
      </c>
      <c r="E3207" t="s">
        <v>477</v>
      </c>
      <c r="F3207" t="s">
        <v>802</v>
      </c>
      <c r="G3207" t="s">
        <v>66</v>
      </c>
      <c r="H3207" t="s">
        <v>470</v>
      </c>
      <c r="I3207" t="s">
        <v>471</v>
      </c>
      <c r="J3207">
        <v>92.06</v>
      </c>
    </row>
    <row r="3208" spans="1:10">
      <c r="A3208" s="90" t="s">
        <v>51</v>
      </c>
      <c r="B3208" s="87">
        <v>45930</v>
      </c>
      <c r="C3208" t="s">
        <v>517</v>
      </c>
      <c r="D3208" t="s">
        <v>2688</v>
      </c>
      <c r="E3208" t="s">
        <v>512</v>
      </c>
      <c r="F3208" t="s">
        <v>802</v>
      </c>
      <c r="G3208" t="s">
        <v>474</v>
      </c>
      <c r="H3208" t="s">
        <v>470</v>
      </c>
      <c r="I3208" t="s">
        <v>475</v>
      </c>
      <c r="J3208">
        <v>84309.27</v>
      </c>
    </row>
    <row r="3209" spans="1:10">
      <c r="A3209" s="90" t="s">
        <v>51</v>
      </c>
      <c r="B3209" s="87">
        <v>45930</v>
      </c>
      <c r="C3209" t="s">
        <v>2347</v>
      </c>
      <c r="D3209" t="s">
        <v>2688</v>
      </c>
      <c r="E3209" t="s">
        <v>477</v>
      </c>
      <c r="F3209" t="s">
        <v>802</v>
      </c>
      <c r="G3209" t="s">
        <v>68</v>
      </c>
      <c r="H3209" t="s">
        <v>470</v>
      </c>
      <c r="I3209" t="s">
        <v>471</v>
      </c>
      <c r="J3209">
        <v>3458.88</v>
      </c>
    </row>
    <row r="3210" spans="1:10">
      <c r="A3210" s="90" t="s">
        <v>51</v>
      </c>
      <c r="B3210" s="87">
        <v>45931</v>
      </c>
      <c r="C3210" t="s">
        <v>4461</v>
      </c>
      <c r="D3210" t="s">
        <v>2688</v>
      </c>
      <c r="E3210" t="s">
        <v>2262</v>
      </c>
      <c r="F3210" t="s">
        <v>4462</v>
      </c>
      <c r="G3210" t="s">
        <v>73</v>
      </c>
      <c r="H3210" t="s">
        <v>3112</v>
      </c>
      <c r="I3210" t="s">
        <v>796</v>
      </c>
      <c r="J3210">
        <v>633.01</v>
      </c>
    </row>
    <row r="3211" spans="1:10">
      <c r="A3211" s="90" t="s">
        <v>51</v>
      </c>
      <c r="B3211" s="87">
        <v>45931</v>
      </c>
      <c r="C3211" t="s">
        <v>4357</v>
      </c>
      <c r="D3211" t="s">
        <v>2688</v>
      </c>
      <c r="E3211" t="s">
        <v>477</v>
      </c>
      <c r="F3211" t="s">
        <v>1449</v>
      </c>
      <c r="G3211" t="s">
        <v>66</v>
      </c>
      <c r="H3211" t="s">
        <v>470</v>
      </c>
      <c r="I3211" t="s">
        <v>471</v>
      </c>
      <c r="J3211">
        <v>15.08</v>
      </c>
    </row>
    <row r="3212" spans="1:10">
      <c r="A3212" s="90" t="s">
        <v>51</v>
      </c>
      <c r="B3212" s="87">
        <v>45931</v>
      </c>
      <c r="C3212" t="s">
        <v>511</v>
      </c>
      <c r="D3212" t="s">
        <v>2688</v>
      </c>
      <c r="E3212" t="s">
        <v>512</v>
      </c>
      <c r="F3212" t="s">
        <v>518</v>
      </c>
      <c r="G3212" t="s">
        <v>474</v>
      </c>
      <c r="H3212" t="s">
        <v>470</v>
      </c>
      <c r="I3212" t="s">
        <v>475</v>
      </c>
      <c r="J3212">
        <v>648.09</v>
      </c>
    </row>
    <row r="3213" spans="1:10">
      <c r="A3213" s="90" t="s">
        <v>51</v>
      </c>
      <c r="B3213" s="87">
        <v>45933</v>
      </c>
      <c r="C3213" t="s">
        <v>4403</v>
      </c>
      <c r="D3213" t="s">
        <v>2688</v>
      </c>
      <c r="E3213" t="s">
        <v>1756</v>
      </c>
      <c r="F3213" t="s">
        <v>802</v>
      </c>
      <c r="G3213" t="s">
        <v>67</v>
      </c>
      <c r="H3213" t="s">
        <v>470</v>
      </c>
      <c r="I3213" t="s">
        <v>796</v>
      </c>
      <c r="J3213">
        <v>399.94</v>
      </c>
    </row>
    <row r="3214" spans="1:10">
      <c r="A3214" s="90" t="s">
        <v>51</v>
      </c>
      <c r="B3214" s="87">
        <v>45933</v>
      </c>
      <c r="C3214" t="s">
        <v>511</v>
      </c>
      <c r="D3214" t="s">
        <v>2688</v>
      </c>
      <c r="E3214" t="s">
        <v>512</v>
      </c>
      <c r="F3214" t="s">
        <v>518</v>
      </c>
      <c r="G3214" t="s">
        <v>474</v>
      </c>
      <c r="H3214" t="s">
        <v>470</v>
      </c>
      <c r="I3214" t="s">
        <v>475</v>
      </c>
      <c r="J3214">
        <v>399.94</v>
      </c>
    </row>
    <row r="3215" spans="1:10">
      <c r="A3215" s="90" t="s">
        <v>51</v>
      </c>
      <c r="B3215" s="87">
        <v>45936</v>
      </c>
      <c r="C3215" t="s">
        <v>4463</v>
      </c>
      <c r="D3215" t="s">
        <v>2688</v>
      </c>
      <c r="E3215" t="s">
        <v>2986</v>
      </c>
      <c r="F3215" t="s">
        <v>196</v>
      </c>
      <c r="G3215" t="s">
        <v>2494</v>
      </c>
      <c r="H3215" t="s">
        <v>470</v>
      </c>
      <c r="I3215" t="s">
        <v>796</v>
      </c>
      <c r="J3215">
        <v>23375.040000000001</v>
      </c>
    </row>
    <row r="3216" spans="1:10">
      <c r="A3216" s="90" t="s">
        <v>51</v>
      </c>
      <c r="B3216" s="87">
        <v>45936</v>
      </c>
      <c r="C3216" t="s">
        <v>4464</v>
      </c>
      <c r="D3216" t="s">
        <v>2688</v>
      </c>
      <c r="E3216" t="s">
        <v>2986</v>
      </c>
      <c r="F3216" t="s">
        <v>196</v>
      </c>
      <c r="G3216" t="s">
        <v>2494</v>
      </c>
      <c r="H3216" t="s">
        <v>470</v>
      </c>
      <c r="I3216" t="s">
        <v>796</v>
      </c>
      <c r="J3216">
        <v>1344.06</v>
      </c>
    </row>
    <row r="3217" spans="1:10">
      <c r="A3217" s="90" t="s">
        <v>51</v>
      </c>
      <c r="B3217" s="87">
        <v>45936</v>
      </c>
      <c r="C3217" t="s">
        <v>4465</v>
      </c>
      <c r="D3217" t="s">
        <v>2688</v>
      </c>
      <c r="E3217" t="s">
        <v>3949</v>
      </c>
      <c r="F3217" t="s">
        <v>802</v>
      </c>
      <c r="G3217" t="s">
        <v>65</v>
      </c>
      <c r="H3217" t="s">
        <v>2994</v>
      </c>
      <c r="I3217" t="s">
        <v>796</v>
      </c>
      <c r="J3217">
        <v>179.9</v>
      </c>
    </row>
    <row r="3218" spans="1:10">
      <c r="A3218" s="90" t="s">
        <v>51</v>
      </c>
      <c r="B3218" s="87">
        <v>45936</v>
      </c>
      <c r="C3218" t="s">
        <v>511</v>
      </c>
      <c r="D3218" t="s">
        <v>2688</v>
      </c>
      <c r="E3218" t="s">
        <v>512</v>
      </c>
      <c r="F3218" t="s">
        <v>518</v>
      </c>
      <c r="G3218" t="s">
        <v>474</v>
      </c>
      <c r="H3218" t="s">
        <v>470</v>
      </c>
      <c r="I3218" t="s">
        <v>475</v>
      </c>
      <c r="J3218">
        <v>24899</v>
      </c>
    </row>
    <row r="3219" spans="1:10">
      <c r="A3219" s="90" t="s">
        <v>51</v>
      </c>
      <c r="B3219" s="87">
        <v>45938</v>
      </c>
      <c r="C3219" t="s">
        <v>4466</v>
      </c>
      <c r="D3219" t="s">
        <v>2688</v>
      </c>
      <c r="E3219" t="s">
        <v>2986</v>
      </c>
      <c r="F3219" t="s">
        <v>1795</v>
      </c>
      <c r="G3219" t="s">
        <v>2112</v>
      </c>
      <c r="H3219" t="s">
        <v>470</v>
      </c>
      <c r="I3219" t="s">
        <v>487</v>
      </c>
      <c r="J3219">
        <v>82088.56</v>
      </c>
    </row>
    <row r="3220" spans="1:10">
      <c r="A3220" s="90" t="s">
        <v>51</v>
      </c>
      <c r="B3220" s="87">
        <v>45938</v>
      </c>
      <c r="C3220" t="s">
        <v>4467</v>
      </c>
      <c r="D3220" t="s">
        <v>2688</v>
      </c>
      <c r="E3220" t="s">
        <v>2986</v>
      </c>
      <c r="F3220" t="s">
        <v>1797</v>
      </c>
      <c r="G3220" t="s">
        <v>2112</v>
      </c>
      <c r="H3220" t="s">
        <v>470</v>
      </c>
      <c r="I3220" t="s">
        <v>487</v>
      </c>
      <c r="J3220">
        <v>27911.439999999999</v>
      </c>
    </row>
    <row r="3221" spans="1:10">
      <c r="A3221" s="90" t="s">
        <v>51</v>
      </c>
      <c r="B3221" s="87">
        <v>45938</v>
      </c>
      <c r="C3221" t="s">
        <v>511</v>
      </c>
      <c r="D3221" t="s">
        <v>2688</v>
      </c>
      <c r="E3221" t="s">
        <v>512</v>
      </c>
      <c r="F3221" t="s">
        <v>518</v>
      </c>
      <c r="G3221" t="s">
        <v>474</v>
      </c>
      <c r="H3221" t="s">
        <v>470</v>
      </c>
      <c r="I3221" t="s">
        <v>475</v>
      </c>
      <c r="J3221">
        <v>68373.33</v>
      </c>
    </row>
    <row r="3222" spans="1:10">
      <c r="A3222" s="90" t="s">
        <v>51</v>
      </c>
      <c r="B3222" s="87">
        <v>45939</v>
      </c>
      <c r="C3222" t="s">
        <v>4467</v>
      </c>
      <c r="D3222" t="s">
        <v>2688</v>
      </c>
      <c r="E3222" t="s">
        <v>2986</v>
      </c>
      <c r="F3222" t="s">
        <v>1797</v>
      </c>
      <c r="G3222" t="s">
        <v>2112</v>
      </c>
      <c r="H3222" t="s">
        <v>470</v>
      </c>
      <c r="I3222" t="s">
        <v>487</v>
      </c>
      <c r="J3222">
        <v>56038.19</v>
      </c>
    </row>
    <row r="3223" spans="1:10">
      <c r="A3223" s="90" t="s">
        <v>51</v>
      </c>
      <c r="B3223" s="87">
        <v>45939</v>
      </c>
      <c r="C3223" t="s">
        <v>4468</v>
      </c>
      <c r="D3223" t="s">
        <v>2688</v>
      </c>
      <c r="E3223" t="s">
        <v>2986</v>
      </c>
      <c r="F3223" t="s">
        <v>1799</v>
      </c>
      <c r="G3223" t="s">
        <v>2112</v>
      </c>
      <c r="H3223" t="s">
        <v>470</v>
      </c>
      <c r="I3223" t="s">
        <v>487</v>
      </c>
      <c r="J3223">
        <v>81149.64</v>
      </c>
    </row>
    <row r="3224" spans="1:10">
      <c r="A3224" s="90" t="s">
        <v>51</v>
      </c>
      <c r="B3224" s="87">
        <v>45939</v>
      </c>
      <c r="C3224" t="s">
        <v>1322</v>
      </c>
      <c r="D3224" t="s">
        <v>2688</v>
      </c>
      <c r="E3224" t="s">
        <v>512</v>
      </c>
      <c r="F3224" t="s">
        <v>518</v>
      </c>
      <c r="G3224" t="s">
        <v>474</v>
      </c>
      <c r="H3224" t="s">
        <v>470</v>
      </c>
      <c r="I3224" t="s">
        <v>475</v>
      </c>
      <c r="J3224">
        <v>148092.85999999999</v>
      </c>
    </row>
    <row r="3225" spans="1:10">
      <c r="A3225" s="90" t="s">
        <v>51</v>
      </c>
      <c r="B3225" s="87">
        <v>45939</v>
      </c>
      <c r="C3225" t="s">
        <v>1322</v>
      </c>
      <c r="D3225" t="s">
        <v>2688</v>
      </c>
      <c r="E3225" t="s">
        <v>512</v>
      </c>
      <c r="F3225" t="s">
        <v>518</v>
      </c>
      <c r="G3225" t="s">
        <v>474</v>
      </c>
      <c r="H3225" t="s">
        <v>470</v>
      </c>
      <c r="I3225" t="s">
        <v>475</v>
      </c>
      <c r="J3225">
        <v>296185.73</v>
      </c>
    </row>
    <row r="3226" spans="1:10">
      <c r="A3226" s="90" t="s">
        <v>51</v>
      </c>
      <c r="B3226" s="87">
        <v>45939</v>
      </c>
      <c r="C3226" t="s">
        <v>517</v>
      </c>
      <c r="D3226" t="s">
        <v>2688</v>
      </c>
      <c r="E3226" t="s">
        <v>512</v>
      </c>
      <c r="F3226" t="s">
        <v>518</v>
      </c>
      <c r="G3226" t="s">
        <v>474</v>
      </c>
      <c r="H3226" t="s">
        <v>470</v>
      </c>
      <c r="I3226" t="s">
        <v>475</v>
      </c>
      <c r="J3226">
        <v>307090.76</v>
      </c>
    </row>
    <row r="3227" spans="1:10">
      <c r="A3227" s="90" t="s">
        <v>51</v>
      </c>
      <c r="B3227" s="87">
        <v>45939</v>
      </c>
      <c r="C3227" t="s">
        <v>2347</v>
      </c>
      <c r="D3227" t="s">
        <v>2110</v>
      </c>
      <c r="E3227" t="s">
        <v>1324</v>
      </c>
      <c r="F3227" t="s">
        <v>518</v>
      </c>
      <c r="G3227" t="s">
        <v>68</v>
      </c>
      <c r="H3227" t="s">
        <v>470</v>
      </c>
      <c r="I3227" t="s">
        <v>471</v>
      </c>
      <c r="J3227">
        <v>5721.41</v>
      </c>
    </row>
    <row r="3228" spans="1:10">
      <c r="A3228" s="90" t="s">
        <v>51</v>
      </c>
      <c r="B3228" s="87">
        <v>45940</v>
      </c>
      <c r="C3228" t="s">
        <v>4469</v>
      </c>
      <c r="D3228" t="s">
        <v>2688</v>
      </c>
      <c r="E3228" t="s">
        <v>2986</v>
      </c>
      <c r="F3228" t="s">
        <v>1801</v>
      </c>
      <c r="G3228" t="s">
        <v>2112</v>
      </c>
      <c r="H3228" t="s">
        <v>470</v>
      </c>
      <c r="I3228" t="s">
        <v>487</v>
      </c>
      <c r="J3228">
        <v>79791.56</v>
      </c>
    </row>
    <row r="3229" spans="1:10">
      <c r="A3229" s="90" t="s">
        <v>51</v>
      </c>
      <c r="B3229" s="87">
        <v>45940</v>
      </c>
      <c r="C3229" t="s">
        <v>4470</v>
      </c>
      <c r="D3229" t="s">
        <v>2688</v>
      </c>
      <c r="E3229" t="s">
        <v>2986</v>
      </c>
      <c r="F3229" t="s">
        <v>1803</v>
      </c>
      <c r="G3229" t="s">
        <v>2112</v>
      </c>
      <c r="H3229" t="s">
        <v>470</v>
      </c>
      <c r="I3229" t="s">
        <v>487</v>
      </c>
      <c r="J3229">
        <v>62035.88</v>
      </c>
    </row>
    <row r="3230" spans="1:10">
      <c r="A3230" s="90" t="s">
        <v>51</v>
      </c>
      <c r="B3230" s="87">
        <v>45940</v>
      </c>
      <c r="C3230" t="s">
        <v>4471</v>
      </c>
      <c r="D3230" t="s">
        <v>2688</v>
      </c>
      <c r="E3230" t="s">
        <v>2986</v>
      </c>
      <c r="F3230" t="s">
        <v>1805</v>
      </c>
      <c r="G3230" t="s">
        <v>2112</v>
      </c>
      <c r="H3230" t="s">
        <v>470</v>
      </c>
      <c r="I3230" t="s">
        <v>487</v>
      </c>
      <c r="J3230">
        <v>14955.68</v>
      </c>
    </row>
    <row r="3231" spans="1:10">
      <c r="A3231" s="90" t="s">
        <v>51</v>
      </c>
      <c r="B3231" s="87">
        <v>45940</v>
      </c>
      <c r="C3231" t="s">
        <v>2454</v>
      </c>
      <c r="D3231" t="s">
        <v>2688</v>
      </c>
      <c r="E3231" t="s">
        <v>1667</v>
      </c>
      <c r="F3231" t="s">
        <v>518</v>
      </c>
      <c r="G3231" t="s">
        <v>71</v>
      </c>
      <c r="H3231" t="s">
        <v>470</v>
      </c>
      <c r="I3231" t="s">
        <v>475</v>
      </c>
      <c r="J3231">
        <v>5000</v>
      </c>
    </row>
    <row r="3232" spans="1:10">
      <c r="A3232" s="90" t="s">
        <v>51</v>
      </c>
      <c r="B3232" s="87">
        <v>45940</v>
      </c>
      <c r="C3232" t="s">
        <v>4472</v>
      </c>
      <c r="D3232" t="s">
        <v>2688</v>
      </c>
      <c r="E3232" t="s">
        <v>2702</v>
      </c>
      <c r="F3232" t="s">
        <v>4473</v>
      </c>
      <c r="G3232" t="s">
        <v>63</v>
      </c>
      <c r="H3232" t="s">
        <v>470</v>
      </c>
      <c r="I3232" t="s">
        <v>796</v>
      </c>
      <c r="J3232">
        <v>125</v>
      </c>
    </row>
    <row r="3233" spans="1:10">
      <c r="A3233" s="90" t="s">
        <v>51</v>
      </c>
      <c r="B3233" s="87">
        <v>45940</v>
      </c>
      <c r="C3233" t="s">
        <v>4222</v>
      </c>
      <c r="D3233" t="s">
        <v>2688</v>
      </c>
      <c r="E3233" t="s">
        <v>477</v>
      </c>
      <c r="F3233" t="s">
        <v>1449</v>
      </c>
      <c r="G3233" t="s">
        <v>69</v>
      </c>
      <c r="H3233" t="s">
        <v>470</v>
      </c>
      <c r="I3233" t="s">
        <v>471</v>
      </c>
      <c r="J3233">
        <v>178.55</v>
      </c>
    </row>
    <row r="3234" spans="1:10">
      <c r="A3234" s="90" t="s">
        <v>51</v>
      </c>
      <c r="B3234" s="87">
        <v>45940</v>
      </c>
      <c r="C3234" t="s">
        <v>2275</v>
      </c>
      <c r="D3234" t="s">
        <v>2688</v>
      </c>
      <c r="E3234" t="s">
        <v>477</v>
      </c>
      <c r="F3234" t="s">
        <v>518</v>
      </c>
      <c r="G3234" t="s">
        <v>74</v>
      </c>
      <c r="H3234" t="s">
        <v>470</v>
      </c>
      <c r="I3234" t="s">
        <v>471</v>
      </c>
      <c r="J3234">
        <v>95</v>
      </c>
    </row>
    <row r="3235" spans="1:10">
      <c r="A3235" s="90" t="s">
        <v>51</v>
      </c>
      <c r="B3235" s="87">
        <v>45940</v>
      </c>
      <c r="C3235" t="s">
        <v>4474</v>
      </c>
      <c r="D3235" t="s">
        <v>2688</v>
      </c>
      <c r="E3235" t="s">
        <v>4041</v>
      </c>
      <c r="F3235" t="s">
        <v>518</v>
      </c>
      <c r="G3235" t="s">
        <v>71</v>
      </c>
      <c r="H3235" t="s">
        <v>470</v>
      </c>
      <c r="I3235" t="s">
        <v>482</v>
      </c>
      <c r="J3235">
        <v>3000</v>
      </c>
    </row>
    <row r="3236" spans="1:10">
      <c r="A3236" s="90" t="s">
        <v>51</v>
      </c>
      <c r="B3236" s="87">
        <v>45940</v>
      </c>
      <c r="C3236" t="s">
        <v>2295</v>
      </c>
      <c r="D3236" t="s">
        <v>2688</v>
      </c>
      <c r="E3236" t="s">
        <v>477</v>
      </c>
      <c r="F3236" t="s">
        <v>518</v>
      </c>
      <c r="G3236" t="s">
        <v>2295</v>
      </c>
      <c r="H3236" t="s">
        <v>470</v>
      </c>
      <c r="I3236" t="s">
        <v>471</v>
      </c>
      <c r="J3236">
        <v>676.39</v>
      </c>
    </row>
    <row r="3237" spans="1:10">
      <c r="A3237" s="90" t="s">
        <v>51</v>
      </c>
      <c r="B3237" s="87">
        <v>45940</v>
      </c>
      <c r="C3237" t="s">
        <v>517</v>
      </c>
      <c r="D3237" t="s">
        <v>2688</v>
      </c>
      <c r="E3237" t="s">
        <v>512</v>
      </c>
      <c r="F3237" t="s">
        <v>518</v>
      </c>
      <c r="G3237" t="s">
        <v>474</v>
      </c>
      <c r="H3237" t="s">
        <v>470</v>
      </c>
      <c r="I3237" t="s">
        <v>475</v>
      </c>
      <c r="J3237">
        <v>271849.62</v>
      </c>
    </row>
    <row r="3238" spans="1:10">
      <c r="A3238" s="90" t="s">
        <v>51</v>
      </c>
      <c r="B3238" s="87">
        <v>45943</v>
      </c>
      <c r="C3238" t="s">
        <v>4475</v>
      </c>
      <c r="D3238" t="s">
        <v>2688</v>
      </c>
      <c r="E3238" t="s">
        <v>785</v>
      </c>
      <c r="F3238" t="s">
        <v>186</v>
      </c>
      <c r="G3238" t="s">
        <v>2213</v>
      </c>
      <c r="H3238" t="s">
        <v>470</v>
      </c>
      <c r="I3238" t="s">
        <v>475</v>
      </c>
      <c r="J3238">
        <v>4051.2</v>
      </c>
    </row>
    <row r="3239" spans="1:10">
      <c r="A3239" s="90" t="s">
        <v>51</v>
      </c>
      <c r="B3239" s="87">
        <v>45943</v>
      </c>
      <c r="C3239" t="s">
        <v>2454</v>
      </c>
      <c r="D3239" t="s">
        <v>2688</v>
      </c>
      <c r="E3239" t="s">
        <v>1667</v>
      </c>
      <c r="F3239" t="s">
        <v>518</v>
      </c>
      <c r="G3239" t="s">
        <v>71</v>
      </c>
      <c r="H3239" t="s">
        <v>470</v>
      </c>
      <c r="I3239" t="s">
        <v>475</v>
      </c>
      <c r="J3239">
        <v>22000</v>
      </c>
    </row>
    <row r="3240" spans="1:10">
      <c r="A3240" s="90" t="s">
        <v>51</v>
      </c>
      <c r="B3240" s="87">
        <v>45943</v>
      </c>
      <c r="C3240" t="s">
        <v>4476</v>
      </c>
      <c r="D3240" t="s">
        <v>2688</v>
      </c>
      <c r="E3240" t="s">
        <v>2986</v>
      </c>
      <c r="F3240" t="s">
        <v>1807</v>
      </c>
      <c r="G3240" t="s">
        <v>2112</v>
      </c>
      <c r="H3240" t="s">
        <v>470</v>
      </c>
      <c r="I3240" t="s">
        <v>487</v>
      </c>
      <c r="J3240">
        <v>81870.59</v>
      </c>
    </row>
    <row r="3241" spans="1:10">
      <c r="A3241" s="90" t="s">
        <v>51</v>
      </c>
      <c r="B3241" s="87">
        <v>45943</v>
      </c>
      <c r="C3241" t="s">
        <v>511</v>
      </c>
      <c r="D3241" t="s">
        <v>2688</v>
      </c>
      <c r="E3241" t="s">
        <v>512</v>
      </c>
      <c r="F3241" t="s">
        <v>518</v>
      </c>
      <c r="G3241" t="s">
        <v>474</v>
      </c>
      <c r="H3241" t="s">
        <v>470</v>
      </c>
      <c r="I3241" t="s">
        <v>475</v>
      </c>
      <c r="J3241">
        <v>107921.79</v>
      </c>
    </row>
    <row r="3242" spans="1:10">
      <c r="A3242" s="90" t="s">
        <v>51</v>
      </c>
      <c r="B3242" s="87">
        <v>45944</v>
      </c>
      <c r="C3242" t="s">
        <v>4477</v>
      </c>
      <c r="D3242" t="s">
        <v>2688</v>
      </c>
      <c r="E3242" t="s">
        <v>2986</v>
      </c>
      <c r="F3242" t="s">
        <v>1809</v>
      </c>
      <c r="G3242" t="s">
        <v>2112</v>
      </c>
      <c r="H3242" t="s">
        <v>470</v>
      </c>
      <c r="I3242" t="s">
        <v>487</v>
      </c>
      <c r="J3242">
        <v>82859.820000000007</v>
      </c>
    </row>
    <row r="3243" spans="1:10">
      <c r="A3243" s="90" t="s">
        <v>51</v>
      </c>
      <c r="B3243" s="87">
        <v>45944</v>
      </c>
      <c r="C3243" t="s">
        <v>4478</v>
      </c>
      <c r="D3243" t="s">
        <v>2688</v>
      </c>
      <c r="E3243" t="s">
        <v>2986</v>
      </c>
      <c r="F3243" t="s">
        <v>1811</v>
      </c>
      <c r="G3243" t="s">
        <v>2112</v>
      </c>
      <c r="H3243" t="s">
        <v>470</v>
      </c>
      <c r="I3243" t="s">
        <v>487</v>
      </c>
      <c r="J3243">
        <v>80646.64</v>
      </c>
    </row>
    <row r="3244" spans="1:10">
      <c r="A3244" s="90" t="s">
        <v>51</v>
      </c>
      <c r="B3244" s="87">
        <v>45944</v>
      </c>
      <c r="C3244" t="s">
        <v>4479</v>
      </c>
      <c r="D3244" t="s">
        <v>2688</v>
      </c>
      <c r="E3244" t="s">
        <v>2986</v>
      </c>
      <c r="F3244" t="s">
        <v>1813</v>
      </c>
      <c r="G3244" t="s">
        <v>2112</v>
      </c>
      <c r="H3244" t="s">
        <v>470</v>
      </c>
      <c r="I3244" t="s">
        <v>487</v>
      </c>
      <c r="J3244">
        <v>79303.75</v>
      </c>
    </row>
    <row r="3245" spans="1:10">
      <c r="A3245" s="90" t="s">
        <v>51</v>
      </c>
      <c r="B3245" s="87">
        <v>45944</v>
      </c>
      <c r="C3245" t="s">
        <v>511</v>
      </c>
      <c r="D3245" t="s">
        <v>2688</v>
      </c>
      <c r="E3245" t="s">
        <v>512</v>
      </c>
      <c r="F3245" t="s">
        <v>518</v>
      </c>
      <c r="G3245" t="s">
        <v>474</v>
      </c>
      <c r="H3245" t="s">
        <v>470</v>
      </c>
      <c r="I3245" t="s">
        <v>475</v>
      </c>
      <c r="J3245">
        <v>242811.79</v>
      </c>
    </row>
    <row r="3246" spans="1:10">
      <c r="A3246" s="90" t="s">
        <v>51</v>
      </c>
      <c r="B3246" s="87">
        <v>45945</v>
      </c>
      <c r="C3246" t="s">
        <v>3283</v>
      </c>
      <c r="D3246" t="s">
        <v>2688</v>
      </c>
      <c r="E3246" t="s">
        <v>3107</v>
      </c>
      <c r="F3246" t="s">
        <v>518</v>
      </c>
      <c r="G3246" t="s">
        <v>60</v>
      </c>
      <c r="H3246" t="s">
        <v>470</v>
      </c>
      <c r="I3246" t="s">
        <v>796</v>
      </c>
      <c r="J3246">
        <v>86.99</v>
      </c>
    </row>
    <row r="3247" spans="1:10">
      <c r="A3247" s="90" t="s">
        <v>51</v>
      </c>
      <c r="B3247" s="87">
        <v>45945</v>
      </c>
      <c r="C3247" t="s">
        <v>4480</v>
      </c>
      <c r="D3247" t="s">
        <v>2688</v>
      </c>
      <c r="E3247" t="s">
        <v>2986</v>
      </c>
      <c r="F3247" t="s">
        <v>1839</v>
      </c>
      <c r="G3247" t="s">
        <v>2112</v>
      </c>
      <c r="H3247" t="s">
        <v>470</v>
      </c>
      <c r="I3247" t="s">
        <v>487</v>
      </c>
      <c r="J3247">
        <v>15089.81</v>
      </c>
    </row>
    <row r="3248" spans="1:10">
      <c r="A3248" s="90" t="s">
        <v>51</v>
      </c>
      <c r="B3248" s="87">
        <v>45945</v>
      </c>
      <c r="C3248" t="s">
        <v>4481</v>
      </c>
      <c r="D3248" t="s">
        <v>2688</v>
      </c>
      <c r="E3248" t="s">
        <v>2986</v>
      </c>
      <c r="F3248" t="s">
        <v>1841</v>
      </c>
      <c r="G3248" t="s">
        <v>2112</v>
      </c>
      <c r="H3248" t="s">
        <v>470</v>
      </c>
      <c r="I3248" t="s">
        <v>487</v>
      </c>
      <c r="J3248">
        <v>82742.45</v>
      </c>
    </row>
    <row r="3249" spans="1:10">
      <c r="A3249" s="90" t="s">
        <v>51</v>
      </c>
      <c r="B3249" s="87">
        <v>45945</v>
      </c>
      <c r="C3249" t="s">
        <v>517</v>
      </c>
      <c r="D3249" t="s">
        <v>2688</v>
      </c>
      <c r="E3249" t="s">
        <v>512</v>
      </c>
      <c r="F3249" t="s">
        <v>518</v>
      </c>
      <c r="G3249" t="s">
        <v>474</v>
      </c>
      <c r="H3249" t="s">
        <v>470</v>
      </c>
      <c r="I3249" t="s">
        <v>475</v>
      </c>
      <c r="J3249">
        <v>80568.25</v>
      </c>
    </row>
    <row r="3250" spans="1:10">
      <c r="A3250" s="90" t="s">
        <v>51</v>
      </c>
      <c r="B3250" s="87">
        <v>45946</v>
      </c>
      <c r="C3250" t="s">
        <v>4482</v>
      </c>
      <c r="D3250" t="s">
        <v>2688</v>
      </c>
      <c r="E3250" t="s">
        <v>477</v>
      </c>
      <c r="F3250" t="s">
        <v>3954</v>
      </c>
      <c r="G3250" t="s">
        <v>515</v>
      </c>
      <c r="H3250" t="s">
        <v>4483</v>
      </c>
      <c r="I3250" t="s">
        <v>471</v>
      </c>
      <c r="J3250">
        <v>54166.67</v>
      </c>
    </row>
    <row r="3251" spans="1:10">
      <c r="A3251" s="90" t="s">
        <v>51</v>
      </c>
      <c r="B3251" s="87">
        <v>45946</v>
      </c>
      <c r="C3251" t="s">
        <v>4482</v>
      </c>
      <c r="D3251" t="s">
        <v>2688</v>
      </c>
      <c r="E3251" t="s">
        <v>477</v>
      </c>
      <c r="F3251" t="s">
        <v>3954</v>
      </c>
      <c r="G3251" t="s">
        <v>69</v>
      </c>
      <c r="H3251" t="s">
        <v>4483</v>
      </c>
      <c r="I3251" t="s">
        <v>471</v>
      </c>
      <c r="J3251">
        <v>3602.08</v>
      </c>
    </row>
    <row r="3252" spans="1:10">
      <c r="A3252" s="90" t="s">
        <v>51</v>
      </c>
      <c r="B3252" s="87">
        <v>45946</v>
      </c>
      <c r="C3252" t="s">
        <v>517</v>
      </c>
      <c r="D3252" t="s">
        <v>2688</v>
      </c>
      <c r="E3252" t="s">
        <v>512</v>
      </c>
      <c r="F3252" t="s">
        <v>518</v>
      </c>
      <c r="G3252" t="s">
        <v>474</v>
      </c>
      <c r="H3252" t="s">
        <v>470</v>
      </c>
      <c r="I3252" t="s">
        <v>475</v>
      </c>
      <c r="J3252">
        <v>115541.25</v>
      </c>
    </row>
    <row r="3253" spans="1:10">
      <c r="A3253" s="90" t="s">
        <v>51</v>
      </c>
      <c r="B3253" s="87">
        <v>45946</v>
      </c>
      <c r="C3253" t="s">
        <v>2347</v>
      </c>
      <c r="D3253" t="s">
        <v>2110</v>
      </c>
      <c r="E3253" t="s">
        <v>1324</v>
      </c>
      <c r="F3253" t="s">
        <v>518</v>
      </c>
      <c r="G3253" t="s">
        <v>68</v>
      </c>
      <c r="H3253" t="s">
        <v>470</v>
      </c>
      <c r="I3253" t="s">
        <v>471</v>
      </c>
      <c r="J3253">
        <v>6390.37</v>
      </c>
    </row>
    <row r="3254" spans="1:10">
      <c r="A3254" s="90" t="s">
        <v>51</v>
      </c>
      <c r="B3254" s="87">
        <v>45947</v>
      </c>
      <c r="C3254" t="s">
        <v>1322</v>
      </c>
      <c r="D3254" t="s">
        <v>2688</v>
      </c>
      <c r="E3254" t="s">
        <v>512</v>
      </c>
      <c r="F3254" t="s">
        <v>518</v>
      </c>
      <c r="G3254" t="s">
        <v>474</v>
      </c>
      <c r="H3254" t="s">
        <v>470</v>
      </c>
      <c r="I3254" t="s">
        <v>475</v>
      </c>
      <c r="J3254">
        <v>493609.63</v>
      </c>
    </row>
    <row r="3255" spans="1:10">
      <c r="A3255" s="90" t="s">
        <v>51</v>
      </c>
      <c r="B3255" s="87">
        <v>45947</v>
      </c>
      <c r="C3255" t="s">
        <v>4444</v>
      </c>
      <c r="D3255" t="s">
        <v>2688</v>
      </c>
      <c r="E3255" t="s">
        <v>1693</v>
      </c>
      <c r="F3255" t="s">
        <v>385</v>
      </c>
      <c r="G3255" t="s">
        <v>2112</v>
      </c>
      <c r="H3255" t="s">
        <v>470</v>
      </c>
      <c r="I3255" t="s">
        <v>540</v>
      </c>
      <c r="J3255">
        <v>1700000</v>
      </c>
    </row>
    <row r="3256" spans="1:10">
      <c r="A3256" s="90" t="s">
        <v>51</v>
      </c>
      <c r="B3256" s="87">
        <v>45947</v>
      </c>
      <c r="C3256" t="s">
        <v>517</v>
      </c>
      <c r="D3256" t="s">
        <v>2688</v>
      </c>
      <c r="E3256" t="s">
        <v>512</v>
      </c>
      <c r="F3256" t="s">
        <v>518</v>
      </c>
      <c r="G3256" t="s">
        <v>474</v>
      </c>
      <c r="H3256" t="s">
        <v>470</v>
      </c>
      <c r="I3256" t="s">
        <v>475</v>
      </c>
      <c r="J3256">
        <v>41688.959999999999</v>
      </c>
    </row>
    <row r="3257" spans="1:10">
      <c r="A3257" s="90" t="s">
        <v>51</v>
      </c>
      <c r="B3257" s="87">
        <v>45950</v>
      </c>
      <c r="C3257" t="s">
        <v>4484</v>
      </c>
      <c r="D3257" t="s">
        <v>2688</v>
      </c>
      <c r="E3257" t="s">
        <v>2986</v>
      </c>
      <c r="F3257" t="s">
        <v>196</v>
      </c>
      <c r="G3257" t="s">
        <v>2381</v>
      </c>
      <c r="H3257" t="s">
        <v>470</v>
      </c>
      <c r="I3257" t="s">
        <v>796</v>
      </c>
      <c r="J3257">
        <v>1676.56</v>
      </c>
    </row>
    <row r="3258" spans="1:10">
      <c r="A3258" s="90" t="s">
        <v>51</v>
      </c>
      <c r="B3258" s="87">
        <v>45950</v>
      </c>
      <c r="C3258" t="s">
        <v>511</v>
      </c>
      <c r="D3258" t="s">
        <v>2688</v>
      </c>
      <c r="E3258" t="s">
        <v>512</v>
      </c>
      <c r="F3258" t="s">
        <v>518</v>
      </c>
      <c r="G3258" t="s">
        <v>474</v>
      </c>
      <c r="H3258" t="s">
        <v>470</v>
      </c>
      <c r="I3258" t="s">
        <v>475</v>
      </c>
      <c r="J3258">
        <v>2482.56</v>
      </c>
    </row>
    <row r="3259" spans="1:10">
      <c r="A3259" s="90" t="s">
        <v>51</v>
      </c>
      <c r="B3259" s="87">
        <v>45950</v>
      </c>
      <c r="C3259" t="s">
        <v>3193</v>
      </c>
      <c r="D3259" t="s">
        <v>2688</v>
      </c>
      <c r="E3259" t="s">
        <v>2318</v>
      </c>
      <c r="F3259" t="s">
        <v>802</v>
      </c>
      <c r="G3259" t="s">
        <v>64</v>
      </c>
      <c r="H3259" t="s">
        <v>2994</v>
      </c>
      <c r="I3259" t="s">
        <v>796</v>
      </c>
      <c r="J3259">
        <v>806</v>
      </c>
    </row>
    <row r="3260" spans="1:10">
      <c r="A3260" s="90" t="s">
        <v>51</v>
      </c>
      <c r="B3260" s="87">
        <v>45951</v>
      </c>
      <c r="C3260" t="s">
        <v>2454</v>
      </c>
      <c r="D3260" t="s">
        <v>2688</v>
      </c>
      <c r="E3260" t="s">
        <v>1667</v>
      </c>
      <c r="F3260" t="s">
        <v>518</v>
      </c>
      <c r="G3260" t="s">
        <v>71</v>
      </c>
      <c r="H3260" t="s">
        <v>470</v>
      </c>
      <c r="I3260" t="s">
        <v>475</v>
      </c>
      <c r="J3260">
        <v>3000</v>
      </c>
    </row>
    <row r="3261" spans="1:10">
      <c r="A3261" s="90" t="s">
        <v>51</v>
      </c>
      <c r="B3261" s="87">
        <v>45951</v>
      </c>
      <c r="C3261" t="s">
        <v>511</v>
      </c>
      <c r="D3261" t="s">
        <v>2688</v>
      </c>
      <c r="E3261" t="s">
        <v>512</v>
      </c>
      <c r="F3261" t="s">
        <v>518</v>
      </c>
      <c r="G3261" t="s">
        <v>474</v>
      </c>
      <c r="H3261" t="s">
        <v>470</v>
      </c>
      <c r="I3261" t="s">
        <v>475</v>
      </c>
      <c r="J3261">
        <v>3000</v>
      </c>
    </row>
    <row r="3262" spans="1:10">
      <c r="A3262" s="90" t="s">
        <v>51</v>
      </c>
      <c r="B3262" s="87">
        <v>45952</v>
      </c>
      <c r="C3262" t="s">
        <v>2478</v>
      </c>
      <c r="D3262" t="s">
        <v>2688</v>
      </c>
      <c r="E3262" t="s">
        <v>1667</v>
      </c>
      <c r="F3262" t="s">
        <v>518</v>
      </c>
      <c r="G3262" t="s">
        <v>76</v>
      </c>
      <c r="H3262" t="s">
        <v>470</v>
      </c>
      <c r="I3262" t="s">
        <v>475</v>
      </c>
      <c r="J3262">
        <v>62.21</v>
      </c>
    </row>
    <row r="3263" spans="1:10">
      <c r="A3263" s="90" t="s">
        <v>51</v>
      </c>
      <c r="B3263" s="87">
        <v>45952</v>
      </c>
      <c r="C3263" t="s">
        <v>2478</v>
      </c>
      <c r="D3263" t="s">
        <v>2688</v>
      </c>
      <c r="E3263" t="s">
        <v>1667</v>
      </c>
      <c r="F3263" t="s">
        <v>518</v>
      </c>
      <c r="G3263" t="s">
        <v>62</v>
      </c>
      <c r="H3263" t="s">
        <v>470</v>
      </c>
      <c r="I3263" t="s">
        <v>475</v>
      </c>
      <c r="J3263">
        <v>700.4</v>
      </c>
    </row>
    <row r="3264" spans="1:10">
      <c r="A3264" s="90" t="s">
        <v>51</v>
      </c>
      <c r="B3264" s="87">
        <v>45952</v>
      </c>
      <c r="C3264" t="s">
        <v>511</v>
      </c>
      <c r="D3264" t="s">
        <v>2688</v>
      </c>
      <c r="E3264" t="s">
        <v>512</v>
      </c>
      <c r="F3264" t="s">
        <v>518</v>
      </c>
      <c r="G3264" t="s">
        <v>474</v>
      </c>
      <c r="H3264" t="s">
        <v>470</v>
      </c>
      <c r="I3264" t="s">
        <v>475</v>
      </c>
      <c r="J3264">
        <v>762.61</v>
      </c>
    </row>
    <row r="3265" spans="1:10">
      <c r="A3265" s="90" t="s">
        <v>51</v>
      </c>
      <c r="B3265" s="87">
        <v>45961</v>
      </c>
      <c r="C3265" t="s">
        <v>4485</v>
      </c>
      <c r="D3265" t="s">
        <v>2688</v>
      </c>
      <c r="E3265" t="s">
        <v>1137</v>
      </c>
      <c r="F3265" t="s">
        <v>4486</v>
      </c>
      <c r="G3265" t="s">
        <v>61</v>
      </c>
      <c r="H3265" t="s">
        <v>3112</v>
      </c>
      <c r="I3265" t="s">
        <v>487</v>
      </c>
      <c r="J3265">
        <v>1518</v>
      </c>
    </row>
    <row r="3266" spans="1:10">
      <c r="A3266" s="90" t="s">
        <v>51</v>
      </c>
      <c r="B3266" s="87">
        <v>45961</v>
      </c>
      <c r="C3266" t="s">
        <v>4487</v>
      </c>
      <c r="D3266" t="s">
        <v>2688</v>
      </c>
      <c r="E3266" t="s">
        <v>1756</v>
      </c>
      <c r="F3266" t="s">
        <v>802</v>
      </c>
      <c r="G3266" t="s">
        <v>67</v>
      </c>
      <c r="H3266" t="s">
        <v>470</v>
      </c>
      <c r="I3266" t="s">
        <v>796</v>
      </c>
      <c r="J3266">
        <v>101439.56</v>
      </c>
    </row>
    <row r="3267" spans="1:10">
      <c r="A3267" s="90" t="s">
        <v>51</v>
      </c>
      <c r="B3267" s="87">
        <v>45961</v>
      </c>
      <c r="C3267" t="s">
        <v>4487</v>
      </c>
      <c r="D3267" t="s">
        <v>2688</v>
      </c>
      <c r="E3267" t="s">
        <v>1756</v>
      </c>
      <c r="F3267" t="s">
        <v>802</v>
      </c>
      <c r="G3267" t="s">
        <v>59</v>
      </c>
      <c r="H3267" t="s">
        <v>470</v>
      </c>
      <c r="I3267" t="s">
        <v>796</v>
      </c>
      <c r="J3267">
        <v>4994.87</v>
      </c>
    </row>
    <row r="3268" spans="1:10">
      <c r="A3268" s="90" t="s">
        <v>51</v>
      </c>
      <c r="B3268" s="87">
        <v>45961</v>
      </c>
      <c r="C3268" t="s">
        <v>2784</v>
      </c>
      <c r="D3268" t="s">
        <v>2688</v>
      </c>
      <c r="E3268" t="s">
        <v>1667</v>
      </c>
      <c r="F3268" t="s">
        <v>518</v>
      </c>
      <c r="G3268" t="s">
        <v>71</v>
      </c>
      <c r="H3268" t="s">
        <v>470</v>
      </c>
      <c r="I3268" t="s">
        <v>475</v>
      </c>
      <c r="J3268">
        <v>2314</v>
      </c>
    </row>
    <row r="3269" spans="1:10">
      <c r="A3269" s="90" t="s">
        <v>51</v>
      </c>
      <c r="B3269" s="87">
        <v>45961</v>
      </c>
      <c r="C3269" t="s">
        <v>3633</v>
      </c>
      <c r="D3269" t="s">
        <v>2688</v>
      </c>
      <c r="E3269" t="s">
        <v>1667</v>
      </c>
      <c r="F3269" t="s">
        <v>518</v>
      </c>
      <c r="G3269" t="s">
        <v>180</v>
      </c>
      <c r="H3269" t="s">
        <v>470</v>
      </c>
      <c r="I3269" t="s">
        <v>475</v>
      </c>
      <c r="J3269">
        <v>2243.1799999999998</v>
      </c>
    </row>
    <row r="3270" spans="1:10">
      <c r="A3270" s="90" t="s">
        <v>51</v>
      </c>
      <c r="B3270" s="87">
        <v>45961</v>
      </c>
      <c r="C3270" t="s">
        <v>2347</v>
      </c>
      <c r="D3270" t="s">
        <v>2110</v>
      </c>
      <c r="E3270" t="s">
        <v>477</v>
      </c>
      <c r="F3270" t="s">
        <v>518</v>
      </c>
      <c r="G3270" t="s">
        <v>68</v>
      </c>
      <c r="H3270" t="s">
        <v>470</v>
      </c>
      <c r="I3270" t="s">
        <v>471</v>
      </c>
      <c r="J3270">
        <v>19.18</v>
      </c>
    </row>
    <row r="3271" spans="1:10">
      <c r="A3271" s="90" t="s">
        <v>51</v>
      </c>
      <c r="B3271" s="87">
        <v>45961</v>
      </c>
      <c r="C3271" t="s">
        <v>2348</v>
      </c>
      <c r="D3271" t="s">
        <v>2110</v>
      </c>
      <c r="E3271" t="s">
        <v>477</v>
      </c>
      <c r="F3271" t="s">
        <v>518</v>
      </c>
      <c r="G3271" t="s">
        <v>66</v>
      </c>
      <c r="H3271" t="s">
        <v>470</v>
      </c>
      <c r="I3271" t="s">
        <v>471</v>
      </c>
      <c r="J3271">
        <v>95.89</v>
      </c>
    </row>
    <row r="3272" spans="1:10">
      <c r="A3272" s="90" t="s">
        <v>51</v>
      </c>
      <c r="B3272" s="87">
        <v>45964</v>
      </c>
      <c r="C3272" t="s">
        <v>4488</v>
      </c>
      <c r="D3272" t="s">
        <v>2688</v>
      </c>
      <c r="E3272" t="s">
        <v>2262</v>
      </c>
      <c r="F3272" t="s">
        <v>4489</v>
      </c>
      <c r="G3272" t="s">
        <v>73</v>
      </c>
      <c r="H3272" t="s">
        <v>3236</v>
      </c>
      <c r="I3272" t="s">
        <v>796</v>
      </c>
      <c r="J3272">
        <v>633.01</v>
      </c>
    </row>
    <row r="3273" spans="1:10">
      <c r="A3273" s="90" t="s">
        <v>51</v>
      </c>
      <c r="B3273" s="87">
        <v>45964</v>
      </c>
      <c r="C3273" t="s">
        <v>4357</v>
      </c>
      <c r="D3273" t="s">
        <v>2688</v>
      </c>
      <c r="E3273" t="s">
        <v>477</v>
      </c>
      <c r="F3273" t="s">
        <v>1449</v>
      </c>
      <c r="G3273" t="s">
        <v>66</v>
      </c>
      <c r="H3273" t="s">
        <v>470</v>
      </c>
      <c r="I3273" t="s">
        <v>471</v>
      </c>
      <c r="J3273">
        <v>15.58</v>
      </c>
    </row>
    <row r="3274" spans="1:10">
      <c r="A3274" s="90" t="s">
        <v>51</v>
      </c>
      <c r="B3274" s="87">
        <v>45964</v>
      </c>
      <c r="C3274" t="s">
        <v>511</v>
      </c>
      <c r="D3274" t="s">
        <v>2688</v>
      </c>
      <c r="E3274" t="s">
        <v>512</v>
      </c>
      <c r="F3274" t="s">
        <v>968</v>
      </c>
      <c r="G3274" t="s">
        <v>474</v>
      </c>
      <c r="H3274" t="s">
        <v>470</v>
      </c>
      <c r="I3274" t="s">
        <v>475</v>
      </c>
      <c r="J3274">
        <v>648.59</v>
      </c>
    </row>
    <row r="3275" spans="1:10">
      <c r="A3275" s="90" t="s">
        <v>51</v>
      </c>
      <c r="B3275" s="87">
        <v>45966</v>
      </c>
      <c r="C3275" t="s">
        <v>4403</v>
      </c>
      <c r="D3275" t="s">
        <v>2688</v>
      </c>
      <c r="E3275" t="s">
        <v>1756</v>
      </c>
      <c r="F3275" t="s">
        <v>518</v>
      </c>
      <c r="G3275" t="s">
        <v>67</v>
      </c>
      <c r="H3275" t="s">
        <v>470</v>
      </c>
      <c r="I3275" t="s">
        <v>796</v>
      </c>
      <c r="J3275">
        <v>395.85</v>
      </c>
    </row>
    <row r="3276" spans="1:10">
      <c r="A3276" s="90" t="s">
        <v>51</v>
      </c>
      <c r="B3276" s="87">
        <v>45966</v>
      </c>
      <c r="C3276" t="s">
        <v>4490</v>
      </c>
      <c r="D3276" t="s">
        <v>2688</v>
      </c>
      <c r="E3276" t="s">
        <v>3949</v>
      </c>
      <c r="F3276" t="s">
        <v>518</v>
      </c>
      <c r="G3276" t="s">
        <v>65</v>
      </c>
      <c r="H3276" t="s">
        <v>3112</v>
      </c>
      <c r="I3276" t="s">
        <v>796</v>
      </c>
      <c r="J3276">
        <v>179.9</v>
      </c>
    </row>
    <row r="3277" spans="1:10">
      <c r="A3277" s="90" t="s">
        <v>51</v>
      </c>
      <c r="B3277" s="87">
        <v>45966</v>
      </c>
      <c r="C3277" t="s">
        <v>511</v>
      </c>
      <c r="D3277" t="s">
        <v>2688</v>
      </c>
      <c r="E3277" t="s">
        <v>512</v>
      </c>
      <c r="F3277" t="s">
        <v>968</v>
      </c>
      <c r="G3277" t="s">
        <v>474</v>
      </c>
      <c r="H3277" t="s">
        <v>470</v>
      </c>
      <c r="I3277" t="s">
        <v>475</v>
      </c>
      <c r="J3277">
        <v>575.75</v>
      </c>
    </row>
    <row r="3278" spans="1:10">
      <c r="A3278" s="90" t="s">
        <v>51</v>
      </c>
      <c r="B3278" s="87">
        <v>45967</v>
      </c>
      <c r="C3278" t="s">
        <v>4491</v>
      </c>
      <c r="D3278" t="s">
        <v>2688</v>
      </c>
      <c r="E3278" t="s">
        <v>4041</v>
      </c>
      <c r="F3278" t="s">
        <v>968</v>
      </c>
      <c r="G3278" t="s">
        <v>71</v>
      </c>
      <c r="H3278" t="s">
        <v>470</v>
      </c>
      <c r="I3278" t="s">
        <v>482</v>
      </c>
      <c r="J3278">
        <v>3000</v>
      </c>
    </row>
    <row r="3279" spans="1:10">
      <c r="A3279" s="90" t="s">
        <v>51</v>
      </c>
      <c r="B3279" s="87">
        <v>45967</v>
      </c>
      <c r="C3279" t="s">
        <v>511</v>
      </c>
      <c r="D3279" t="s">
        <v>2688</v>
      </c>
      <c r="E3279" t="s">
        <v>512</v>
      </c>
      <c r="F3279" t="s">
        <v>968</v>
      </c>
      <c r="G3279" t="s">
        <v>474</v>
      </c>
      <c r="H3279" t="s">
        <v>470</v>
      </c>
      <c r="I3279" t="s">
        <v>475</v>
      </c>
      <c r="J3279">
        <v>3000</v>
      </c>
    </row>
    <row r="3280" spans="1:10">
      <c r="A3280" s="90" t="s">
        <v>51</v>
      </c>
      <c r="B3280" s="87">
        <v>45971</v>
      </c>
      <c r="C3280" t="s">
        <v>4492</v>
      </c>
      <c r="D3280" t="s">
        <v>2688</v>
      </c>
      <c r="E3280" t="s">
        <v>2702</v>
      </c>
      <c r="F3280" t="s">
        <v>4493</v>
      </c>
      <c r="G3280" t="s">
        <v>63</v>
      </c>
      <c r="H3280" t="s">
        <v>470</v>
      </c>
      <c r="I3280" t="s">
        <v>796</v>
      </c>
      <c r="J3280">
        <v>125</v>
      </c>
    </row>
    <row r="3281" spans="1:10">
      <c r="A3281" s="90" t="s">
        <v>51</v>
      </c>
      <c r="B3281" s="87">
        <v>45971</v>
      </c>
      <c r="C3281" t="s">
        <v>2295</v>
      </c>
      <c r="D3281" t="s">
        <v>2688</v>
      </c>
      <c r="E3281" t="s">
        <v>477</v>
      </c>
      <c r="F3281" t="s">
        <v>968</v>
      </c>
      <c r="G3281" t="s">
        <v>2295</v>
      </c>
      <c r="H3281" t="s">
        <v>470</v>
      </c>
      <c r="I3281" t="s">
        <v>471</v>
      </c>
      <c r="J3281">
        <v>695.31</v>
      </c>
    </row>
    <row r="3282" spans="1:10">
      <c r="A3282" s="90" t="s">
        <v>51</v>
      </c>
      <c r="B3282" s="87">
        <v>45971</v>
      </c>
      <c r="C3282" t="s">
        <v>2454</v>
      </c>
      <c r="D3282" t="s">
        <v>2688</v>
      </c>
      <c r="E3282" t="s">
        <v>1667</v>
      </c>
      <c r="F3282" t="s">
        <v>968</v>
      </c>
      <c r="G3282" t="s">
        <v>71</v>
      </c>
      <c r="H3282" t="s">
        <v>470</v>
      </c>
      <c r="I3282" t="s">
        <v>475</v>
      </c>
      <c r="J3282">
        <v>8000</v>
      </c>
    </row>
    <row r="3283" spans="1:10">
      <c r="A3283" s="90" t="s">
        <v>51</v>
      </c>
      <c r="B3283" s="87">
        <v>45971</v>
      </c>
      <c r="C3283" t="s">
        <v>4222</v>
      </c>
      <c r="D3283" t="s">
        <v>2688</v>
      </c>
      <c r="E3283" t="s">
        <v>477</v>
      </c>
      <c r="F3283" t="s">
        <v>1449</v>
      </c>
      <c r="G3283" t="s">
        <v>69</v>
      </c>
      <c r="H3283" t="s">
        <v>470</v>
      </c>
      <c r="I3283" t="s">
        <v>471</v>
      </c>
      <c r="J3283">
        <v>175.57</v>
      </c>
    </row>
    <row r="3284" spans="1:10">
      <c r="A3284" s="90" t="s">
        <v>51</v>
      </c>
      <c r="B3284" s="87">
        <v>45971</v>
      </c>
      <c r="C3284" t="s">
        <v>511</v>
      </c>
      <c r="D3284" t="s">
        <v>2688</v>
      </c>
      <c r="E3284" t="s">
        <v>512</v>
      </c>
      <c r="F3284" t="s">
        <v>968</v>
      </c>
      <c r="G3284" t="s">
        <v>474</v>
      </c>
      <c r="H3284" t="s">
        <v>470</v>
      </c>
      <c r="I3284" t="s">
        <v>475</v>
      </c>
      <c r="J3284">
        <v>9090.8799999999992</v>
      </c>
    </row>
    <row r="3285" spans="1:10">
      <c r="A3285" s="90" t="s">
        <v>51</v>
      </c>
      <c r="B3285" s="87">
        <v>45971</v>
      </c>
      <c r="C3285" t="s">
        <v>2275</v>
      </c>
      <c r="D3285" t="s">
        <v>2688</v>
      </c>
      <c r="E3285" t="s">
        <v>477</v>
      </c>
      <c r="F3285" t="s">
        <v>968</v>
      </c>
      <c r="G3285" t="s">
        <v>74</v>
      </c>
      <c r="H3285" t="s">
        <v>470</v>
      </c>
      <c r="I3285" t="s">
        <v>471</v>
      </c>
      <c r="J3285">
        <v>95</v>
      </c>
    </row>
    <row r="3286" spans="1:10">
      <c r="A3286" s="90" t="s">
        <v>51</v>
      </c>
      <c r="B3286" s="87">
        <v>45974</v>
      </c>
      <c r="C3286" t="s">
        <v>4494</v>
      </c>
      <c r="D3286" t="s">
        <v>2688</v>
      </c>
      <c r="E3286" t="s">
        <v>2986</v>
      </c>
      <c r="F3286" t="s">
        <v>4495</v>
      </c>
      <c r="G3286" t="s">
        <v>2494</v>
      </c>
      <c r="H3286" t="s">
        <v>470</v>
      </c>
      <c r="I3286" t="s">
        <v>796</v>
      </c>
      <c r="J3286">
        <v>24095.19</v>
      </c>
    </row>
    <row r="3287" spans="1:10">
      <c r="A3287" s="90" t="s">
        <v>51</v>
      </c>
      <c r="B3287" s="87">
        <v>45974</v>
      </c>
      <c r="C3287" t="s">
        <v>4496</v>
      </c>
      <c r="D3287" t="s">
        <v>2688</v>
      </c>
      <c r="E3287" t="s">
        <v>2986</v>
      </c>
      <c r="F3287" t="s">
        <v>4495</v>
      </c>
      <c r="G3287" t="s">
        <v>2494</v>
      </c>
      <c r="H3287" t="s">
        <v>470</v>
      </c>
      <c r="I3287" t="s">
        <v>796</v>
      </c>
      <c r="J3287">
        <v>1380.3</v>
      </c>
    </row>
    <row r="3288" spans="1:10">
      <c r="A3288" s="90" t="s">
        <v>51</v>
      </c>
      <c r="B3288" s="87">
        <v>45974</v>
      </c>
      <c r="C3288" t="s">
        <v>511</v>
      </c>
      <c r="D3288" t="s">
        <v>2688</v>
      </c>
      <c r="E3288" t="s">
        <v>512</v>
      </c>
      <c r="F3288" t="s">
        <v>968</v>
      </c>
      <c r="G3288" t="s">
        <v>474</v>
      </c>
      <c r="H3288" t="s">
        <v>470</v>
      </c>
      <c r="I3288" t="s">
        <v>475</v>
      </c>
      <c r="J3288">
        <v>25475.49</v>
      </c>
    </row>
    <row r="3289" spans="1:10">
      <c r="A3289" s="90" t="s">
        <v>51</v>
      </c>
      <c r="B3289" s="87">
        <v>45978</v>
      </c>
      <c r="C3289" t="s">
        <v>4497</v>
      </c>
      <c r="D3289" t="s">
        <v>2688</v>
      </c>
      <c r="E3289" t="s">
        <v>477</v>
      </c>
      <c r="F3289" t="s">
        <v>3954</v>
      </c>
      <c r="G3289" t="s">
        <v>515</v>
      </c>
      <c r="H3289" t="s">
        <v>4498</v>
      </c>
      <c r="I3289" t="s">
        <v>471</v>
      </c>
      <c r="J3289">
        <v>54166.67</v>
      </c>
    </row>
    <row r="3290" spans="1:10">
      <c r="A3290" s="90" t="s">
        <v>51</v>
      </c>
      <c r="B3290" s="87">
        <v>45978</v>
      </c>
      <c r="C3290" t="s">
        <v>4497</v>
      </c>
      <c r="D3290" t="s">
        <v>2688</v>
      </c>
      <c r="E3290" t="s">
        <v>477</v>
      </c>
      <c r="F3290" t="s">
        <v>3954</v>
      </c>
      <c r="G3290" t="s">
        <v>69</v>
      </c>
      <c r="H3290" t="s">
        <v>4498</v>
      </c>
      <c r="I3290" t="s">
        <v>471</v>
      </c>
      <c r="J3290">
        <v>2977.72</v>
      </c>
    </row>
    <row r="3291" spans="1:10">
      <c r="A3291" s="90" t="s">
        <v>51</v>
      </c>
      <c r="B3291" s="87">
        <v>45978</v>
      </c>
      <c r="C3291" t="s">
        <v>511</v>
      </c>
      <c r="D3291" t="s">
        <v>2688</v>
      </c>
      <c r="E3291" t="s">
        <v>512</v>
      </c>
      <c r="F3291" t="s">
        <v>968</v>
      </c>
      <c r="G3291" t="s">
        <v>474</v>
      </c>
      <c r="H3291" t="s">
        <v>470</v>
      </c>
      <c r="I3291" t="s">
        <v>475</v>
      </c>
      <c r="J3291">
        <v>57144.39</v>
      </c>
    </row>
    <row r="3292" spans="1:10">
      <c r="A3292" s="90" t="s">
        <v>51</v>
      </c>
      <c r="B3292" s="87">
        <v>45979</v>
      </c>
      <c r="C3292" t="s">
        <v>3490</v>
      </c>
      <c r="D3292" t="s">
        <v>2688</v>
      </c>
      <c r="E3292" t="s">
        <v>3107</v>
      </c>
      <c r="F3292" t="s">
        <v>968</v>
      </c>
      <c r="G3292" t="s">
        <v>60</v>
      </c>
      <c r="H3292" t="s">
        <v>3236</v>
      </c>
      <c r="I3292" t="s">
        <v>796</v>
      </c>
      <c r="J3292">
        <v>121.94</v>
      </c>
    </row>
    <row r="3293" spans="1:10">
      <c r="A3293" s="90" t="s">
        <v>51</v>
      </c>
      <c r="B3293" s="87">
        <v>45979</v>
      </c>
      <c r="C3293" t="s">
        <v>511</v>
      </c>
      <c r="D3293" t="s">
        <v>2688</v>
      </c>
      <c r="E3293" t="s">
        <v>512</v>
      </c>
      <c r="F3293" t="s">
        <v>968</v>
      </c>
      <c r="G3293" t="s">
        <v>474</v>
      </c>
      <c r="H3293" t="s">
        <v>470</v>
      </c>
      <c r="I3293" t="s">
        <v>475</v>
      </c>
      <c r="J3293">
        <v>121.94</v>
      </c>
    </row>
    <row r="3294" spans="1:10">
      <c r="A3294" s="90" t="s">
        <v>51</v>
      </c>
      <c r="B3294" s="87">
        <v>45980</v>
      </c>
      <c r="C3294" t="s">
        <v>4496</v>
      </c>
      <c r="D3294" t="s">
        <v>2688</v>
      </c>
      <c r="E3294" t="s">
        <v>2986</v>
      </c>
      <c r="F3294" t="s">
        <v>4495</v>
      </c>
      <c r="G3294" t="s">
        <v>2381</v>
      </c>
      <c r="H3294" t="s">
        <v>470</v>
      </c>
      <c r="I3294" t="s">
        <v>796</v>
      </c>
      <c r="J3294">
        <v>1708.82</v>
      </c>
    </row>
    <row r="3295" spans="1:10">
      <c r="A3295" s="90" t="s">
        <v>51</v>
      </c>
      <c r="B3295" s="87">
        <v>45980</v>
      </c>
      <c r="C3295" t="s">
        <v>4499</v>
      </c>
      <c r="D3295" t="s">
        <v>2688</v>
      </c>
      <c r="E3295" t="s">
        <v>1693</v>
      </c>
      <c r="F3295" t="s">
        <v>178</v>
      </c>
      <c r="G3295" t="s">
        <v>2112</v>
      </c>
      <c r="H3295" t="s">
        <v>470</v>
      </c>
      <c r="I3295" t="s">
        <v>487</v>
      </c>
      <c r="J3295">
        <v>230000</v>
      </c>
    </row>
    <row r="3296" spans="1:10">
      <c r="A3296" s="90" t="s">
        <v>51</v>
      </c>
      <c r="B3296" s="87">
        <v>45980</v>
      </c>
      <c r="C3296" t="s">
        <v>4500</v>
      </c>
      <c r="D3296" t="s">
        <v>2688</v>
      </c>
      <c r="E3296" t="s">
        <v>3547</v>
      </c>
      <c r="F3296" t="s">
        <v>205</v>
      </c>
      <c r="G3296" t="s">
        <v>2381</v>
      </c>
      <c r="H3296" t="s">
        <v>470</v>
      </c>
      <c r="I3296" t="s">
        <v>796</v>
      </c>
      <c r="J3296">
        <v>335.84</v>
      </c>
    </row>
    <row r="3297" spans="1:10">
      <c r="A3297" s="90" t="s">
        <v>51</v>
      </c>
      <c r="B3297" s="87">
        <v>45980</v>
      </c>
      <c r="C3297" t="s">
        <v>3283</v>
      </c>
      <c r="D3297" t="s">
        <v>2688</v>
      </c>
      <c r="E3297" t="s">
        <v>2318</v>
      </c>
      <c r="F3297" t="s">
        <v>518</v>
      </c>
      <c r="G3297" t="s">
        <v>64</v>
      </c>
      <c r="H3297" t="s">
        <v>3112</v>
      </c>
      <c r="I3297" t="s">
        <v>796</v>
      </c>
      <c r="J3297">
        <v>806</v>
      </c>
    </row>
    <row r="3298" spans="1:10">
      <c r="A3298" s="90" t="s">
        <v>51</v>
      </c>
      <c r="B3298" s="87">
        <v>45980</v>
      </c>
      <c r="C3298" t="s">
        <v>511</v>
      </c>
      <c r="D3298" t="s">
        <v>2688</v>
      </c>
      <c r="E3298" t="s">
        <v>512</v>
      </c>
      <c r="F3298" t="s">
        <v>968</v>
      </c>
      <c r="G3298" t="s">
        <v>474</v>
      </c>
      <c r="H3298" t="s">
        <v>470</v>
      </c>
      <c r="I3298" t="s">
        <v>475</v>
      </c>
      <c r="J3298">
        <v>232850.66</v>
      </c>
    </row>
    <row r="3299" spans="1:10">
      <c r="A3299" s="90" t="s">
        <v>51</v>
      </c>
      <c r="B3299" s="87">
        <v>45982</v>
      </c>
      <c r="C3299" t="s">
        <v>4501</v>
      </c>
      <c r="D3299" t="s">
        <v>2688</v>
      </c>
      <c r="E3299" t="s">
        <v>1693</v>
      </c>
      <c r="F3299" t="s">
        <v>1700</v>
      </c>
      <c r="G3299" t="s">
        <v>2112</v>
      </c>
      <c r="H3299" t="s">
        <v>470</v>
      </c>
      <c r="I3299" t="s">
        <v>475</v>
      </c>
      <c r="J3299">
        <v>347164.39</v>
      </c>
    </row>
    <row r="3300" spans="1:10">
      <c r="A3300" s="90" t="s">
        <v>51</v>
      </c>
      <c r="B3300" s="87">
        <v>45982</v>
      </c>
      <c r="C3300" t="s">
        <v>4502</v>
      </c>
      <c r="D3300" t="s">
        <v>2688</v>
      </c>
      <c r="E3300" t="s">
        <v>1693</v>
      </c>
      <c r="F3300" t="s">
        <v>178</v>
      </c>
      <c r="G3300" t="s">
        <v>2112</v>
      </c>
      <c r="H3300" t="s">
        <v>470</v>
      </c>
      <c r="I3300" t="s">
        <v>487</v>
      </c>
      <c r="J3300">
        <v>148875.18</v>
      </c>
    </row>
    <row r="3301" spans="1:10">
      <c r="A3301" s="90" t="s">
        <v>51</v>
      </c>
      <c r="B3301" s="87">
        <v>45982</v>
      </c>
      <c r="C3301" t="s">
        <v>4503</v>
      </c>
      <c r="D3301" t="s">
        <v>2688</v>
      </c>
      <c r="E3301" t="s">
        <v>1693</v>
      </c>
      <c r="F3301" t="s">
        <v>178</v>
      </c>
      <c r="G3301" t="s">
        <v>2112</v>
      </c>
      <c r="H3301" t="s">
        <v>470</v>
      </c>
      <c r="I3301" t="s">
        <v>475</v>
      </c>
      <c r="J3301">
        <v>152835.10999999999</v>
      </c>
    </row>
    <row r="3302" spans="1:10">
      <c r="A3302" s="90" t="s">
        <v>51</v>
      </c>
      <c r="B3302" s="87">
        <v>45982</v>
      </c>
      <c r="C3302" t="s">
        <v>517</v>
      </c>
      <c r="D3302" t="s">
        <v>2688</v>
      </c>
      <c r="E3302" t="s">
        <v>512</v>
      </c>
      <c r="F3302" t="s">
        <v>968</v>
      </c>
      <c r="G3302" t="s">
        <v>474</v>
      </c>
      <c r="H3302" t="s">
        <v>470</v>
      </c>
      <c r="I3302" t="s">
        <v>475</v>
      </c>
      <c r="J3302">
        <v>31684.82</v>
      </c>
    </row>
    <row r="3303" spans="1:10">
      <c r="A3303" s="90" t="s">
        <v>51</v>
      </c>
      <c r="B3303" s="87">
        <v>45983</v>
      </c>
      <c r="C3303" t="s">
        <v>4504</v>
      </c>
      <c r="D3303" t="s">
        <v>2688</v>
      </c>
      <c r="E3303" t="s">
        <v>1693</v>
      </c>
      <c r="F3303" t="s">
        <v>1763</v>
      </c>
      <c r="G3303" t="s">
        <v>2115</v>
      </c>
      <c r="H3303" t="s">
        <v>470</v>
      </c>
      <c r="I3303" t="s">
        <v>796</v>
      </c>
      <c r="J3303">
        <v>0</v>
      </c>
    </row>
    <row r="3304" spans="1:10">
      <c r="A3304" s="90" t="s">
        <v>51</v>
      </c>
      <c r="B3304" s="87">
        <v>45985</v>
      </c>
      <c r="C3304" t="s">
        <v>3961</v>
      </c>
      <c r="D3304" t="s">
        <v>2688</v>
      </c>
      <c r="E3304" t="s">
        <v>3962</v>
      </c>
      <c r="F3304" t="s">
        <v>4505</v>
      </c>
      <c r="G3304" t="s">
        <v>63</v>
      </c>
      <c r="H3304" t="s">
        <v>3112</v>
      </c>
      <c r="I3304" t="s">
        <v>475</v>
      </c>
      <c r="J3304">
        <v>98</v>
      </c>
    </row>
    <row r="3305" spans="1:10">
      <c r="A3305" s="90" t="s">
        <v>51</v>
      </c>
      <c r="B3305" s="87">
        <v>45985</v>
      </c>
      <c r="C3305" t="s">
        <v>3961</v>
      </c>
      <c r="D3305" t="s">
        <v>2688</v>
      </c>
      <c r="E3305" t="s">
        <v>3962</v>
      </c>
      <c r="F3305" t="s">
        <v>4506</v>
      </c>
      <c r="G3305" t="s">
        <v>63</v>
      </c>
      <c r="H3305" t="s">
        <v>3236</v>
      </c>
      <c r="I3305" t="s">
        <v>475</v>
      </c>
      <c r="J3305">
        <v>98</v>
      </c>
    </row>
    <row r="3306" spans="1:10">
      <c r="A3306" s="90" t="s">
        <v>51</v>
      </c>
      <c r="B3306" s="87">
        <v>45985</v>
      </c>
      <c r="C3306" t="s">
        <v>2454</v>
      </c>
      <c r="D3306" t="s">
        <v>2688</v>
      </c>
      <c r="E3306" t="s">
        <v>1667</v>
      </c>
      <c r="F3306" t="s">
        <v>968</v>
      </c>
      <c r="G3306" t="s">
        <v>71</v>
      </c>
      <c r="H3306" t="s">
        <v>470</v>
      </c>
      <c r="I3306" t="s">
        <v>475</v>
      </c>
      <c r="J3306">
        <v>10000</v>
      </c>
    </row>
    <row r="3307" spans="1:10">
      <c r="A3307" s="90" t="s">
        <v>51</v>
      </c>
      <c r="B3307" s="87">
        <v>45985</v>
      </c>
      <c r="C3307" t="s">
        <v>511</v>
      </c>
      <c r="D3307" t="s">
        <v>2688</v>
      </c>
      <c r="E3307" t="s">
        <v>512</v>
      </c>
      <c r="F3307" t="s">
        <v>968</v>
      </c>
      <c r="G3307" t="s">
        <v>474</v>
      </c>
      <c r="H3307" t="s">
        <v>470</v>
      </c>
      <c r="I3307" t="s">
        <v>475</v>
      </c>
      <c r="J3307">
        <v>10196</v>
      </c>
    </row>
    <row r="3308" spans="1:10">
      <c r="A3308" s="90" t="s">
        <v>51</v>
      </c>
      <c r="B3308" s="87">
        <v>45989</v>
      </c>
      <c r="C3308" t="s">
        <v>4507</v>
      </c>
      <c r="D3308" t="s">
        <v>2688</v>
      </c>
      <c r="E3308" t="s">
        <v>1743</v>
      </c>
      <c r="F3308" t="s">
        <v>1376</v>
      </c>
      <c r="G3308" t="s">
        <v>2125</v>
      </c>
      <c r="H3308" t="s">
        <v>470</v>
      </c>
      <c r="I3308" t="s">
        <v>475</v>
      </c>
      <c r="J3308">
        <v>6380.1</v>
      </c>
    </row>
    <row r="3309" spans="1:10">
      <c r="A3309" s="90" t="s">
        <v>51</v>
      </c>
      <c r="B3309" s="87">
        <v>45989</v>
      </c>
      <c r="C3309" t="s">
        <v>4508</v>
      </c>
      <c r="D3309" t="s">
        <v>2688</v>
      </c>
      <c r="E3309" t="s">
        <v>1743</v>
      </c>
      <c r="F3309" t="s">
        <v>1378</v>
      </c>
      <c r="G3309" t="s">
        <v>2125</v>
      </c>
      <c r="H3309" t="s">
        <v>470</v>
      </c>
      <c r="I3309" t="s">
        <v>475</v>
      </c>
      <c r="J3309">
        <v>8527.2000000000007</v>
      </c>
    </row>
    <row r="3310" spans="1:10">
      <c r="A3310" s="90" t="s">
        <v>51</v>
      </c>
      <c r="B3310" s="87">
        <v>45989</v>
      </c>
      <c r="C3310" t="s">
        <v>4509</v>
      </c>
      <c r="D3310" t="s">
        <v>2688</v>
      </c>
      <c r="E3310" t="s">
        <v>1743</v>
      </c>
      <c r="F3310" t="s">
        <v>1380</v>
      </c>
      <c r="G3310" t="s">
        <v>2125</v>
      </c>
      <c r="H3310" t="s">
        <v>470</v>
      </c>
      <c r="I3310" t="s">
        <v>475</v>
      </c>
      <c r="J3310">
        <v>8299.4</v>
      </c>
    </row>
    <row r="3311" spans="1:10">
      <c r="A3311" s="90" t="s">
        <v>51</v>
      </c>
      <c r="B3311" s="87">
        <v>45989</v>
      </c>
      <c r="C3311" t="s">
        <v>4510</v>
      </c>
      <c r="D3311" t="s">
        <v>2688</v>
      </c>
      <c r="E3311" t="s">
        <v>1743</v>
      </c>
      <c r="F3311" t="s">
        <v>1382</v>
      </c>
      <c r="G3311" t="s">
        <v>2125</v>
      </c>
      <c r="H3311" t="s">
        <v>470</v>
      </c>
      <c r="I3311" t="s">
        <v>475</v>
      </c>
      <c r="J3311">
        <v>8032.5</v>
      </c>
    </row>
    <row r="3312" spans="1:10">
      <c r="A3312" s="90" t="s">
        <v>51</v>
      </c>
      <c r="B3312" s="87">
        <v>45989</v>
      </c>
      <c r="C3312" t="s">
        <v>2784</v>
      </c>
      <c r="D3312" t="s">
        <v>2688</v>
      </c>
      <c r="E3312" t="s">
        <v>1667</v>
      </c>
      <c r="F3312" t="s">
        <v>968</v>
      </c>
      <c r="G3312" t="s">
        <v>71</v>
      </c>
      <c r="H3312" t="s">
        <v>3236</v>
      </c>
      <c r="I3312" t="s">
        <v>475</v>
      </c>
      <c r="J3312">
        <v>2314</v>
      </c>
    </row>
    <row r="3313" spans="1:10">
      <c r="A3313" s="90" t="s">
        <v>51</v>
      </c>
      <c r="B3313" s="87">
        <v>45989</v>
      </c>
      <c r="C3313" t="s">
        <v>4511</v>
      </c>
      <c r="D3313" t="s">
        <v>2688</v>
      </c>
      <c r="E3313" t="s">
        <v>1137</v>
      </c>
      <c r="F3313" t="s">
        <v>4512</v>
      </c>
      <c r="G3313" t="s">
        <v>61</v>
      </c>
      <c r="H3313" t="s">
        <v>3236</v>
      </c>
      <c r="I3313" t="s">
        <v>487</v>
      </c>
      <c r="J3313">
        <v>1518</v>
      </c>
    </row>
    <row r="3314" spans="1:10">
      <c r="A3314" s="90" t="s">
        <v>51</v>
      </c>
      <c r="B3314" s="87">
        <v>45989</v>
      </c>
      <c r="C3314" t="s">
        <v>3335</v>
      </c>
      <c r="D3314" t="s">
        <v>2688</v>
      </c>
      <c r="E3314" t="s">
        <v>1667</v>
      </c>
      <c r="F3314" t="s">
        <v>968</v>
      </c>
      <c r="G3314" t="s">
        <v>76</v>
      </c>
      <c r="H3314" t="s">
        <v>470</v>
      </c>
      <c r="I3314" t="s">
        <v>475</v>
      </c>
      <c r="J3314">
        <v>518.77</v>
      </c>
    </row>
    <row r="3315" spans="1:10">
      <c r="A3315" s="90" t="s">
        <v>51</v>
      </c>
      <c r="B3315" s="87">
        <v>45989</v>
      </c>
      <c r="C3315" t="s">
        <v>3633</v>
      </c>
      <c r="D3315" t="s">
        <v>2688</v>
      </c>
      <c r="E3315" t="s">
        <v>1667</v>
      </c>
      <c r="F3315" t="s">
        <v>968</v>
      </c>
      <c r="G3315" t="s">
        <v>180</v>
      </c>
      <c r="H3315" t="s">
        <v>470</v>
      </c>
      <c r="I3315" t="s">
        <v>475</v>
      </c>
      <c r="J3315">
        <v>2230.54</v>
      </c>
    </row>
    <row r="3316" spans="1:10">
      <c r="A3316" s="90" t="s">
        <v>51</v>
      </c>
      <c r="B3316" s="87">
        <v>45989</v>
      </c>
      <c r="C3316" t="s">
        <v>511</v>
      </c>
      <c r="D3316" t="s">
        <v>2688</v>
      </c>
      <c r="E3316" t="s">
        <v>512</v>
      </c>
      <c r="F3316" t="s">
        <v>968</v>
      </c>
      <c r="G3316" t="s">
        <v>474</v>
      </c>
      <c r="H3316" t="s">
        <v>470</v>
      </c>
      <c r="I3316" t="s">
        <v>475</v>
      </c>
      <c r="J3316">
        <v>6581.31</v>
      </c>
    </row>
    <row r="3317" spans="1:10">
      <c r="A3317" s="90" t="s">
        <v>51</v>
      </c>
      <c r="B3317" s="87">
        <v>45989</v>
      </c>
      <c r="C3317" t="s">
        <v>2347</v>
      </c>
      <c r="D3317" t="s">
        <v>2688</v>
      </c>
      <c r="E3317" t="s">
        <v>477</v>
      </c>
      <c r="F3317" t="s">
        <v>968</v>
      </c>
      <c r="G3317" t="s">
        <v>68</v>
      </c>
      <c r="H3317" t="s">
        <v>470</v>
      </c>
      <c r="I3317" t="s">
        <v>471</v>
      </c>
      <c r="J3317">
        <v>106.19</v>
      </c>
    </row>
    <row r="3318" spans="1:10">
      <c r="A3318" s="90" t="s">
        <v>51</v>
      </c>
      <c r="B3318" s="87">
        <v>45989</v>
      </c>
      <c r="C3318" t="s">
        <v>66</v>
      </c>
      <c r="D3318" t="s">
        <v>2688</v>
      </c>
      <c r="E3318" t="s">
        <v>477</v>
      </c>
      <c r="F3318" t="s">
        <v>968</v>
      </c>
      <c r="G3318" t="s">
        <v>66</v>
      </c>
      <c r="H3318" t="s">
        <v>470</v>
      </c>
      <c r="I3318" t="s">
        <v>471</v>
      </c>
      <c r="J3318">
        <v>0.49</v>
      </c>
    </row>
    <row r="3319" spans="1:10">
      <c r="A3319" s="90" t="s">
        <v>51</v>
      </c>
      <c r="B3319" s="87">
        <v>45989</v>
      </c>
      <c r="C3319" t="s">
        <v>2347</v>
      </c>
      <c r="D3319" t="s">
        <v>2688</v>
      </c>
      <c r="E3319" t="s">
        <v>477</v>
      </c>
      <c r="F3319" t="s">
        <v>968</v>
      </c>
      <c r="G3319" t="s">
        <v>68</v>
      </c>
      <c r="H3319" t="s">
        <v>470</v>
      </c>
      <c r="I3319" t="s">
        <v>471</v>
      </c>
      <c r="J3319">
        <v>47.25</v>
      </c>
    </row>
    <row r="3320" spans="1:10">
      <c r="A3320" s="90" t="s">
        <v>51</v>
      </c>
      <c r="B3320" s="87">
        <v>45989</v>
      </c>
      <c r="C3320" t="s">
        <v>2347</v>
      </c>
      <c r="D3320" t="s">
        <v>2688</v>
      </c>
      <c r="E3320" t="s">
        <v>477</v>
      </c>
      <c r="F3320" t="s">
        <v>968</v>
      </c>
      <c r="G3320" t="s">
        <v>68</v>
      </c>
      <c r="H3320" t="s">
        <v>470</v>
      </c>
      <c r="I3320" t="s">
        <v>471</v>
      </c>
      <c r="J3320">
        <v>735.9</v>
      </c>
    </row>
    <row r="3321" spans="1:10">
      <c r="A3321" s="90" t="s">
        <v>51</v>
      </c>
      <c r="B3321" s="87">
        <v>45992</v>
      </c>
      <c r="C3321" t="s">
        <v>4513</v>
      </c>
      <c r="D3321" t="s">
        <v>2688</v>
      </c>
      <c r="E3321" t="s">
        <v>2262</v>
      </c>
      <c r="F3321" t="s">
        <v>4514</v>
      </c>
      <c r="G3321" t="s">
        <v>73</v>
      </c>
      <c r="H3321" t="s">
        <v>2279</v>
      </c>
      <c r="I3321" t="s">
        <v>796</v>
      </c>
      <c r="J3321">
        <v>633.01</v>
      </c>
    </row>
    <row r="3322" spans="1:10">
      <c r="A3322" s="90" t="s">
        <v>51</v>
      </c>
      <c r="B3322" s="87">
        <v>45992</v>
      </c>
      <c r="C3322" t="s">
        <v>4357</v>
      </c>
      <c r="D3322" t="s">
        <v>2688</v>
      </c>
      <c r="E3322" t="s">
        <v>477</v>
      </c>
      <c r="F3322" t="s">
        <v>1449</v>
      </c>
      <c r="G3322" t="s">
        <v>66</v>
      </c>
      <c r="H3322" t="s">
        <v>470</v>
      </c>
      <c r="I3322" t="s">
        <v>471</v>
      </c>
      <c r="J3322">
        <v>15.08</v>
      </c>
    </row>
    <row r="3323" spans="1:10">
      <c r="A3323" s="90" t="s">
        <v>51</v>
      </c>
      <c r="B3323" s="87">
        <v>45992</v>
      </c>
      <c r="C3323" t="s">
        <v>511</v>
      </c>
      <c r="D3323" t="s">
        <v>2688</v>
      </c>
      <c r="E3323" t="s">
        <v>512</v>
      </c>
      <c r="F3323" t="s">
        <v>1014</v>
      </c>
      <c r="G3323" t="s">
        <v>474</v>
      </c>
      <c r="H3323" t="s">
        <v>470</v>
      </c>
      <c r="I3323" t="s">
        <v>475</v>
      </c>
      <c r="J3323">
        <v>648.09</v>
      </c>
    </row>
    <row r="3324" spans="1:10">
      <c r="A3324" s="90" t="s">
        <v>51</v>
      </c>
      <c r="B3324" s="87">
        <v>45994</v>
      </c>
      <c r="C3324" t="s">
        <v>4403</v>
      </c>
      <c r="D3324" t="s">
        <v>2688</v>
      </c>
      <c r="E3324" t="s">
        <v>1756</v>
      </c>
      <c r="F3324" t="s">
        <v>968</v>
      </c>
      <c r="G3324" t="s">
        <v>67</v>
      </c>
      <c r="H3324" t="s">
        <v>470</v>
      </c>
      <c r="I3324" t="s">
        <v>796</v>
      </c>
      <c r="J3324">
        <v>393.63</v>
      </c>
    </row>
    <row r="3325" spans="1:10">
      <c r="A3325" s="90" t="s">
        <v>51</v>
      </c>
      <c r="B3325" s="87">
        <v>45994</v>
      </c>
      <c r="C3325" t="s">
        <v>511</v>
      </c>
      <c r="D3325" t="s">
        <v>2688</v>
      </c>
      <c r="E3325" t="s">
        <v>512</v>
      </c>
      <c r="F3325" t="s">
        <v>1014</v>
      </c>
      <c r="G3325" t="s">
        <v>474</v>
      </c>
      <c r="H3325" t="s">
        <v>470</v>
      </c>
      <c r="I3325" t="s">
        <v>475</v>
      </c>
      <c r="J3325">
        <v>393.63</v>
      </c>
    </row>
    <row r="3326" spans="1:10">
      <c r="A3326" s="90" t="s">
        <v>51</v>
      </c>
      <c r="B3326" s="87">
        <v>45996</v>
      </c>
      <c r="C3326" t="s">
        <v>4515</v>
      </c>
      <c r="D3326" t="s">
        <v>2688</v>
      </c>
      <c r="E3326" t="s">
        <v>3949</v>
      </c>
      <c r="F3326" t="s">
        <v>968</v>
      </c>
      <c r="G3326" t="s">
        <v>65</v>
      </c>
      <c r="H3326" t="s">
        <v>3236</v>
      </c>
      <c r="I3326" t="s">
        <v>796</v>
      </c>
      <c r="J3326">
        <v>179.9</v>
      </c>
    </row>
    <row r="3327" spans="1:10">
      <c r="A3327" s="90" t="s">
        <v>51</v>
      </c>
      <c r="B3327" s="87">
        <v>45996</v>
      </c>
      <c r="C3327" t="s">
        <v>4516</v>
      </c>
      <c r="D3327" t="s">
        <v>2688</v>
      </c>
      <c r="E3327" t="s">
        <v>1667</v>
      </c>
      <c r="F3327" t="s">
        <v>1014</v>
      </c>
      <c r="G3327" t="s">
        <v>71</v>
      </c>
      <c r="H3327" t="s">
        <v>470</v>
      </c>
      <c r="I3327" t="s">
        <v>475</v>
      </c>
      <c r="J3327">
        <v>5000</v>
      </c>
    </row>
    <row r="3328" spans="1:10">
      <c r="A3328" s="90" t="s">
        <v>51</v>
      </c>
      <c r="B3328" s="87">
        <v>45996</v>
      </c>
      <c r="C3328" t="s">
        <v>2275</v>
      </c>
      <c r="D3328" t="s">
        <v>2688</v>
      </c>
      <c r="E3328" t="s">
        <v>477</v>
      </c>
      <c r="F3328" t="s">
        <v>1014</v>
      </c>
      <c r="G3328" t="s">
        <v>74</v>
      </c>
      <c r="H3328" t="s">
        <v>470</v>
      </c>
      <c r="I3328" t="s">
        <v>471</v>
      </c>
      <c r="J3328">
        <v>141.6</v>
      </c>
    </row>
    <row r="3329" spans="1:10">
      <c r="A3329" s="90" t="s">
        <v>51</v>
      </c>
      <c r="B3329" s="87">
        <v>45996</v>
      </c>
      <c r="C3329" t="s">
        <v>511</v>
      </c>
      <c r="D3329" t="s">
        <v>2688</v>
      </c>
      <c r="E3329" t="s">
        <v>512</v>
      </c>
      <c r="F3329" t="s">
        <v>1014</v>
      </c>
      <c r="G3329" t="s">
        <v>474</v>
      </c>
      <c r="H3329" t="s">
        <v>470</v>
      </c>
      <c r="I3329" t="s">
        <v>475</v>
      </c>
      <c r="J3329">
        <v>5321.5</v>
      </c>
    </row>
    <row r="3330" spans="1:10">
      <c r="A3330" s="90" t="s">
        <v>51</v>
      </c>
      <c r="B3330" s="87">
        <v>46000</v>
      </c>
      <c r="C3330" t="s">
        <v>4517</v>
      </c>
      <c r="D3330" t="s">
        <v>2688</v>
      </c>
      <c r="E3330" t="s">
        <v>4296</v>
      </c>
      <c r="F3330" t="s">
        <v>1014</v>
      </c>
      <c r="G3330" t="s">
        <v>3869</v>
      </c>
      <c r="H3330" t="s">
        <v>3003</v>
      </c>
      <c r="I3330" t="s">
        <v>487</v>
      </c>
      <c r="J3330">
        <v>98000</v>
      </c>
    </row>
    <row r="3331" spans="1:10">
      <c r="A3331" s="90" t="s">
        <v>51</v>
      </c>
      <c r="B3331" s="87">
        <v>46000</v>
      </c>
      <c r="C3331" t="s">
        <v>517</v>
      </c>
      <c r="D3331" t="s">
        <v>2688</v>
      </c>
      <c r="E3331" t="s">
        <v>512</v>
      </c>
      <c r="F3331" t="s">
        <v>1014</v>
      </c>
      <c r="G3331" t="s">
        <v>474</v>
      </c>
      <c r="H3331" t="s">
        <v>470</v>
      </c>
      <c r="I3331" t="s">
        <v>475</v>
      </c>
      <c r="J3331">
        <v>50820</v>
      </c>
    </row>
    <row r="3332" spans="1:10">
      <c r="A3332" s="90" t="s">
        <v>51</v>
      </c>
      <c r="B3332" s="87">
        <v>46001</v>
      </c>
      <c r="C3332" t="s">
        <v>4518</v>
      </c>
      <c r="D3332" t="s">
        <v>2688</v>
      </c>
      <c r="E3332" t="s">
        <v>2702</v>
      </c>
      <c r="F3332" t="s">
        <v>4519</v>
      </c>
      <c r="G3332" t="s">
        <v>63</v>
      </c>
      <c r="H3332" t="s">
        <v>470</v>
      </c>
      <c r="I3332" t="s">
        <v>796</v>
      </c>
      <c r="J3332">
        <v>125</v>
      </c>
    </row>
    <row r="3333" spans="1:10">
      <c r="A3333" s="90" t="s">
        <v>51</v>
      </c>
      <c r="B3333" s="87">
        <v>46001</v>
      </c>
      <c r="C3333" t="s">
        <v>4222</v>
      </c>
      <c r="D3333" t="s">
        <v>2688</v>
      </c>
      <c r="E3333" t="s">
        <v>477</v>
      </c>
      <c r="F3333" t="s">
        <v>1449</v>
      </c>
      <c r="G3333" t="s">
        <v>69</v>
      </c>
      <c r="H3333" t="s">
        <v>470</v>
      </c>
      <c r="I3333" t="s">
        <v>471</v>
      </c>
      <c r="J3333">
        <v>190.28</v>
      </c>
    </row>
    <row r="3334" spans="1:10">
      <c r="A3334" s="90" t="s">
        <v>51</v>
      </c>
      <c r="B3334" s="87">
        <v>46001</v>
      </c>
      <c r="C3334" t="s">
        <v>2275</v>
      </c>
      <c r="D3334" t="s">
        <v>2688</v>
      </c>
      <c r="E3334" t="s">
        <v>477</v>
      </c>
      <c r="F3334" t="s">
        <v>1014</v>
      </c>
      <c r="G3334" t="s">
        <v>74</v>
      </c>
      <c r="H3334" t="s">
        <v>470</v>
      </c>
      <c r="I3334" t="s">
        <v>471</v>
      </c>
      <c r="J3334">
        <v>95</v>
      </c>
    </row>
    <row r="3335" spans="1:10">
      <c r="A3335" s="90" t="s">
        <v>51</v>
      </c>
      <c r="B3335" s="87">
        <v>46001</v>
      </c>
      <c r="C3335" t="s">
        <v>4520</v>
      </c>
      <c r="D3335" t="s">
        <v>2688</v>
      </c>
      <c r="E3335" t="s">
        <v>477</v>
      </c>
      <c r="F3335" t="s">
        <v>1014</v>
      </c>
      <c r="G3335" t="s">
        <v>2295</v>
      </c>
      <c r="H3335" t="s">
        <v>470</v>
      </c>
      <c r="I3335" t="s">
        <v>471</v>
      </c>
      <c r="J3335">
        <v>691.34</v>
      </c>
    </row>
    <row r="3336" spans="1:10">
      <c r="A3336" s="90" t="s">
        <v>51</v>
      </c>
      <c r="B3336" s="87">
        <v>46001</v>
      </c>
      <c r="C3336" t="s">
        <v>511</v>
      </c>
      <c r="D3336" t="s">
        <v>2688</v>
      </c>
      <c r="E3336" t="s">
        <v>512</v>
      </c>
      <c r="F3336" t="s">
        <v>1014</v>
      </c>
      <c r="G3336" t="s">
        <v>474</v>
      </c>
      <c r="H3336" t="s">
        <v>470</v>
      </c>
      <c r="I3336" t="s">
        <v>475</v>
      </c>
      <c r="J3336">
        <v>1101.6199999999999</v>
      </c>
    </row>
    <row r="3337" spans="1:10">
      <c r="A3337" s="90" t="s">
        <v>51</v>
      </c>
      <c r="B3337" s="87">
        <v>46002</v>
      </c>
      <c r="C3337" t="s">
        <v>4521</v>
      </c>
      <c r="D3337" t="s">
        <v>2688</v>
      </c>
      <c r="E3337" t="s">
        <v>1137</v>
      </c>
      <c r="F3337" t="s">
        <v>4522</v>
      </c>
      <c r="G3337" t="s">
        <v>61</v>
      </c>
      <c r="H3337" t="s">
        <v>470</v>
      </c>
      <c r="I3337" t="s">
        <v>487</v>
      </c>
      <c r="J3337">
        <v>50000</v>
      </c>
    </row>
    <row r="3338" spans="1:10">
      <c r="A3338" s="90" t="s">
        <v>51</v>
      </c>
      <c r="B3338" s="87">
        <v>46002</v>
      </c>
      <c r="C3338" t="s">
        <v>4523</v>
      </c>
      <c r="D3338" t="s">
        <v>2688</v>
      </c>
      <c r="E3338" t="s">
        <v>4041</v>
      </c>
      <c r="F3338" t="s">
        <v>1014</v>
      </c>
      <c r="G3338" t="s">
        <v>71</v>
      </c>
      <c r="H3338" t="s">
        <v>470</v>
      </c>
      <c r="I3338" t="s">
        <v>482</v>
      </c>
      <c r="J3338">
        <v>3000</v>
      </c>
    </row>
    <row r="3339" spans="1:10">
      <c r="A3339" s="90" t="s">
        <v>51</v>
      </c>
      <c r="B3339" s="87">
        <v>46002</v>
      </c>
      <c r="C3339" t="s">
        <v>511</v>
      </c>
      <c r="D3339" t="s">
        <v>2688</v>
      </c>
      <c r="E3339" t="s">
        <v>512</v>
      </c>
      <c r="F3339" t="s">
        <v>1014</v>
      </c>
      <c r="G3339" t="s">
        <v>474</v>
      </c>
      <c r="H3339" t="s">
        <v>470</v>
      </c>
      <c r="I3339" t="s">
        <v>475</v>
      </c>
      <c r="J3339">
        <v>53000</v>
      </c>
    </row>
    <row r="3340" spans="1:10">
      <c r="A3340" s="90" t="s">
        <v>51</v>
      </c>
      <c r="B3340" s="87">
        <v>46007</v>
      </c>
      <c r="C3340" t="s">
        <v>4524</v>
      </c>
      <c r="D3340" t="s">
        <v>2688</v>
      </c>
      <c r="E3340" t="s">
        <v>477</v>
      </c>
      <c r="F3340" t="s">
        <v>3954</v>
      </c>
      <c r="G3340" t="s">
        <v>515</v>
      </c>
      <c r="H3340" t="s">
        <v>4525</v>
      </c>
      <c r="I3340" t="s">
        <v>471</v>
      </c>
      <c r="J3340">
        <v>54166.67</v>
      </c>
    </row>
    <row r="3341" spans="1:10">
      <c r="A3341" s="90" t="s">
        <v>51</v>
      </c>
      <c r="B3341" s="87">
        <v>46007</v>
      </c>
      <c r="C3341" t="s">
        <v>4524</v>
      </c>
      <c r="D3341" t="s">
        <v>2688</v>
      </c>
      <c r="E3341" t="s">
        <v>477</v>
      </c>
      <c r="F3341" t="s">
        <v>3954</v>
      </c>
      <c r="G3341" t="s">
        <v>69</v>
      </c>
      <c r="H3341" t="s">
        <v>4525</v>
      </c>
      <c r="I3341" t="s">
        <v>471</v>
      </c>
      <c r="J3341">
        <v>2161.25</v>
      </c>
    </row>
    <row r="3342" spans="1:10">
      <c r="A3342" s="90" t="s">
        <v>51</v>
      </c>
      <c r="B3342" s="87">
        <v>46007</v>
      </c>
      <c r="C3342" t="s">
        <v>511</v>
      </c>
      <c r="D3342" t="s">
        <v>2688</v>
      </c>
      <c r="E3342" t="s">
        <v>512</v>
      </c>
      <c r="F3342" t="s">
        <v>1014</v>
      </c>
      <c r="G3342" t="s">
        <v>474</v>
      </c>
      <c r="H3342" t="s">
        <v>470</v>
      </c>
      <c r="I3342" t="s">
        <v>475</v>
      </c>
      <c r="J3342">
        <v>17747.919999999998</v>
      </c>
    </row>
    <row r="3343" spans="1:10">
      <c r="A3343" s="90" t="s">
        <v>51</v>
      </c>
      <c r="B3343" s="87">
        <v>46008</v>
      </c>
      <c r="C3343" t="s">
        <v>3602</v>
      </c>
      <c r="D3343" t="s">
        <v>2688</v>
      </c>
      <c r="E3343" t="s">
        <v>3107</v>
      </c>
      <c r="F3343" t="s">
        <v>1014</v>
      </c>
      <c r="G3343" t="s">
        <v>60</v>
      </c>
      <c r="H3343" t="s">
        <v>2279</v>
      </c>
      <c r="I3343" t="s">
        <v>796</v>
      </c>
      <c r="J3343">
        <v>58.73</v>
      </c>
    </row>
    <row r="3344" spans="1:10">
      <c r="A3344" s="90" t="s">
        <v>51</v>
      </c>
      <c r="B3344" s="87">
        <v>46008</v>
      </c>
      <c r="C3344" t="s">
        <v>511</v>
      </c>
      <c r="D3344" t="s">
        <v>2688</v>
      </c>
      <c r="E3344" t="s">
        <v>512</v>
      </c>
      <c r="F3344" t="s">
        <v>1014</v>
      </c>
      <c r="G3344" t="s">
        <v>474</v>
      </c>
      <c r="H3344" t="s">
        <v>470</v>
      </c>
      <c r="I3344" t="s">
        <v>475</v>
      </c>
      <c r="J3344">
        <v>58.73</v>
      </c>
    </row>
    <row r="3345" spans="1:10">
      <c r="A3345" s="90" t="s">
        <v>51</v>
      </c>
      <c r="B3345" s="87">
        <v>46010</v>
      </c>
      <c r="C3345" t="s">
        <v>4526</v>
      </c>
      <c r="D3345" t="s">
        <v>2688</v>
      </c>
      <c r="E3345" t="s">
        <v>3547</v>
      </c>
      <c r="F3345" t="s">
        <v>205</v>
      </c>
      <c r="G3345" t="s">
        <v>2381</v>
      </c>
      <c r="H3345" t="s">
        <v>470</v>
      </c>
      <c r="I3345" t="s">
        <v>796</v>
      </c>
      <c r="J3345">
        <v>591.15</v>
      </c>
    </row>
    <row r="3346" spans="1:10">
      <c r="A3346" s="90" t="s">
        <v>51</v>
      </c>
      <c r="B3346" s="87">
        <v>46010</v>
      </c>
      <c r="C3346" t="s">
        <v>4526</v>
      </c>
      <c r="D3346" t="s">
        <v>2688</v>
      </c>
      <c r="E3346" t="s">
        <v>3547</v>
      </c>
      <c r="F3346" t="s">
        <v>205</v>
      </c>
      <c r="G3346" t="s">
        <v>78</v>
      </c>
      <c r="H3346" t="s">
        <v>470</v>
      </c>
      <c r="I3346" t="s">
        <v>796</v>
      </c>
      <c r="J3346">
        <v>3</v>
      </c>
    </row>
    <row r="3347" spans="1:10">
      <c r="A3347" s="90" t="s">
        <v>51</v>
      </c>
      <c r="B3347" s="87">
        <v>46010</v>
      </c>
      <c r="C3347" t="s">
        <v>3490</v>
      </c>
      <c r="D3347" t="s">
        <v>2688</v>
      </c>
      <c r="E3347" t="s">
        <v>2318</v>
      </c>
      <c r="F3347" t="s">
        <v>968</v>
      </c>
      <c r="G3347" t="s">
        <v>64</v>
      </c>
      <c r="H3347" t="s">
        <v>3236</v>
      </c>
      <c r="I3347" t="s">
        <v>796</v>
      </c>
      <c r="J3347">
        <v>806</v>
      </c>
    </row>
    <row r="3348" spans="1:10">
      <c r="A3348" s="90" t="s">
        <v>51</v>
      </c>
      <c r="B3348" s="87">
        <v>46010</v>
      </c>
      <c r="C3348" t="s">
        <v>3961</v>
      </c>
      <c r="D3348" t="s">
        <v>2688</v>
      </c>
      <c r="E3348" t="s">
        <v>3962</v>
      </c>
      <c r="F3348" t="s">
        <v>4527</v>
      </c>
      <c r="G3348" t="s">
        <v>63</v>
      </c>
      <c r="H3348" t="s">
        <v>2279</v>
      </c>
      <c r="I3348" t="s">
        <v>475</v>
      </c>
      <c r="J3348">
        <v>98</v>
      </c>
    </row>
    <row r="3349" spans="1:10">
      <c r="A3349" s="90" t="s">
        <v>51</v>
      </c>
      <c r="B3349" s="87">
        <v>46010</v>
      </c>
      <c r="C3349" t="s">
        <v>511</v>
      </c>
      <c r="D3349" t="s">
        <v>2688</v>
      </c>
      <c r="E3349" t="s">
        <v>512</v>
      </c>
      <c r="F3349" t="s">
        <v>1014</v>
      </c>
      <c r="G3349" t="s">
        <v>474</v>
      </c>
      <c r="H3349" t="s">
        <v>470</v>
      </c>
      <c r="I3349" t="s">
        <v>475</v>
      </c>
      <c r="J3349">
        <v>1498.15</v>
      </c>
    </row>
    <row r="3350" spans="1:10">
      <c r="A3350" s="90" t="s">
        <v>51</v>
      </c>
      <c r="B3350" s="87">
        <v>46021</v>
      </c>
      <c r="C3350" t="s">
        <v>4528</v>
      </c>
      <c r="D3350" t="s">
        <v>2688</v>
      </c>
      <c r="E3350" t="s">
        <v>477</v>
      </c>
      <c r="F3350" t="s">
        <v>4529</v>
      </c>
      <c r="G3350" t="s">
        <v>61</v>
      </c>
      <c r="H3350" t="s">
        <v>2279</v>
      </c>
      <c r="I3350" t="s">
        <v>487</v>
      </c>
      <c r="J3350">
        <v>1518</v>
      </c>
    </row>
    <row r="3351" spans="1:10">
      <c r="A3351" s="90" t="s">
        <v>51</v>
      </c>
      <c r="B3351" s="87">
        <v>46021</v>
      </c>
      <c r="C3351" t="s">
        <v>3633</v>
      </c>
      <c r="D3351" t="s">
        <v>2688</v>
      </c>
      <c r="E3351" t="s">
        <v>1667</v>
      </c>
      <c r="F3351" t="s">
        <v>1014</v>
      </c>
      <c r="G3351" t="s">
        <v>180</v>
      </c>
      <c r="H3351" t="s">
        <v>470</v>
      </c>
      <c r="I3351" t="s">
        <v>475</v>
      </c>
      <c r="J3351">
        <v>2227.54</v>
      </c>
    </row>
    <row r="3352" spans="1:10">
      <c r="A3352" s="90" t="s">
        <v>51</v>
      </c>
      <c r="B3352" s="87">
        <v>46021</v>
      </c>
      <c r="C3352" t="s">
        <v>2784</v>
      </c>
      <c r="D3352" t="s">
        <v>2688</v>
      </c>
      <c r="E3352" t="s">
        <v>1667</v>
      </c>
      <c r="F3352" t="s">
        <v>1014</v>
      </c>
      <c r="G3352" t="s">
        <v>71</v>
      </c>
      <c r="H3352" t="s">
        <v>470</v>
      </c>
      <c r="I3352" t="s">
        <v>475</v>
      </c>
      <c r="J3352">
        <v>2314</v>
      </c>
    </row>
    <row r="3353" spans="1:10">
      <c r="A3353" s="90" t="s">
        <v>51</v>
      </c>
      <c r="B3353" s="87">
        <v>46021</v>
      </c>
      <c r="C3353" t="s">
        <v>511</v>
      </c>
      <c r="D3353" t="s">
        <v>2688</v>
      </c>
      <c r="E3353" t="s">
        <v>512</v>
      </c>
      <c r="F3353" t="s">
        <v>1014</v>
      </c>
      <c r="G3353" t="s">
        <v>474</v>
      </c>
      <c r="H3353" t="s">
        <v>470</v>
      </c>
      <c r="I3353" t="s">
        <v>475</v>
      </c>
      <c r="J3353">
        <v>6059.54</v>
      </c>
    </row>
    <row r="3354" spans="1:10">
      <c r="A3354" s="90" t="s">
        <v>51</v>
      </c>
      <c r="B3354" s="87">
        <v>46022</v>
      </c>
      <c r="C3354" t="s">
        <v>66</v>
      </c>
      <c r="D3354" t="s">
        <v>2688</v>
      </c>
      <c r="E3354" t="s">
        <v>477</v>
      </c>
      <c r="F3354" t="s">
        <v>1014</v>
      </c>
      <c r="G3354" t="s">
        <v>66</v>
      </c>
      <c r="H3354" t="s">
        <v>470</v>
      </c>
      <c r="I3354" t="s">
        <v>471</v>
      </c>
      <c r="J3354">
        <v>15.04</v>
      </c>
    </row>
    <row r="3355" spans="1:10">
      <c r="A3355" s="90" t="s">
        <v>51</v>
      </c>
      <c r="B3355" s="87">
        <v>46022</v>
      </c>
      <c r="C3355" t="s">
        <v>2347</v>
      </c>
      <c r="D3355" t="s">
        <v>2688</v>
      </c>
      <c r="E3355" t="s">
        <v>477</v>
      </c>
      <c r="F3355" t="s">
        <v>1014</v>
      </c>
      <c r="G3355" t="s">
        <v>68</v>
      </c>
      <c r="H3355" t="s">
        <v>470</v>
      </c>
      <c r="I3355" t="s">
        <v>471</v>
      </c>
      <c r="J3355">
        <v>11.31</v>
      </c>
    </row>
    <row r="3356" spans="1:10">
      <c r="A3356" s="90" t="s">
        <v>51</v>
      </c>
      <c r="B3356" s="87">
        <v>46024</v>
      </c>
      <c r="C3356" t="s">
        <v>4357</v>
      </c>
      <c r="D3356" t="s">
        <v>2688</v>
      </c>
      <c r="E3356" t="s">
        <v>477</v>
      </c>
      <c r="F3356" t="s">
        <v>1449</v>
      </c>
      <c r="G3356" t="s">
        <v>66</v>
      </c>
      <c r="H3356" t="s">
        <v>470</v>
      </c>
      <c r="I3356" t="s">
        <v>471</v>
      </c>
      <c r="J3356">
        <v>15.58</v>
      </c>
    </row>
    <row r="3357" spans="1:10">
      <c r="A3357" s="90" t="s">
        <v>51</v>
      </c>
      <c r="B3357" s="87">
        <v>46024</v>
      </c>
      <c r="C3357" t="s">
        <v>4530</v>
      </c>
      <c r="D3357" t="s">
        <v>2688</v>
      </c>
      <c r="E3357" t="s">
        <v>2262</v>
      </c>
      <c r="F3357" t="s">
        <v>4531</v>
      </c>
      <c r="G3357" t="s">
        <v>73</v>
      </c>
      <c r="H3357" t="s">
        <v>2264</v>
      </c>
      <c r="I3357" t="s">
        <v>796</v>
      </c>
      <c r="J3357">
        <v>633.01</v>
      </c>
    </row>
    <row r="3358" spans="1:10">
      <c r="A3358" s="90" t="s">
        <v>51</v>
      </c>
      <c r="B3358" s="87">
        <v>46024</v>
      </c>
      <c r="C3358" t="s">
        <v>511</v>
      </c>
      <c r="D3358" t="s">
        <v>2688</v>
      </c>
      <c r="E3358" t="s">
        <v>512</v>
      </c>
      <c r="F3358" t="s">
        <v>1093</v>
      </c>
      <c r="G3358" t="s">
        <v>474</v>
      </c>
      <c r="H3358" t="s">
        <v>470</v>
      </c>
      <c r="I3358" t="s">
        <v>475</v>
      </c>
      <c r="J3358">
        <v>648.59</v>
      </c>
    </row>
    <row r="3359" spans="1:10">
      <c r="A3359" s="90" t="s">
        <v>51</v>
      </c>
      <c r="B3359" s="87">
        <v>46027</v>
      </c>
      <c r="C3359" t="s">
        <v>4532</v>
      </c>
      <c r="D3359" t="s">
        <v>2688</v>
      </c>
      <c r="E3359" t="s">
        <v>3949</v>
      </c>
      <c r="F3359" t="s">
        <v>1014</v>
      </c>
      <c r="G3359" t="s">
        <v>65</v>
      </c>
      <c r="H3359" t="s">
        <v>2279</v>
      </c>
      <c r="I3359" t="s">
        <v>796</v>
      </c>
      <c r="J3359">
        <v>179.9</v>
      </c>
    </row>
    <row r="3360" spans="1:10">
      <c r="A3360" s="90" t="s">
        <v>51</v>
      </c>
      <c r="B3360" s="87">
        <v>46027</v>
      </c>
      <c r="C3360" t="s">
        <v>511</v>
      </c>
      <c r="D3360" t="s">
        <v>2688</v>
      </c>
      <c r="E3360" t="s">
        <v>512</v>
      </c>
      <c r="F3360" t="s">
        <v>1093</v>
      </c>
      <c r="G3360" t="s">
        <v>474</v>
      </c>
      <c r="H3360" t="s">
        <v>470</v>
      </c>
      <c r="I3360" t="s">
        <v>475</v>
      </c>
      <c r="J3360">
        <v>179.9</v>
      </c>
    </row>
    <row r="3361" spans="1:10">
      <c r="A3361" s="90" t="s">
        <v>51</v>
      </c>
      <c r="B3361" s="87">
        <v>46028</v>
      </c>
      <c r="C3361" t="s">
        <v>4403</v>
      </c>
      <c r="D3361" t="s">
        <v>2688</v>
      </c>
      <c r="E3361" t="s">
        <v>1756</v>
      </c>
      <c r="F3361" t="s">
        <v>1014</v>
      </c>
      <c r="G3361" t="s">
        <v>67</v>
      </c>
      <c r="H3361" t="s">
        <v>470</v>
      </c>
      <c r="I3361" t="s">
        <v>796</v>
      </c>
      <c r="J3361">
        <v>393.09</v>
      </c>
    </row>
    <row r="3362" spans="1:10">
      <c r="A3362" s="90" t="s">
        <v>51</v>
      </c>
      <c r="B3362" s="87">
        <v>46028</v>
      </c>
      <c r="C3362" t="s">
        <v>2275</v>
      </c>
      <c r="D3362" t="s">
        <v>2688</v>
      </c>
      <c r="E3362" t="s">
        <v>477</v>
      </c>
      <c r="F3362" t="s">
        <v>1093</v>
      </c>
      <c r="G3362" t="s">
        <v>74</v>
      </c>
      <c r="H3362" t="s">
        <v>470</v>
      </c>
      <c r="I3362" t="s">
        <v>471</v>
      </c>
      <c r="J3362">
        <v>188.8</v>
      </c>
    </row>
    <row r="3363" spans="1:10">
      <c r="A3363" s="90" t="s">
        <v>51</v>
      </c>
      <c r="B3363" s="87">
        <v>46028</v>
      </c>
      <c r="C3363" t="s">
        <v>511</v>
      </c>
      <c r="D3363" t="s">
        <v>2688</v>
      </c>
      <c r="E3363" t="s">
        <v>512</v>
      </c>
      <c r="F3363" t="s">
        <v>1093</v>
      </c>
      <c r="G3363" t="s">
        <v>474</v>
      </c>
      <c r="H3363" t="s">
        <v>470</v>
      </c>
      <c r="I3363" t="s">
        <v>475</v>
      </c>
      <c r="J3363">
        <v>581.89</v>
      </c>
    </row>
    <row r="3364" spans="1:10">
      <c r="A3364" s="90" t="s">
        <v>51</v>
      </c>
      <c r="B3364" s="87">
        <v>46031</v>
      </c>
      <c r="C3364" t="s">
        <v>4533</v>
      </c>
      <c r="D3364" t="s">
        <v>2688</v>
      </c>
      <c r="E3364" t="s">
        <v>2702</v>
      </c>
      <c r="F3364" t="s">
        <v>4534</v>
      </c>
      <c r="G3364" t="s">
        <v>63</v>
      </c>
      <c r="H3364" t="s">
        <v>470</v>
      </c>
      <c r="I3364" t="s">
        <v>796</v>
      </c>
      <c r="J3364">
        <v>125</v>
      </c>
    </row>
    <row r="3365" spans="1:10">
      <c r="A3365" s="90" t="s">
        <v>51</v>
      </c>
      <c r="B3365" s="87">
        <v>46031</v>
      </c>
      <c r="C3365" t="s">
        <v>511</v>
      </c>
      <c r="D3365" t="s">
        <v>2688</v>
      </c>
      <c r="E3365" t="s">
        <v>512</v>
      </c>
      <c r="F3365" t="s">
        <v>1093</v>
      </c>
      <c r="G3365" t="s">
        <v>474</v>
      </c>
      <c r="H3365" t="s">
        <v>470</v>
      </c>
      <c r="I3365" t="s">
        <v>475</v>
      </c>
      <c r="J3365">
        <v>125</v>
      </c>
    </row>
    <row r="3366" spans="1:10">
      <c r="A3366" s="90" t="s">
        <v>51</v>
      </c>
      <c r="B3366" s="87">
        <v>46034</v>
      </c>
      <c r="C3366" t="s">
        <v>2454</v>
      </c>
      <c r="D3366" t="s">
        <v>2688</v>
      </c>
      <c r="E3366" t="s">
        <v>1667</v>
      </c>
      <c r="F3366" t="s">
        <v>1093</v>
      </c>
      <c r="G3366" t="s">
        <v>71</v>
      </c>
      <c r="H3366" t="s">
        <v>470</v>
      </c>
      <c r="I3366" t="s">
        <v>475</v>
      </c>
      <c r="J3366">
        <v>6000</v>
      </c>
    </row>
    <row r="3367" spans="1:10">
      <c r="A3367" s="90" t="s">
        <v>51</v>
      </c>
      <c r="B3367" s="87">
        <v>46034</v>
      </c>
      <c r="C3367" t="s">
        <v>2295</v>
      </c>
      <c r="D3367" t="s">
        <v>2688</v>
      </c>
      <c r="E3367" t="s">
        <v>477</v>
      </c>
      <c r="F3367" t="s">
        <v>1093</v>
      </c>
      <c r="G3367" t="s">
        <v>2295</v>
      </c>
      <c r="H3367" t="s">
        <v>470</v>
      </c>
      <c r="I3367" t="s">
        <v>471</v>
      </c>
      <c r="J3367">
        <v>680.76</v>
      </c>
    </row>
    <row r="3368" spans="1:10">
      <c r="A3368" s="90" t="s">
        <v>51</v>
      </c>
      <c r="B3368" s="87">
        <v>46034</v>
      </c>
      <c r="C3368" t="s">
        <v>2275</v>
      </c>
      <c r="D3368" t="s">
        <v>2688</v>
      </c>
      <c r="E3368" t="s">
        <v>477</v>
      </c>
      <c r="F3368" t="s">
        <v>1093</v>
      </c>
      <c r="G3368" t="s">
        <v>74</v>
      </c>
      <c r="H3368" t="s">
        <v>470</v>
      </c>
      <c r="I3368" t="s">
        <v>471</v>
      </c>
      <c r="J3368">
        <v>95</v>
      </c>
    </row>
    <row r="3369" spans="1:10">
      <c r="A3369" s="90" t="s">
        <v>51</v>
      </c>
      <c r="B3369" s="87">
        <v>46034</v>
      </c>
      <c r="C3369" t="s">
        <v>4222</v>
      </c>
      <c r="D3369" t="s">
        <v>2688</v>
      </c>
      <c r="E3369" t="s">
        <v>477</v>
      </c>
      <c r="F3369" t="s">
        <v>1449</v>
      </c>
      <c r="G3369" t="s">
        <v>69</v>
      </c>
      <c r="H3369" t="s">
        <v>470</v>
      </c>
      <c r="I3369" t="s">
        <v>471</v>
      </c>
      <c r="J3369">
        <v>175.89</v>
      </c>
    </row>
    <row r="3370" spans="1:10">
      <c r="A3370" s="90" t="s">
        <v>51</v>
      </c>
      <c r="B3370" s="87">
        <v>46034</v>
      </c>
      <c r="C3370" t="s">
        <v>517</v>
      </c>
      <c r="D3370" t="s">
        <v>2688</v>
      </c>
      <c r="E3370" t="s">
        <v>512</v>
      </c>
      <c r="F3370" t="s">
        <v>1093</v>
      </c>
      <c r="G3370" t="s">
        <v>474</v>
      </c>
      <c r="H3370" t="s">
        <v>470</v>
      </c>
      <c r="I3370" t="s">
        <v>475</v>
      </c>
      <c r="J3370">
        <v>69328.350000000006</v>
      </c>
    </row>
    <row r="3371" spans="1:10">
      <c r="A3371" s="90" t="s">
        <v>51</v>
      </c>
      <c r="B3371" s="87">
        <v>46037</v>
      </c>
      <c r="C3371" t="s">
        <v>4535</v>
      </c>
      <c r="D3371" t="s">
        <v>2688</v>
      </c>
      <c r="E3371" t="s">
        <v>4041</v>
      </c>
      <c r="F3371" t="s">
        <v>1093</v>
      </c>
      <c r="G3371" t="s">
        <v>71</v>
      </c>
      <c r="H3371" t="s">
        <v>470</v>
      </c>
      <c r="I3371" t="s">
        <v>482</v>
      </c>
      <c r="J3371">
        <v>3000</v>
      </c>
    </row>
    <row r="3372" spans="1:10">
      <c r="A3372" s="90" t="s">
        <v>51</v>
      </c>
      <c r="B3372" s="87">
        <v>46037</v>
      </c>
      <c r="C3372" t="s">
        <v>511</v>
      </c>
      <c r="D3372" t="s">
        <v>2688</v>
      </c>
      <c r="E3372" t="s">
        <v>512</v>
      </c>
      <c r="F3372" t="s">
        <v>1093</v>
      </c>
      <c r="G3372" t="s">
        <v>474</v>
      </c>
      <c r="H3372" t="s">
        <v>470</v>
      </c>
      <c r="I3372" t="s">
        <v>475</v>
      </c>
      <c r="J3372">
        <v>3000</v>
      </c>
    </row>
    <row r="3373" spans="1:10">
      <c r="A3373" s="90" t="s">
        <v>51</v>
      </c>
      <c r="B3373" s="87">
        <v>46038</v>
      </c>
      <c r="C3373" t="s">
        <v>4536</v>
      </c>
      <c r="D3373" t="s">
        <v>2688</v>
      </c>
      <c r="E3373" t="s">
        <v>4537</v>
      </c>
      <c r="F3373" t="s">
        <v>390</v>
      </c>
      <c r="G3373" t="s">
        <v>2112</v>
      </c>
      <c r="H3373" t="s">
        <v>470</v>
      </c>
      <c r="I3373" t="s">
        <v>475</v>
      </c>
      <c r="J3373">
        <v>101001</v>
      </c>
    </row>
    <row r="3374" spans="1:10">
      <c r="A3374" s="90" t="s">
        <v>51</v>
      </c>
      <c r="B3374" s="87">
        <v>46038</v>
      </c>
      <c r="C3374" t="s">
        <v>511</v>
      </c>
      <c r="D3374" t="s">
        <v>2688</v>
      </c>
      <c r="E3374" t="s">
        <v>512</v>
      </c>
      <c r="F3374" t="s">
        <v>1093</v>
      </c>
      <c r="G3374" t="s">
        <v>474</v>
      </c>
      <c r="H3374" t="s">
        <v>470</v>
      </c>
      <c r="I3374" t="s">
        <v>475</v>
      </c>
      <c r="J3374">
        <v>69825.98</v>
      </c>
    </row>
    <row r="3375" spans="1:10">
      <c r="A3375" s="90" t="s">
        <v>51</v>
      </c>
      <c r="B3375" s="87">
        <v>46038</v>
      </c>
      <c r="C3375" t="s">
        <v>511</v>
      </c>
      <c r="D3375" t="s">
        <v>2688</v>
      </c>
      <c r="E3375" t="s">
        <v>512</v>
      </c>
      <c r="F3375" t="s">
        <v>1093</v>
      </c>
      <c r="G3375" t="s">
        <v>474</v>
      </c>
      <c r="H3375" t="s">
        <v>470</v>
      </c>
      <c r="I3375" t="s">
        <v>475</v>
      </c>
      <c r="J3375">
        <v>69931.55</v>
      </c>
    </row>
    <row r="3376" spans="1:10">
      <c r="A3376" s="90" t="s">
        <v>51</v>
      </c>
      <c r="B3376" s="87">
        <v>46038</v>
      </c>
      <c r="C3376" t="s">
        <v>4538</v>
      </c>
      <c r="D3376" t="s">
        <v>2688</v>
      </c>
      <c r="E3376" t="s">
        <v>477</v>
      </c>
      <c r="F3376" t="s">
        <v>3954</v>
      </c>
      <c r="G3376" t="s">
        <v>515</v>
      </c>
      <c r="H3376" t="s">
        <v>4539</v>
      </c>
      <c r="I3376" t="s">
        <v>471</v>
      </c>
      <c r="J3376">
        <v>54166.67</v>
      </c>
    </row>
    <row r="3377" spans="1:10">
      <c r="A3377" s="90" t="s">
        <v>51</v>
      </c>
      <c r="B3377" s="87">
        <v>46038</v>
      </c>
      <c r="C3377" t="s">
        <v>4538</v>
      </c>
      <c r="D3377" t="s">
        <v>2688</v>
      </c>
      <c r="E3377" t="s">
        <v>477</v>
      </c>
      <c r="F3377" t="s">
        <v>3954</v>
      </c>
      <c r="G3377" t="s">
        <v>69</v>
      </c>
      <c r="H3377" t="s">
        <v>4539</v>
      </c>
      <c r="I3377" t="s">
        <v>471</v>
      </c>
      <c r="J3377">
        <v>1488.86</v>
      </c>
    </row>
    <row r="3378" spans="1:10">
      <c r="A3378" s="90" t="s">
        <v>51</v>
      </c>
      <c r="B3378" s="87">
        <v>46038</v>
      </c>
      <c r="C3378" t="s">
        <v>4540</v>
      </c>
      <c r="D3378" t="s">
        <v>2688</v>
      </c>
      <c r="E3378" t="s">
        <v>3660</v>
      </c>
      <c r="F3378" t="s">
        <v>381</v>
      </c>
      <c r="G3378" t="s">
        <v>2112</v>
      </c>
      <c r="H3378" t="s">
        <v>470</v>
      </c>
      <c r="I3378" t="s">
        <v>487</v>
      </c>
      <c r="J3378">
        <v>100001</v>
      </c>
    </row>
    <row r="3379" spans="1:10">
      <c r="A3379" s="90" t="s">
        <v>51</v>
      </c>
      <c r="B3379" s="87">
        <v>46041</v>
      </c>
      <c r="C3379" t="s">
        <v>1108</v>
      </c>
      <c r="D3379" t="s">
        <v>2688</v>
      </c>
      <c r="E3379" t="s">
        <v>773</v>
      </c>
      <c r="F3379" t="s">
        <v>1093</v>
      </c>
      <c r="G3379" t="s">
        <v>537</v>
      </c>
      <c r="H3379" t="s">
        <v>470</v>
      </c>
      <c r="I3379" t="s">
        <v>475</v>
      </c>
      <c r="J3379">
        <v>60000</v>
      </c>
    </row>
    <row r="3380" spans="1:10">
      <c r="A3380" s="90" t="s">
        <v>51</v>
      </c>
      <c r="B3380" s="87">
        <v>46041</v>
      </c>
      <c r="C3380" t="s">
        <v>1322</v>
      </c>
      <c r="D3380" t="s">
        <v>2688</v>
      </c>
      <c r="E3380" t="s">
        <v>512</v>
      </c>
      <c r="F3380" t="s">
        <v>1093</v>
      </c>
      <c r="G3380" t="s">
        <v>474</v>
      </c>
      <c r="H3380" t="s">
        <v>470</v>
      </c>
      <c r="I3380" t="s">
        <v>475</v>
      </c>
      <c r="J3380">
        <v>200529.71</v>
      </c>
    </row>
    <row r="3381" spans="1:10">
      <c r="A3381" s="90" t="s">
        <v>51</v>
      </c>
      <c r="B3381" s="87">
        <v>46041</v>
      </c>
      <c r="C3381" t="s">
        <v>4535</v>
      </c>
      <c r="D3381" t="s">
        <v>2688</v>
      </c>
      <c r="E3381" t="s">
        <v>4041</v>
      </c>
      <c r="F3381" t="s">
        <v>1093</v>
      </c>
      <c r="G3381" t="s">
        <v>71</v>
      </c>
      <c r="H3381" t="s">
        <v>470</v>
      </c>
      <c r="I3381" t="s">
        <v>482</v>
      </c>
      <c r="J3381">
        <v>3000</v>
      </c>
    </row>
    <row r="3382" spans="1:10">
      <c r="A3382" s="90" t="s">
        <v>51</v>
      </c>
      <c r="B3382" s="87">
        <v>46041</v>
      </c>
      <c r="C3382" t="s">
        <v>4541</v>
      </c>
      <c r="D3382" t="s">
        <v>2688</v>
      </c>
      <c r="E3382" t="s">
        <v>3107</v>
      </c>
      <c r="F3382" t="s">
        <v>1093</v>
      </c>
      <c r="G3382" t="s">
        <v>60</v>
      </c>
      <c r="H3382" t="s">
        <v>2264</v>
      </c>
      <c r="I3382" t="s">
        <v>796</v>
      </c>
      <c r="J3382">
        <v>79.67</v>
      </c>
    </row>
    <row r="3383" spans="1:10">
      <c r="A3383" s="90" t="s">
        <v>51</v>
      </c>
      <c r="B3383" s="87">
        <v>46041</v>
      </c>
      <c r="C3383" t="s">
        <v>517</v>
      </c>
      <c r="D3383" t="s">
        <v>2688</v>
      </c>
      <c r="E3383" t="s">
        <v>512</v>
      </c>
      <c r="F3383" t="s">
        <v>1093</v>
      </c>
      <c r="G3383" t="s">
        <v>474</v>
      </c>
      <c r="H3383" t="s">
        <v>470</v>
      </c>
      <c r="I3383" t="s">
        <v>475</v>
      </c>
      <c r="J3383">
        <v>130000</v>
      </c>
    </row>
    <row r="3384" spans="1:10">
      <c r="A3384" s="90" t="s">
        <v>51</v>
      </c>
      <c r="B3384" s="87">
        <v>46041</v>
      </c>
      <c r="C3384" t="s">
        <v>517</v>
      </c>
      <c r="D3384" t="s">
        <v>2688</v>
      </c>
      <c r="E3384" t="s">
        <v>512</v>
      </c>
      <c r="F3384" t="s">
        <v>1877</v>
      </c>
      <c r="G3384" t="s">
        <v>474</v>
      </c>
      <c r="H3384" t="s">
        <v>470</v>
      </c>
      <c r="I3384" t="s">
        <v>475</v>
      </c>
      <c r="J3384">
        <v>7450.04</v>
      </c>
    </row>
    <row r="3385" spans="1:10">
      <c r="A3385" s="90" t="s">
        <v>51</v>
      </c>
      <c r="B3385" s="87">
        <v>46042</v>
      </c>
      <c r="C3385" t="s">
        <v>4542</v>
      </c>
      <c r="D3385" t="s">
        <v>2688</v>
      </c>
      <c r="E3385" t="s">
        <v>4537</v>
      </c>
      <c r="F3385" t="s">
        <v>383</v>
      </c>
      <c r="G3385" t="s">
        <v>2112</v>
      </c>
      <c r="H3385" t="s">
        <v>470</v>
      </c>
      <c r="I3385" t="s">
        <v>475</v>
      </c>
      <c r="J3385">
        <v>200006</v>
      </c>
    </row>
    <row r="3386" spans="1:10">
      <c r="A3386" s="90" t="s">
        <v>51</v>
      </c>
      <c r="B3386" s="87">
        <v>46042</v>
      </c>
      <c r="C3386" t="s">
        <v>1322</v>
      </c>
      <c r="D3386" t="s">
        <v>2688</v>
      </c>
      <c r="E3386" t="s">
        <v>512</v>
      </c>
      <c r="F3386" t="s">
        <v>1093</v>
      </c>
      <c r="G3386" t="s">
        <v>474</v>
      </c>
      <c r="H3386" t="s">
        <v>470</v>
      </c>
      <c r="I3386" t="s">
        <v>475</v>
      </c>
      <c r="J3386">
        <v>99193.42</v>
      </c>
    </row>
    <row r="3387" spans="1:10">
      <c r="A3387" s="90" t="s">
        <v>51</v>
      </c>
      <c r="B3387" s="87">
        <v>46042</v>
      </c>
      <c r="C3387" t="s">
        <v>3602</v>
      </c>
      <c r="D3387" t="s">
        <v>2688</v>
      </c>
      <c r="E3387" t="s">
        <v>2318</v>
      </c>
      <c r="F3387" t="s">
        <v>1014</v>
      </c>
      <c r="G3387" t="s">
        <v>64</v>
      </c>
      <c r="H3387" t="s">
        <v>2279</v>
      </c>
      <c r="I3387" t="s">
        <v>796</v>
      </c>
      <c r="J3387">
        <v>806</v>
      </c>
    </row>
    <row r="3388" spans="1:10">
      <c r="A3388" s="90" t="s">
        <v>51</v>
      </c>
      <c r="B3388" s="87">
        <v>46042</v>
      </c>
      <c r="C3388" t="s">
        <v>1878</v>
      </c>
      <c r="D3388" t="s">
        <v>2688</v>
      </c>
      <c r="E3388" t="s">
        <v>512</v>
      </c>
      <c r="F3388" t="s">
        <v>1093</v>
      </c>
      <c r="G3388" t="s">
        <v>474</v>
      </c>
      <c r="H3388" t="s">
        <v>470</v>
      </c>
      <c r="I3388" t="s">
        <v>475</v>
      </c>
      <c r="J3388">
        <v>13794.89</v>
      </c>
    </row>
    <row r="3389" spans="1:10">
      <c r="A3389" s="90" t="s">
        <v>51</v>
      </c>
      <c r="B3389" s="87">
        <v>46042</v>
      </c>
      <c r="C3389" t="s">
        <v>511</v>
      </c>
      <c r="D3389" t="s">
        <v>2688</v>
      </c>
      <c r="E3389" t="s">
        <v>512</v>
      </c>
      <c r="F3389" t="s">
        <v>1093</v>
      </c>
      <c r="G3389" t="s">
        <v>474</v>
      </c>
      <c r="H3389" t="s">
        <v>470</v>
      </c>
      <c r="I3389" t="s">
        <v>475</v>
      </c>
      <c r="J3389">
        <v>87823.69</v>
      </c>
    </row>
    <row r="3390" spans="1:10">
      <c r="A3390" s="90" t="s">
        <v>51</v>
      </c>
      <c r="B3390" s="87">
        <v>46043</v>
      </c>
      <c r="C3390" t="s">
        <v>2336</v>
      </c>
      <c r="D3390" t="s">
        <v>2688</v>
      </c>
      <c r="E3390" t="s">
        <v>1667</v>
      </c>
      <c r="F3390" t="s">
        <v>1093</v>
      </c>
      <c r="G3390" t="s">
        <v>71</v>
      </c>
      <c r="H3390" t="s">
        <v>2264</v>
      </c>
      <c r="I3390" t="s">
        <v>475</v>
      </c>
      <c r="J3390">
        <v>2314</v>
      </c>
    </row>
    <row r="3391" spans="1:10">
      <c r="A3391" s="90" t="s">
        <v>51</v>
      </c>
      <c r="B3391" s="87">
        <v>46043</v>
      </c>
      <c r="C3391" t="s">
        <v>517</v>
      </c>
      <c r="D3391" t="s">
        <v>2688</v>
      </c>
      <c r="E3391" t="s">
        <v>512</v>
      </c>
      <c r="F3391" t="s">
        <v>1093</v>
      </c>
      <c r="G3391" t="s">
        <v>474</v>
      </c>
      <c r="H3391" t="s">
        <v>470</v>
      </c>
      <c r="I3391" t="s">
        <v>475</v>
      </c>
      <c r="J3391">
        <v>56</v>
      </c>
    </row>
    <row r="3392" spans="1:10">
      <c r="A3392" s="90" t="s">
        <v>51</v>
      </c>
      <c r="B3392" s="87">
        <v>46045</v>
      </c>
      <c r="C3392" t="s">
        <v>4543</v>
      </c>
      <c r="D3392" t="s">
        <v>2688</v>
      </c>
      <c r="E3392" t="s">
        <v>3664</v>
      </c>
      <c r="F3392" t="s">
        <v>1903</v>
      </c>
      <c r="G3392" t="s">
        <v>2112</v>
      </c>
      <c r="H3392" t="s">
        <v>470</v>
      </c>
      <c r="I3392" t="s">
        <v>475</v>
      </c>
      <c r="J3392">
        <v>93873.19</v>
      </c>
    </row>
    <row r="3393" spans="1:10">
      <c r="A3393" s="90" t="s">
        <v>51</v>
      </c>
      <c r="B3393" s="87">
        <v>46045</v>
      </c>
      <c r="C3393" t="s">
        <v>511</v>
      </c>
      <c r="D3393" t="s">
        <v>2688</v>
      </c>
      <c r="E3393" t="s">
        <v>512</v>
      </c>
      <c r="F3393" t="s">
        <v>1093</v>
      </c>
      <c r="G3393" t="s">
        <v>474</v>
      </c>
      <c r="H3393" t="s">
        <v>470</v>
      </c>
      <c r="I3393" t="s">
        <v>475</v>
      </c>
      <c r="J3393">
        <v>56</v>
      </c>
    </row>
    <row r="3394" spans="1:10">
      <c r="A3394" s="90" t="s">
        <v>51</v>
      </c>
      <c r="B3394" s="87">
        <v>46045</v>
      </c>
      <c r="C3394" t="s">
        <v>511</v>
      </c>
      <c r="D3394" t="s">
        <v>2688</v>
      </c>
      <c r="E3394" t="s">
        <v>512</v>
      </c>
      <c r="F3394" t="s">
        <v>1093</v>
      </c>
      <c r="G3394" t="s">
        <v>474</v>
      </c>
      <c r="H3394" t="s">
        <v>470</v>
      </c>
      <c r="I3394" t="s">
        <v>475</v>
      </c>
      <c r="J3394">
        <v>43817.19</v>
      </c>
    </row>
    <row r="3395" spans="1:10">
      <c r="A3395" s="90" t="s">
        <v>51</v>
      </c>
      <c r="B3395" s="87">
        <v>46048</v>
      </c>
      <c r="C3395" t="s">
        <v>1399</v>
      </c>
      <c r="D3395" t="s">
        <v>2688</v>
      </c>
      <c r="E3395" t="s">
        <v>512</v>
      </c>
      <c r="F3395" t="s">
        <v>1093</v>
      </c>
      <c r="G3395" t="s">
        <v>474</v>
      </c>
      <c r="H3395" t="s">
        <v>470</v>
      </c>
      <c r="I3395" t="s">
        <v>475</v>
      </c>
      <c r="J3395">
        <v>370100.28</v>
      </c>
    </row>
    <row r="3396" spans="1:10">
      <c r="A3396" s="90" t="s">
        <v>51</v>
      </c>
      <c r="B3396" s="87">
        <v>46048</v>
      </c>
      <c r="C3396" t="s">
        <v>4544</v>
      </c>
      <c r="D3396" t="s">
        <v>2688</v>
      </c>
      <c r="E3396" t="s">
        <v>3660</v>
      </c>
      <c r="F3396" t="s">
        <v>392</v>
      </c>
      <c r="G3396" t="s">
        <v>2112</v>
      </c>
      <c r="H3396" t="s">
        <v>470</v>
      </c>
      <c r="I3396" t="s">
        <v>475</v>
      </c>
      <c r="J3396">
        <v>193420</v>
      </c>
    </row>
    <row r="3397" spans="1:10">
      <c r="A3397" s="90" t="s">
        <v>51</v>
      </c>
      <c r="B3397" s="87">
        <v>46048</v>
      </c>
      <c r="C3397" t="s">
        <v>517</v>
      </c>
      <c r="D3397" t="s">
        <v>2688</v>
      </c>
      <c r="E3397" t="s">
        <v>512</v>
      </c>
      <c r="F3397" t="s">
        <v>1093</v>
      </c>
      <c r="G3397" t="s">
        <v>474</v>
      </c>
      <c r="H3397" t="s">
        <v>470</v>
      </c>
      <c r="I3397" t="s">
        <v>475</v>
      </c>
      <c r="J3397">
        <v>176680.28</v>
      </c>
    </row>
    <row r="3398" spans="1:10">
      <c r="A3398" s="90" t="s">
        <v>51</v>
      </c>
      <c r="B3398" s="87">
        <v>46049</v>
      </c>
      <c r="C3398" t="s">
        <v>4545</v>
      </c>
      <c r="D3398" t="s">
        <v>2688</v>
      </c>
      <c r="E3398" t="s">
        <v>3664</v>
      </c>
      <c r="F3398" t="s">
        <v>1905</v>
      </c>
      <c r="G3398" t="s">
        <v>2112</v>
      </c>
      <c r="H3398" t="s">
        <v>470</v>
      </c>
      <c r="I3398" t="s">
        <v>487</v>
      </c>
      <c r="J3398">
        <v>6130.21</v>
      </c>
    </row>
    <row r="3399" spans="1:10">
      <c r="A3399" s="90" t="s">
        <v>51</v>
      </c>
      <c r="B3399" s="87">
        <v>46049</v>
      </c>
      <c r="C3399" t="s">
        <v>4546</v>
      </c>
      <c r="D3399" t="s">
        <v>2688</v>
      </c>
      <c r="E3399" t="s">
        <v>3664</v>
      </c>
      <c r="F3399" t="s">
        <v>389</v>
      </c>
      <c r="G3399" t="s">
        <v>2112</v>
      </c>
      <c r="H3399" t="s">
        <v>470</v>
      </c>
      <c r="I3399" t="s">
        <v>487</v>
      </c>
      <c r="J3399">
        <v>88869.79</v>
      </c>
    </row>
    <row r="3400" spans="1:10">
      <c r="A3400" s="90" t="s">
        <v>51</v>
      </c>
      <c r="B3400" s="87">
        <v>46049</v>
      </c>
      <c r="C3400" t="s">
        <v>511</v>
      </c>
      <c r="D3400" t="s">
        <v>2688</v>
      </c>
      <c r="E3400" t="s">
        <v>512</v>
      </c>
      <c r="F3400" t="s">
        <v>1093</v>
      </c>
      <c r="G3400" t="s">
        <v>474</v>
      </c>
      <c r="H3400" t="s">
        <v>470</v>
      </c>
      <c r="I3400" t="s">
        <v>487</v>
      </c>
      <c r="J3400">
        <v>95000</v>
      </c>
    </row>
    <row r="3401" spans="1:10">
      <c r="A3401" s="90" t="s">
        <v>51</v>
      </c>
      <c r="B3401" s="87">
        <v>46050</v>
      </c>
      <c r="C3401" t="s">
        <v>511</v>
      </c>
      <c r="D3401" t="s">
        <v>2688</v>
      </c>
      <c r="E3401" t="s">
        <v>512</v>
      </c>
      <c r="F3401" t="s">
        <v>1093</v>
      </c>
      <c r="G3401" t="s">
        <v>474</v>
      </c>
      <c r="H3401" t="s">
        <v>470</v>
      </c>
      <c r="I3401" t="s">
        <v>475</v>
      </c>
      <c r="J3401">
        <v>43125</v>
      </c>
    </row>
    <row r="3402" spans="1:10">
      <c r="A3402" s="90" t="s">
        <v>51</v>
      </c>
      <c r="B3402" s="87">
        <v>46050</v>
      </c>
      <c r="C3402" t="s">
        <v>1108</v>
      </c>
      <c r="D3402" t="s">
        <v>2688</v>
      </c>
      <c r="E3402" t="s">
        <v>773</v>
      </c>
      <c r="F3402" t="s">
        <v>1093</v>
      </c>
      <c r="G3402" t="s">
        <v>537</v>
      </c>
      <c r="H3402" t="s">
        <v>470</v>
      </c>
      <c r="I3402" t="s">
        <v>475</v>
      </c>
      <c r="J3402">
        <v>50000</v>
      </c>
    </row>
    <row r="3403" spans="1:10">
      <c r="A3403" s="90" t="s">
        <v>51</v>
      </c>
      <c r="B3403" s="87">
        <v>46052</v>
      </c>
      <c r="C3403" t="s">
        <v>4547</v>
      </c>
      <c r="D3403" t="s">
        <v>2688</v>
      </c>
      <c r="E3403" t="s">
        <v>1137</v>
      </c>
      <c r="F3403" t="s">
        <v>4548</v>
      </c>
      <c r="G3403" t="s">
        <v>61</v>
      </c>
      <c r="H3403" t="s">
        <v>2264</v>
      </c>
      <c r="I3403" t="s">
        <v>487</v>
      </c>
      <c r="J3403">
        <v>1621</v>
      </c>
    </row>
    <row r="3404" spans="1:10">
      <c r="A3404" s="90" t="s">
        <v>51</v>
      </c>
      <c r="B3404" s="87">
        <v>46052</v>
      </c>
      <c r="C3404" t="s">
        <v>4549</v>
      </c>
      <c r="D3404" t="s">
        <v>2688</v>
      </c>
      <c r="E3404" t="s">
        <v>1756</v>
      </c>
      <c r="F3404" t="s">
        <v>1014</v>
      </c>
      <c r="G3404" t="s">
        <v>67</v>
      </c>
      <c r="H3404" t="s">
        <v>470</v>
      </c>
      <c r="I3404" t="s">
        <v>796</v>
      </c>
      <c r="J3404">
        <v>32513.45</v>
      </c>
    </row>
    <row r="3405" spans="1:10">
      <c r="A3405" s="90" t="s">
        <v>51</v>
      </c>
      <c r="B3405" s="87">
        <v>46052</v>
      </c>
      <c r="C3405" t="s">
        <v>4549</v>
      </c>
      <c r="D3405" t="s">
        <v>2688</v>
      </c>
      <c r="E3405" t="s">
        <v>1756</v>
      </c>
      <c r="F3405" t="s">
        <v>1014</v>
      </c>
      <c r="G3405" t="s">
        <v>59</v>
      </c>
      <c r="H3405" t="s">
        <v>470</v>
      </c>
      <c r="I3405" t="s">
        <v>796</v>
      </c>
      <c r="J3405">
        <v>21393.46</v>
      </c>
    </row>
    <row r="3406" spans="1:10">
      <c r="A3406" s="90" t="s">
        <v>51</v>
      </c>
      <c r="B3406" s="87">
        <v>46052</v>
      </c>
      <c r="C3406" t="s">
        <v>3633</v>
      </c>
      <c r="D3406" t="s">
        <v>2688</v>
      </c>
      <c r="E3406" t="s">
        <v>1667</v>
      </c>
      <c r="F3406" t="s">
        <v>1093</v>
      </c>
      <c r="G3406" t="s">
        <v>180</v>
      </c>
      <c r="H3406" t="s">
        <v>2264</v>
      </c>
      <c r="I3406" t="s">
        <v>475</v>
      </c>
      <c r="J3406">
        <v>2223.46</v>
      </c>
    </row>
    <row r="3407" spans="1:10">
      <c r="A3407" s="90" t="s">
        <v>51</v>
      </c>
      <c r="B3407" s="87">
        <v>46052</v>
      </c>
      <c r="C3407" t="s">
        <v>517</v>
      </c>
      <c r="D3407" t="s">
        <v>2688</v>
      </c>
      <c r="E3407" t="s">
        <v>512</v>
      </c>
      <c r="F3407" t="s">
        <v>1093</v>
      </c>
      <c r="G3407" t="s">
        <v>474</v>
      </c>
      <c r="H3407" t="s">
        <v>470</v>
      </c>
      <c r="I3407" t="s">
        <v>475</v>
      </c>
      <c r="J3407">
        <v>646999.49</v>
      </c>
    </row>
    <row r="3408" spans="1:10">
      <c r="A3408" s="90" t="s">
        <v>51</v>
      </c>
      <c r="B3408" s="87">
        <v>46052</v>
      </c>
      <c r="C3408" t="s">
        <v>2347</v>
      </c>
      <c r="D3408" t="s">
        <v>2688</v>
      </c>
      <c r="E3408" t="s">
        <v>477</v>
      </c>
      <c r="F3408" t="s">
        <v>1093</v>
      </c>
      <c r="G3408" t="s">
        <v>68</v>
      </c>
      <c r="H3408" t="s">
        <v>470</v>
      </c>
      <c r="I3408" t="s">
        <v>471</v>
      </c>
      <c r="J3408">
        <v>16.45</v>
      </c>
    </row>
    <row r="3409" spans="1:10">
      <c r="A3409" s="90" t="s">
        <v>51</v>
      </c>
      <c r="B3409" s="87">
        <v>46052</v>
      </c>
      <c r="C3409" t="s">
        <v>2348</v>
      </c>
      <c r="D3409" t="s">
        <v>2688</v>
      </c>
      <c r="E3409" t="s">
        <v>477</v>
      </c>
      <c r="F3409" t="s">
        <v>1093</v>
      </c>
      <c r="G3409" t="s">
        <v>66</v>
      </c>
      <c r="H3409" t="s">
        <v>470</v>
      </c>
      <c r="I3409" t="s">
        <v>471</v>
      </c>
      <c r="J3409">
        <v>120.91</v>
      </c>
    </row>
    <row r="3410" spans="1:10">
      <c r="A3410" s="90" t="s">
        <v>51</v>
      </c>
      <c r="B3410" s="87">
        <v>46052</v>
      </c>
      <c r="C3410" t="s">
        <v>2347</v>
      </c>
      <c r="D3410" t="s">
        <v>2688</v>
      </c>
      <c r="E3410" t="s">
        <v>477</v>
      </c>
      <c r="F3410" t="s">
        <v>1093</v>
      </c>
      <c r="G3410" t="s">
        <v>68</v>
      </c>
      <c r="H3410" t="s">
        <v>470</v>
      </c>
      <c r="I3410" t="s">
        <v>471</v>
      </c>
      <c r="J3410">
        <v>531.67999999999995</v>
      </c>
    </row>
    <row r="3411" spans="1:10">
      <c r="A3411" s="90" t="s">
        <v>51</v>
      </c>
      <c r="B3411" s="87">
        <v>46052</v>
      </c>
      <c r="C3411" t="s">
        <v>2348</v>
      </c>
      <c r="D3411" t="s">
        <v>2688</v>
      </c>
      <c r="E3411" t="s">
        <v>477</v>
      </c>
      <c r="F3411" t="s">
        <v>1093</v>
      </c>
      <c r="G3411" t="s">
        <v>66</v>
      </c>
      <c r="H3411" t="s">
        <v>470</v>
      </c>
      <c r="I3411" t="s">
        <v>471</v>
      </c>
      <c r="J3411">
        <v>23.43</v>
      </c>
    </row>
    <row r="3412" spans="1:10">
      <c r="A3412" s="90" t="s">
        <v>51</v>
      </c>
      <c r="B3412" s="87">
        <v>46052</v>
      </c>
      <c r="C3412" t="s">
        <v>2347</v>
      </c>
      <c r="D3412" t="s">
        <v>2688</v>
      </c>
      <c r="E3412" t="s">
        <v>477</v>
      </c>
      <c r="F3412" t="s">
        <v>1093</v>
      </c>
      <c r="G3412" t="s">
        <v>68</v>
      </c>
      <c r="H3412" t="s">
        <v>470</v>
      </c>
      <c r="I3412" t="s">
        <v>471</v>
      </c>
      <c r="J3412">
        <v>4.09</v>
      </c>
    </row>
    <row r="3413" spans="1:10">
      <c r="A3413" s="90" t="s">
        <v>51</v>
      </c>
      <c r="B3413" s="87">
        <v>46052</v>
      </c>
      <c r="C3413" t="s">
        <v>2347</v>
      </c>
      <c r="D3413" t="s">
        <v>2688</v>
      </c>
      <c r="E3413" t="s">
        <v>1324</v>
      </c>
      <c r="F3413" t="s">
        <v>1093</v>
      </c>
      <c r="G3413" t="s">
        <v>68</v>
      </c>
      <c r="H3413" t="s">
        <v>470</v>
      </c>
      <c r="I3413" t="s">
        <v>471</v>
      </c>
      <c r="J3413">
        <v>5205.66</v>
      </c>
    </row>
    <row r="3414" spans="1:10">
      <c r="A3414" s="90" t="s">
        <v>51</v>
      </c>
      <c r="B3414" s="87">
        <v>46055</v>
      </c>
      <c r="C3414" t="s">
        <v>4550</v>
      </c>
      <c r="D3414" t="s">
        <v>2688</v>
      </c>
      <c r="E3414" t="s">
        <v>3664</v>
      </c>
      <c r="F3414" t="s">
        <v>389</v>
      </c>
      <c r="G3414" t="s">
        <v>2112</v>
      </c>
      <c r="H3414" t="s">
        <v>470</v>
      </c>
      <c r="I3414" t="s">
        <v>487</v>
      </c>
      <c r="J3414">
        <v>6143.61</v>
      </c>
    </row>
    <row r="3415" spans="1:10">
      <c r="A3415" s="90" t="s">
        <v>51</v>
      </c>
      <c r="B3415" s="87">
        <v>46055</v>
      </c>
      <c r="C3415" t="s">
        <v>4551</v>
      </c>
      <c r="D3415" t="s">
        <v>2688</v>
      </c>
      <c r="E3415" t="s">
        <v>3664</v>
      </c>
      <c r="F3415" t="s">
        <v>394</v>
      </c>
      <c r="G3415" t="s">
        <v>2112</v>
      </c>
      <c r="H3415" t="s">
        <v>470</v>
      </c>
      <c r="I3415" t="s">
        <v>487</v>
      </c>
      <c r="J3415">
        <v>101582.75</v>
      </c>
    </row>
    <row r="3416" spans="1:10">
      <c r="A3416" s="90" t="s">
        <v>51</v>
      </c>
      <c r="B3416" s="87">
        <v>46055</v>
      </c>
      <c r="C3416" t="s">
        <v>4552</v>
      </c>
      <c r="D3416" t="s">
        <v>2688</v>
      </c>
      <c r="E3416" t="s">
        <v>1667</v>
      </c>
      <c r="F3416" t="s">
        <v>1093</v>
      </c>
      <c r="G3416" t="s">
        <v>76</v>
      </c>
      <c r="H3416" t="s">
        <v>470</v>
      </c>
      <c r="I3416" t="s">
        <v>475</v>
      </c>
      <c r="J3416">
        <v>65</v>
      </c>
    </row>
    <row r="3417" spans="1:10">
      <c r="A3417" s="90" t="s">
        <v>51</v>
      </c>
      <c r="B3417" s="87">
        <v>46055</v>
      </c>
      <c r="C3417" t="s">
        <v>4552</v>
      </c>
      <c r="D3417" t="s">
        <v>2688</v>
      </c>
      <c r="E3417" t="s">
        <v>1667</v>
      </c>
      <c r="F3417" t="s">
        <v>1093</v>
      </c>
      <c r="G3417" t="s">
        <v>62</v>
      </c>
      <c r="H3417" t="s">
        <v>470</v>
      </c>
      <c r="I3417" t="s">
        <v>475</v>
      </c>
      <c r="J3417">
        <v>480</v>
      </c>
    </row>
    <row r="3418" spans="1:10">
      <c r="A3418" s="90" t="s">
        <v>51</v>
      </c>
      <c r="B3418" s="87">
        <v>46055</v>
      </c>
      <c r="C3418" t="s">
        <v>4553</v>
      </c>
      <c r="D3418" t="s">
        <v>2688</v>
      </c>
      <c r="E3418" t="s">
        <v>2262</v>
      </c>
      <c r="F3418" t="s">
        <v>4554</v>
      </c>
      <c r="G3418" t="s">
        <v>73</v>
      </c>
      <c r="H3418" t="s">
        <v>470</v>
      </c>
      <c r="I3418" t="s">
        <v>796</v>
      </c>
      <c r="J3418">
        <v>675.96</v>
      </c>
    </row>
    <row r="3419" spans="1:10">
      <c r="A3419" s="90" t="s">
        <v>51</v>
      </c>
      <c r="B3419" s="87">
        <v>46055</v>
      </c>
      <c r="C3419" t="s">
        <v>4357</v>
      </c>
      <c r="D3419" t="s">
        <v>2688</v>
      </c>
      <c r="E3419" t="s">
        <v>477</v>
      </c>
      <c r="F3419" t="s">
        <v>1121</v>
      </c>
      <c r="G3419" t="s">
        <v>66</v>
      </c>
      <c r="H3419" t="s">
        <v>470</v>
      </c>
      <c r="I3419" t="s">
        <v>471</v>
      </c>
      <c r="J3419">
        <v>15.58</v>
      </c>
    </row>
    <row r="3420" spans="1:10">
      <c r="A3420" s="90" t="s">
        <v>51</v>
      </c>
      <c r="B3420" s="87">
        <v>46057</v>
      </c>
      <c r="C3420" t="s">
        <v>4403</v>
      </c>
      <c r="D3420" t="s">
        <v>2688</v>
      </c>
      <c r="E3420" t="s">
        <v>1756</v>
      </c>
      <c r="F3420" t="s">
        <v>1093</v>
      </c>
      <c r="G3420" t="s">
        <v>67</v>
      </c>
      <c r="H3420" t="s">
        <v>470</v>
      </c>
      <c r="I3420" t="s">
        <v>796</v>
      </c>
      <c r="J3420">
        <v>392.37</v>
      </c>
    </row>
    <row r="3421" spans="1:10">
      <c r="A3421" s="90" t="s">
        <v>51</v>
      </c>
      <c r="B3421" s="87">
        <v>46058</v>
      </c>
      <c r="C3421" t="s">
        <v>2275</v>
      </c>
      <c r="D3421" t="s">
        <v>2688</v>
      </c>
      <c r="E3421" t="s">
        <v>477</v>
      </c>
      <c r="F3421" t="s">
        <v>1121</v>
      </c>
      <c r="G3421" t="s">
        <v>74</v>
      </c>
      <c r="H3421" t="s">
        <v>470</v>
      </c>
      <c r="I3421" t="s">
        <v>471</v>
      </c>
      <c r="J3421">
        <v>188.8</v>
      </c>
    </row>
    <row r="3422" spans="1:10">
      <c r="A3422" s="90" t="s">
        <v>51</v>
      </c>
      <c r="B3422" s="87">
        <v>46058</v>
      </c>
      <c r="C3422" t="s">
        <v>4555</v>
      </c>
      <c r="D3422" t="s">
        <v>2688</v>
      </c>
      <c r="E3422" t="s">
        <v>3949</v>
      </c>
      <c r="F3422" t="s">
        <v>4556</v>
      </c>
      <c r="G3422" t="s">
        <v>65</v>
      </c>
      <c r="H3422" t="s">
        <v>2264</v>
      </c>
      <c r="I3422" t="s">
        <v>796</v>
      </c>
      <c r="J3422">
        <v>179.9</v>
      </c>
    </row>
    <row r="3423" spans="1:10">
      <c r="A3423" s="90" t="s">
        <v>51</v>
      </c>
      <c r="B3423" s="87">
        <v>46059</v>
      </c>
      <c r="C3423" t="s">
        <v>4557</v>
      </c>
      <c r="D3423" t="s">
        <v>2688</v>
      </c>
      <c r="E3423" t="s">
        <v>3664</v>
      </c>
      <c r="F3423" t="s">
        <v>387</v>
      </c>
      <c r="G3423" t="s">
        <v>2494</v>
      </c>
      <c r="H3423" t="s">
        <v>470</v>
      </c>
      <c r="I3423" t="s">
        <v>796</v>
      </c>
      <c r="J3423">
        <v>3090</v>
      </c>
    </row>
    <row r="3424" spans="1:10">
      <c r="A3424" s="90" t="s">
        <v>51</v>
      </c>
      <c r="B3424" s="87">
        <v>46059</v>
      </c>
      <c r="C3424" t="s">
        <v>4558</v>
      </c>
      <c r="D3424" t="s">
        <v>2688</v>
      </c>
      <c r="E3424" t="s">
        <v>3664</v>
      </c>
      <c r="F3424" t="s">
        <v>389</v>
      </c>
      <c r="G3424" t="s">
        <v>2494</v>
      </c>
      <c r="H3424" t="s">
        <v>470</v>
      </c>
      <c r="I3424" t="s">
        <v>796</v>
      </c>
      <c r="J3424">
        <v>3090</v>
      </c>
    </row>
    <row r="3425" spans="1:10">
      <c r="A3425" s="90" t="s">
        <v>51</v>
      </c>
      <c r="B3425" s="87">
        <v>46059</v>
      </c>
      <c r="C3425" t="s">
        <v>4559</v>
      </c>
      <c r="D3425" t="s">
        <v>2688</v>
      </c>
      <c r="E3425" t="s">
        <v>3664</v>
      </c>
      <c r="F3425" t="s">
        <v>394</v>
      </c>
      <c r="G3425" t="s">
        <v>2494</v>
      </c>
      <c r="H3425" t="s">
        <v>470</v>
      </c>
      <c r="I3425" t="s">
        <v>796</v>
      </c>
      <c r="J3425">
        <v>3360.18</v>
      </c>
    </row>
    <row r="3426" spans="1:10">
      <c r="A3426" s="90" t="s">
        <v>51</v>
      </c>
      <c r="B3426" s="87">
        <v>46059</v>
      </c>
      <c r="C3426" t="s">
        <v>4560</v>
      </c>
      <c r="D3426" t="s">
        <v>2688</v>
      </c>
      <c r="E3426" t="s">
        <v>3660</v>
      </c>
      <c r="F3426" t="s">
        <v>381</v>
      </c>
      <c r="G3426" t="s">
        <v>2494</v>
      </c>
      <c r="H3426" t="s">
        <v>470</v>
      </c>
      <c r="I3426" t="s">
        <v>796</v>
      </c>
      <c r="J3426">
        <v>3090</v>
      </c>
    </row>
    <row r="3427" spans="1:10">
      <c r="A3427" s="90" t="s">
        <v>51</v>
      </c>
      <c r="B3427" s="87">
        <v>46059</v>
      </c>
      <c r="C3427" t="s">
        <v>4561</v>
      </c>
      <c r="D3427" t="s">
        <v>2688</v>
      </c>
      <c r="E3427" t="s">
        <v>3660</v>
      </c>
      <c r="F3427" t="s">
        <v>392</v>
      </c>
      <c r="G3427" t="s">
        <v>2494</v>
      </c>
      <c r="H3427" t="s">
        <v>470</v>
      </c>
      <c r="I3427" t="s">
        <v>796</v>
      </c>
      <c r="J3427">
        <v>5781.12</v>
      </c>
    </row>
    <row r="3428" spans="1:10">
      <c r="A3428" s="90" t="s">
        <v>51</v>
      </c>
      <c r="B3428" s="87">
        <v>46059</v>
      </c>
      <c r="C3428" t="s">
        <v>4562</v>
      </c>
      <c r="D3428" t="s">
        <v>2688</v>
      </c>
      <c r="E3428" t="s">
        <v>4537</v>
      </c>
      <c r="F3428" t="s">
        <v>383</v>
      </c>
      <c r="G3428" t="s">
        <v>2494</v>
      </c>
      <c r="H3428" t="s">
        <v>470</v>
      </c>
      <c r="I3428" t="s">
        <v>796</v>
      </c>
      <c r="J3428">
        <v>6180</v>
      </c>
    </row>
    <row r="3429" spans="1:10">
      <c r="A3429" s="90" t="s">
        <v>51</v>
      </c>
      <c r="B3429" s="87">
        <v>46059</v>
      </c>
      <c r="C3429" t="s">
        <v>4563</v>
      </c>
      <c r="D3429" t="s">
        <v>2688</v>
      </c>
      <c r="E3429" t="s">
        <v>1693</v>
      </c>
      <c r="F3429" t="s">
        <v>385</v>
      </c>
      <c r="G3429" t="s">
        <v>2494</v>
      </c>
      <c r="H3429" t="s">
        <v>470</v>
      </c>
      <c r="I3429" t="s">
        <v>796</v>
      </c>
      <c r="J3429">
        <v>17337.72</v>
      </c>
    </row>
    <row r="3430" spans="1:10">
      <c r="A3430" s="90" t="s">
        <v>51</v>
      </c>
      <c r="B3430" s="87">
        <v>46059</v>
      </c>
      <c r="C3430" t="s">
        <v>4564</v>
      </c>
      <c r="D3430" t="s">
        <v>2688</v>
      </c>
      <c r="E3430" t="s">
        <v>4537</v>
      </c>
      <c r="F3430" t="s">
        <v>390</v>
      </c>
      <c r="G3430" t="s">
        <v>2494</v>
      </c>
      <c r="H3430" t="s">
        <v>470</v>
      </c>
      <c r="I3430" t="s">
        <v>796</v>
      </c>
      <c r="J3430">
        <v>3089.66</v>
      </c>
    </row>
    <row r="3431" spans="1:10">
      <c r="A3431" s="90" t="s">
        <v>51</v>
      </c>
      <c r="B3431" s="87">
        <v>46059</v>
      </c>
      <c r="C3431" t="s">
        <v>2454</v>
      </c>
      <c r="D3431" t="s">
        <v>2688</v>
      </c>
      <c r="E3431" t="s">
        <v>1667</v>
      </c>
      <c r="F3431" t="s">
        <v>1121</v>
      </c>
      <c r="G3431" t="s">
        <v>71</v>
      </c>
      <c r="H3431" t="s">
        <v>470</v>
      </c>
      <c r="I3431" t="s">
        <v>475</v>
      </c>
      <c r="J3431">
        <v>13000</v>
      </c>
    </row>
    <row r="3432" spans="1:10">
      <c r="A3432" s="90" t="s">
        <v>51</v>
      </c>
      <c r="B3432" s="87">
        <v>46059</v>
      </c>
      <c r="C3432" t="s">
        <v>511</v>
      </c>
      <c r="D3432" t="s">
        <v>2688</v>
      </c>
      <c r="E3432" t="s">
        <v>512</v>
      </c>
      <c r="F3432" t="s">
        <v>1121</v>
      </c>
      <c r="G3432" t="s">
        <v>474</v>
      </c>
      <c r="H3432" t="s">
        <v>470</v>
      </c>
      <c r="I3432" t="s">
        <v>475</v>
      </c>
      <c r="J3432">
        <v>58018.68</v>
      </c>
    </row>
    <row r="3433" spans="1:10">
      <c r="A3433" s="90" t="s">
        <v>51</v>
      </c>
      <c r="B3433" s="87">
        <v>46062</v>
      </c>
      <c r="C3433" t="s">
        <v>3961</v>
      </c>
      <c r="D3433" t="s">
        <v>2688</v>
      </c>
      <c r="E3433" t="s">
        <v>3962</v>
      </c>
      <c r="F3433" t="s">
        <v>4565</v>
      </c>
      <c r="G3433" t="s">
        <v>63</v>
      </c>
      <c r="H3433" t="s">
        <v>2264</v>
      </c>
      <c r="I3433" t="s">
        <v>475</v>
      </c>
      <c r="J3433">
        <v>98</v>
      </c>
    </row>
    <row r="3434" spans="1:10">
      <c r="A3434" s="90" t="s">
        <v>51</v>
      </c>
      <c r="B3434" s="87">
        <v>46062</v>
      </c>
      <c r="C3434" t="s">
        <v>3961</v>
      </c>
      <c r="D3434" t="s">
        <v>2688</v>
      </c>
      <c r="E3434" t="s">
        <v>3962</v>
      </c>
      <c r="F3434" t="s">
        <v>4566</v>
      </c>
      <c r="G3434" t="s">
        <v>63</v>
      </c>
      <c r="H3434" t="s">
        <v>2351</v>
      </c>
      <c r="I3434" t="s">
        <v>475</v>
      </c>
      <c r="J3434">
        <v>98</v>
      </c>
    </row>
    <row r="3435" spans="1:10">
      <c r="A3435" s="90" t="s">
        <v>51</v>
      </c>
      <c r="B3435" s="87">
        <v>46063</v>
      </c>
      <c r="C3435" t="s">
        <v>4567</v>
      </c>
      <c r="D3435" t="s">
        <v>2688</v>
      </c>
      <c r="E3435" t="s">
        <v>2702</v>
      </c>
      <c r="F3435" t="s">
        <v>4568</v>
      </c>
      <c r="G3435" t="s">
        <v>63</v>
      </c>
      <c r="H3435" t="s">
        <v>470</v>
      </c>
      <c r="I3435" t="s">
        <v>796</v>
      </c>
      <c r="J3435">
        <v>125</v>
      </c>
    </row>
    <row r="3436" spans="1:10">
      <c r="A3436" s="90" t="s">
        <v>51</v>
      </c>
      <c r="B3436" s="87">
        <v>46063</v>
      </c>
      <c r="C3436" t="s">
        <v>4222</v>
      </c>
      <c r="D3436" t="s">
        <v>2688</v>
      </c>
      <c r="E3436" t="s">
        <v>477</v>
      </c>
      <c r="F3436" t="s">
        <v>1449</v>
      </c>
      <c r="G3436" t="s">
        <v>69</v>
      </c>
      <c r="H3436" t="s">
        <v>470</v>
      </c>
      <c r="I3436" t="s">
        <v>471</v>
      </c>
      <c r="J3436">
        <v>191.7</v>
      </c>
    </row>
    <row r="3437" spans="1:10">
      <c r="A3437" s="90" t="s">
        <v>51</v>
      </c>
      <c r="B3437" s="87">
        <v>46063</v>
      </c>
      <c r="C3437" t="s">
        <v>2275</v>
      </c>
      <c r="D3437" t="s">
        <v>2688</v>
      </c>
      <c r="E3437" t="s">
        <v>477</v>
      </c>
      <c r="F3437" t="s">
        <v>1121</v>
      </c>
      <c r="G3437" t="s">
        <v>74</v>
      </c>
      <c r="H3437" t="s">
        <v>470</v>
      </c>
      <c r="I3437" t="s">
        <v>471</v>
      </c>
      <c r="J3437">
        <v>95</v>
      </c>
    </row>
    <row r="3438" spans="1:10">
      <c r="A3438" s="90" t="s">
        <v>51</v>
      </c>
      <c r="B3438" s="87">
        <v>46063</v>
      </c>
      <c r="C3438" t="s">
        <v>2295</v>
      </c>
      <c r="D3438" t="s">
        <v>2688</v>
      </c>
      <c r="E3438" t="s">
        <v>477</v>
      </c>
      <c r="F3438" t="s">
        <v>1121</v>
      </c>
      <c r="G3438" t="s">
        <v>2295</v>
      </c>
      <c r="H3438" t="s">
        <v>470</v>
      </c>
      <c r="I3438" t="s">
        <v>471</v>
      </c>
      <c r="J3438">
        <v>672.19</v>
      </c>
    </row>
    <row r="3439" spans="1:10">
      <c r="A3439" s="90" t="s">
        <v>51</v>
      </c>
      <c r="B3439" s="87">
        <v>46071</v>
      </c>
      <c r="C3439" t="s">
        <v>4569</v>
      </c>
      <c r="D3439" t="s">
        <v>2688</v>
      </c>
      <c r="E3439" t="s">
        <v>477</v>
      </c>
      <c r="F3439" t="s">
        <v>3954</v>
      </c>
      <c r="G3439" t="s">
        <v>515</v>
      </c>
      <c r="H3439" t="s">
        <v>4570</v>
      </c>
      <c r="I3439" t="s">
        <v>471</v>
      </c>
      <c r="J3439">
        <v>54166.67</v>
      </c>
    </row>
    <row r="3440" spans="1:10">
      <c r="A3440" s="90" t="s">
        <v>51</v>
      </c>
      <c r="B3440" s="87">
        <v>46071</v>
      </c>
      <c r="C3440" t="s">
        <v>4569</v>
      </c>
      <c r="D3440" t="s">
        <v>2688</v>
      </c>
      <c r="E3440" t="s">
        <v>477</v>
      </c>
      <c r="F3440" t="s">
        <v>3954</v>
      </c>
      <c r="G3440" t="s">
        <v>69</v>
      </c>
      <c r="H3440" t="s">
        <v>4570</v>
      </c>
      <c r="I3440" t="s">
        <v>471</v>
      </c>
      <c r="J3440">
        <v>744.35</v>
      </c>
    </row>
    <row r="3441" spans="1:10">
      <c r="A3441" s="90" t="s">
        <v>51</v>
      </c>
      <c r="B3441" s="87">
        <v>46072</v>
      </c>
      <c r="C3441" t="s">
        <v>3777</v>
      </c>
      <c r="D3441" t="s">
        <v>2688</v>
      </c>
      <c r="E3441" t="s">
        <v>3107</v>
      </c>
      <c r="F3441" t="s">
        <v>1121</v>
      </c>
      <c r="G3441" t="s">
        <v>60</v>
      </c>
      <c r="H3441" t="s">
        <v>2351</v>
      </c>
      <c r="I3441" t="s">
        <v>796</v>
      </c>
      <c r="J3441">
        <v>104.6</v>
      </c>
    </row>
    <row r="3442" spans="1:10">
      <c r="A3442" s="90" t="s">
        <v>51</v>
      </c>
      <c r="B3442" s="87">
        <v>46073</v>
      </c>
      <c r="C3442" t="s">
        <v>4571</v>
      </c>
      <c r="D3442" t="s">
        <v>2688</v>
      </c>
      <c r="E3442" t="s">
        <v>2300</v>
      </c>
      <c r="F3442" t="s">
        <v>1121</v>
      </c>
      <c r="G3442" t="s">
        <v>70</v>
      </c>
      <c r="H3442" t="s">
        <v>470</v>
      </c>
      <c r="I3442" t="s">
        <v>796</v>
      </c>
      <c r="J3442">
        <v>199.66</v>
      </c>
    </row>
    <row r="3443" spans="1:10">
      <c r="A3443" s="90" t="s">
        <v>51</v>
      </c>
      <c r="B3443" s="87">
        <v>46073</v>
      </c>
      <c r="C3443" t="s">
        <v>4541</v>
      </c>
      <c r="D3443" t="s">
        <v>2688</v>
      </c>
      <c r="E3443" t="s">
        <v>2318</v>
      </c>
      <c r="F3443" t="s">
        <v>1093</v>
      </c>
      <c r="G3443" t="s">
        <v>64</v>
      </c>
      <c r="H3443" t="s">
        <v>2248</v>
      </c>
      <c r="I3443" t="s">
        <v>796</v>
      </c>
      <c r="J3443">
        <v>806</v>
      </c>
    </row>
    <row r="3444" spans="1:10">
      <c r="A3444" s="90" t="s">
        <v>51</v>
      </c>
      <c r="B3444" s="87">
        <v>46073</v>
      </c>
      <c r="C3444" t="s">
        <v>4572</v>
      </c>
      <c r="D3444" t="s">
        <v>2688</v>
      </c>
      <c r="E3444" t="s">
        <v>3664</v>
      </c>
      <c r="F3444" t="s">
        <v>387</v>
      </c>
      <c r="G3444" t="s">
        <v>2381</v>
      </c>
      <c r="H3444" t="s">
        <v>470</v>
      </c>
      <c r="I3444" t="s">
        <v>796</v>
      </c>
      <c r="J3444">
        <v>206.6</v>
      </c>
    </row>
    <row r="3445" spans="1:10">
      <c r="A3445" s="90" t="s">
        <v>51</v>
      </c>
      <c r="B3445" s="87">
        <v>46073</v>
      </c>
      <c r="C3445" t="s">
        <v>4572</v>
      </c>
      <c r="D3445" t="s">
        <v>2688</v>
      </c>
      <c r="E3445" t="s">
        <v>3664</v>
      </c>
      <c r="F3445" t="s">
        <v>387</v>
      </c>
      <c r="G3445" t="s">
        <v>2381</v>
      </c>
      <c r="H3445" t="s">
        <v>470</v>
      </c>
      <c r="I3445" t="s">
        <v>796</v>
      </c>
      <c r="J3445">
        <v>210.33</v>
      </c>
    </row>
    <row r="3446" spans="1:10">
      <c r="A3446" s="90" t="s">
        <v>51</v>
      </c>
      <c r="B3446" s="87">
        <v>46073</v>
      </c>
      <c r="C3446" t="s">
        <v>4572</v>
      </c>
      <c r="D3446" t="s">
        <v>2688</v>
      </c>
      <c r="E3446" t="s">
        <v>3664</v>
      </c>
      <c r="F3446" t="s">
        <v>387</v>
      </c>
      <c r="G3446" t="s">
        <v>2381</v>
      </c>
      <c r="H3446" t="s">
        <v>470</v>
      </c>
      <c r="I3446" t="s">
        <v>796</v>
      </c>
      <c r="J3446">
        <v>196.6</v>
      </c>
    </row>
    <row r="3447" spans="1:10">
      <c r="A3447" s="90" t="s">
        <v>51</v>
      </c>
      <c r="B3447" s="87">
        <v>46073</v>
      </c>
      <c r="C3447" t="s">
        <v>4573</v>
      </c>
      <c r="D3447" t="s">
        <v>2688</v>
      </c>
      <c r="E3447" t="s">
        <v>1693</v>
      </c>
      <c r="F3447" t="s">
        <v>385</v>
      </c>
      <c r="G3447" t="s">
        <v>2381</v>
      </c>
      <c r="H3447" t="s">
        <v>470</v>
      </c>
      <c r="I3447" t="s">
        <v>796</v>
      </c>
      <c r="J3447">
        <v>878.1</v>
      </c>
    </row>
    <row r="3448" spans="1:10">
      <c r="A3448" s="90" t="s">
        <v>51</v>
      </c>
      <c r="B3448" s="87">
        <v>46073</v>
      </c>
      <c r="C3448" t="s">
        <v>4574</v>
      </c>
      <c r="D3448" t="s">
        <v>2688</v>
      </c>
      <c r="E3448" t="s">
        <v>4537</v>
      </c>
      <c r="F3448" t="s">
        <v>383</v>
      </c>
      <c r="G3448" t="s">
        <v>2381</v>
      </c>
      <c r="H3448" t="s">
        <v>470</v>
      </c>
      <c r="I3448" t="s">
        <v>796</v>
      </c>
      <c r="J3448">
        <v>413.2</v>
      </c>
    </row>
    <row r="3449" spans="1:10">
      <c r="A3449" s="90" t="s">
        <v>51</v>
      </c>
      <c r="B3449" s="87">
        <v>46073</v>
      </c>
      <c r="C3449" t="s">
        <v>4574</v>
      </c>
      <c r="D3449" t="s">
        <v>2688</v>
      </c>
      <c r="E3449" t="s">
        <v>4537</v>
      </c>
      <c r="F3449" t="s">
        <v>383</v>
      </c>
      <c r="G3449" t="s">
        <v>2381</v>
      </c>
      <c r="H3449" t="s">
        <v>470</v>
      </c>
      <c r="I3449" t="s">
        <v>796</v>
      </c>
      <c r="J3449">
        <v>208.6</v>
      </c>
    </row>
    <row r="3450" spans="1:10">
      <c r="A3450" s="90" t="s">
        <v>51</v>
      </c>
      <c r="B3450" s="87">
        <v>46073</v>
      </c>
      <c r="C3450" t="s">
        <v>4575</v>
      </c>
      <c r="D3450" t="s">
        <v>2688</v>
      </c>
      <c r="E3450" t="s">
        <v>3660</v>
      </c>
      <c r="F3450" t="s">
        <v>392</v>
      </c>
      <c r="G3450" t="s">
        <v>2381</v>
      </c>
      <c r="H3450" t="s">
        <v>470</v>
      </c>
      <c r="I3450" t="s">
        <v>796</v>
      </c>
      <c r="J3450">
        <v>374.2</v>
      </c>
    </row>
    <row r="3451" spans="1:10">
      <c r="A3451" s="90" t="s">
        <v>51</v>
      </c>
      <c r="B3451" s="87">
        <v>46073</v>
      </c>
      <c r="C3451" t="s">
        <v>4575</v>
      </c>
      <c r="D3451" t="s">
        <v>2688</v>
      </c>
      <c r="E3451" t="s">
        <v>3660</v>
      </c>
      <c r="F3451" t="s">
        <v>392</v>
      </c>
      <c r="G3451" t="s">
        <v>2381</v>
      </c>
      <c r="H3451" t="s">
        <v>470</v>
      </c>
      <c r="I3451" t="s">
        <v>796</v>
      </c>
      <c r="J3451">
        <v>208.59</v>
      </c>
    </row>
    <row r="3452" spans="1:10">
      <c r="A3452" s="90" t="s">
        <v>51</v>
      </c>
      <c r="B3452" s="87">
        <v>46080</v>
      </c>
      <c r="C3452" t="s">
        <v>4576</v>
      </c>
      <c r="D3452" t="s">
        <v>2688</v>
      </c>
      <c r="E3452" t="s">
        <v>1137</v>
      </c>
      <c r="F3452" t="s">
        <v>4577</v>
      </c>
      <c r="G3452" t="s">
        <v>61</v>
      </c>
      <c r="H3452" t="s">
        <v>2351</v>
      </c>
      <c r="I3452" t="s">
        <v>487</v>
      </c>
      <c r="J3452">
        <v>1621</v>
      </c>
    </row>
    <row r="3453" spans="1:10">
      <c r="A3453" s="90" t="s">
        <v>51</v>
      </c>
      <c r="B3453" s="87">
        <v>46080</v>
      </c>
      <c r="C3453" t="s">
        <v>2336</v>
      </c>
      <c r="D3453" t="s">
        <v>2688</v>
      </c>
      <c r="E3453" t="s">
        <v>1667</v>
      </c>
      <c r="F3453" t="s">
        <v>1121</v>
      </c>
      <c r="G3453" t="s">
        <v>71</v>
      </c>
      <c r="H3453" t="s">
        <v>470</v>
      </c>
      <c r="I3453" t="s">
        <v>487</v>
      </c>
      <c r="J3453">
        <v>2314</v>
      </c>
    </row>
    <row r="3454" spans="1:10">
      <c r="A3454" s="90" t="s">
        <v>51</v>
      </c>
      <c r="B3454" s="87">
        <v>46080</v>
      </c>
      <c r="C3454" t="s">
        <v>2348</v>
      </c>
      <c r="D3454" t="s">
        <v>2688</v>
      </c>
      <c r="E3454" t="s">
        <v>477</v>
      </c>
      <c r="F3454" t="s">
        <v>1121</v>
      </c>
      <c r="G3454" t="s">
        <v>66</v>
      </c>
      <c r="H3454" t="s">
        <v>470</v>
      </c>
      <c r="I3454" t="s">
        <v>471</v>
      </c>
      <c r="J3454">
        <v>36.86</v>
      </c>
    </row>
    <row r="3455" spans="1:10">
      <c r="A3455" s="90" t="s">
        <v>51</v>
      </c>
      <c r="B3455" s="87">
        <v>46080</v>
      </c>
      <c r="C3455" t="s">
        <v>2347</v>
      </c>
      <c r="D3455" t="s">
        <v>2688</v>
      </c>
      <c r="E3455" t="s">
        <v>477</v>
      </c>
      <c r="F3455" t="s">
        <v>1121</v>
      </c>
      <c r="G3455" t="s">
        <v>67</v>
      </c>
      <c r="H3455" t="s">
        <v>470</v>
      </c>
      <c r="I3455" t="s">
        <v>471</v>
      </c>
      <c r="J3455">
        <v>6.74</v>
      </c>
    </row>
    <row r="3456" spans="1:10">
      <c r="A3456" s="90" t="s">
        <v>51</v>
      </c>
      <c r="B3456" s="87">
        <v>46083</v>
      </c>
      <c r="C3456" t="s">
        <v>3633</v>
      </c>
      <c r="D3456" t="s">
        <v>2688</v>
      </c>
      <c r="E3456" t="s">
        <v>1667</v>
      </c>
      <c r="F3456" t="s">
        <v>1121</v>
      </c>
      <c r="G3456" t="s">
        <v>180</v>
      </c>
      <c r="H3456" t="s">
        <v>470</v>
      </c>
      <c r="I3456" t="s">
        <v>475</v>
      </c>
      <c r="J3456">
        <v>2214.62</v>
      </c>
    </row>
    <row r="3457" spans="1:10">
      <c r="A3457" s="90" t="s">
        <v>51</v>
      </c>
      <c r="B3457" s="87">
        <v>46083</v>
      </c>
      <c r="C3457" t="s">
        <v>4578</v>
      </c>
      <c r="D3457" t="s">
        <v>2688</v>
      </c>
      <c r="E3457" t="s">
        <v>2262</v>
      </c>
      <c r="F3457" t="s">
        <v>4579</v>
      </c>
      <c r="G3457" t="s">
        <v>73</v>
      </c>
      <c r="H3457" t="s">
        <v>2409</v>
      </c>
      <c r="I3457" t="s">
        <v>471</v>
      </c>
      <c r="J3457">
        <v>675.96</v>
      </c>
    </row>
    <row r="3458" spans="1:10">
      <c r="A3458" s="90" t="s">
        <v>51</v>
      </c>
      <c r="B3458" s="87">
        <v>46083</v>
      </c>
      <c r="C3458" t="s">
        <v>4357</v>
      </c>
      <c r="D3458" t="s">
        <v>2688</v>
      </c>
      <c r="E3458" t="s">
        <v>477</v>
      </c>
      <c r="F3458" t="s">
        <v>1449</v>
      </c>
      <c r="G3458" t="s">
        <v>66</v>
      </c>
      <c r="H3458" t="s">
        <v>470</v>
      </c>
      <c r="I3458" t="s">
        <v>471</v>
      </c>
      <c r="J3458">
        <v>14.08</v>
      </c>
    </row>
    <row r="3459" spans="1:10">
      <c r="A3459" s="90" t="s">
        <v>51</v>
      </c>
      <c r="B3459" s="87">
        <v>46083</v>
      </c>
      <c r="C3459" t="s">
        <v>511</v>
      </c>
      <c r="D3459" t="s">
        <v>2688</v>
      </c>
      <c r="E3459" t="s">
        <v>512</v>
      </c>
      <c r="F3459" t="s">
        <v>1186</v>
      </c>
      <c r="G3459" t="s">
        <v>474</v>
      </c>
      <c r="H3459" t="s">
        <v>470</v>
      </c>
      <c r="I3459" t="s">
        <v>475</v>
      </c>
      <c r="J3459">
        <v>2904.66</v>
      </c>
    </row>
    <row r="3460" spans="1:10">
      <c r="A3460" s="90" t="s">
        <v>51</v>
      </c>
      <c r="B3460" s="87">
        <v>46085</v>
      </c>
      <c r="C3460" t="s">
        <v>517</v>
      </c>
      <c r="D3460" t="s">
        <v>2688</v>
      </c>
      <c r="E3460" t="s">
        <v>512</v>
      </c>
      <c r="F3460" t="s">
        <v>1186</v>
      </c>
      <c r="G3460" t="s">
        <v>474</v>
      </c>
      <c r="H3460" t="s">
        <v>470</v>
      </c>
      <c r="I3460" t="s">
        <v>475</v>
      </c>
      <c r="J3460">
        <v>87302.61</v>
      </c>
    </row>
    <row r="3461" spans="1:10">
      <c r="A3461" s="90" t="s">
        <v>51</v>
      </c>
      <c r="B3461" s="87">
        <v>46086</v>
      </c>
      <c r="C3461" t="s">
        <v>4580</v>
      </c>
      <c r="D3461" t="s">
        <v>2688</v>
      </c>
      <c r="E3461" t="s">
        <v>2247</v>
      </c>
      <c r="F3461" t="s">
        <v>4000</v>
      </c>
      <c r="G3461" t="s">
        <v>71</v>
      </c>
      <c r="H3461" t="s">
        <v>470</v>
      </c>
      <c r="I3461" t="s">
        <v>487</v>
      </c>
      <c r="J3461">
        <v>20000</v>
      </c>
    </row>
    <row r="3462" spans="1:10">
      <c r="A3462" s="90" t="s">
        <v>51</v>
      </c>
      <c r="B3462" s="87">
        <v>46086</v>
      </c>
      <c r="C3462" t="s">
        <v>4581</v>
      </c>
      <c r="D3462" t="s">
        <v>2688</v>
      </c>
      <c r="E3462" t="s">
        <v>3949</v>
      </c>
      <c r="F3462" t="s">
        <v>1121</v>
      </c>
      <c r="G3462" t="s">
        <v>65</v>
      </c>
      <c r="H3462" t="s">
        <v>2351</v>
      </c>
      <c r="I3462" t="s">
        <v>796</v>
      </c>
      <c r="J3462">
        <v>179.9</v>
      </c>
    </row>
    <row r="3463" spans="1:10">
      <c r="A3463" s="90" t="s">
        <v>51</v>
      </c>
      <c r="B3463" s="87">
        <v>46086</v>
      </c>
      <c r="C3463" t="s">
        <v>2275</v>
      </c>
      <c r="D3463" t="s">
        <v>2688</v>
      </c>
      <c r="E3463" t="s">
        <v>477</v>
      </c>
      <c r="F3463" t="s">
        <v>1186</v>
      </c>
      <c r="G3463" t="s">
        <v>74</v>
      </c>
      <c r="H3463" t="s">
        <v>470</v>
      </c>
      <c r="I3463" t="s">
        <v>471</v>
      </c>
      <c r="J3463">
        <v>188.8</v>
      </c>
    </row>
    <row r="3464" spans="1:10">
      <c r="A3464" s="90" t="s">
        <v>51</v>
      </c>
      <c r="B3464" s="87">
        <v>46086</v>
      </c>
      <c r="C3464" t="s">
        <v>511</v>
      </c>
      <c r="D3464" t="s">
        <v>2688</v>
      </c>
      <c r="E3464" t="s">
        <v>512</v>
      </c>
      <c r="F3464" t="s">
        <v>1186</v>
      </c>
      <c r="G3464" t="s">
        <v>474</v>
      </c>
      <c r="H3464" t="s">
        <v>470</v>
      </c>
      <c r="I3464" t="s">
        <v>475</v>
      </c>
      <c r="J3464">
        <v>20368.7</v>
      </c>
    </row>
    <row r="3465" spans="1:10">
      <c r="A3465" s="90" t="s">
        <v>51</v>
      </c>
      <c r="B3465" s="87">
        <v>46087</v>
      </c>
      <c r="C3465" t="s">
        <v>4563</v>
      </c>
      <c r="D3465" t="s">
        <v>2688</v>
      </c>
      <c r="E3465" t="s">
        <v>1693</v>
      </c>
      <c r="F3465" t="s">
        <v>385</v>
      </c>
      <c r="G3465" t="s">
        <v>2494</v>
      </c>
      <c r="H3465" t="s">
        <v>470</v>
      </c>
      <c r="I3465" t="s">
        <v>796</v>
      </c>
      <c r="J3465">
        <v>100479.88</v>
      </c>
    </row>
    <row r="3466" spans="1:10">
      <c r="A3466" s="90" t="s">
        <v>51</v>
      </c>
      <c r="B3466" s="87">
        <v>46087</v>
      </c>
      <c r="C3466" t="s">
        <v>4563</v>
      </c>
      <c r="D3466" t="s">
        <v>2688</v>
      </c>
      <c r="E3466" t="s">
        <v>1693</v>
      </c>
      <c r="F3466" t="s">
        <v>385</v>
      </c>
      <c r="G3466" t="s">
        <v>2494</v>
      </c>
      <c r="H3466" t="s">
        <v>470</v>
      </c>
      <c r="I3466" t="s">
        <v>796</v>
      </c>
      <c r="J3466">
        <v>3064.1</v>
      </c>
    </row>
    <row r="3467" spans="1:10">
      <c r="A3467" s="90" t="s">
        <v>51</v>
      </c>
      <c r="B3467" s="87">
        <v>46087</v>
      </c>
      <c r="C3467" t="s">
        <v>4582</v>
      </c>
      <c r="D3467" t="s">
        <v>2688</v>
      </c>
      <c r="E3467" t="s">
        <v>1693</v>
      </c>
      <c r="F3467" t="s">
        <v>385</v>
      </c>
      <c r="G3467" t="s">
        <v>2494</v>
      </c>
      <c r="H3467" t="s">
        <v>470</v>
      </c>
      <c r="I3467" t="s">
        <v>796</v>
      </c>
      <c r="J3467">
        <v>5777.82</v>
      </c>
    </row>
    <row r="3468" spans="1:10">
      <c r="A3468" s="90" t="s">
        <v>51</v>
      </c>
      <c r="B3468" s="87">
        <v>46087</v>
      </c>
      <c r="C3468" t="s">
        <v>4582</v>
      </c>
      <c r="D3468" t="s">
        <v>2688</v>
      </c>
      <c r="E3468" t="s">
        <v>1693</v>
      </c>
      <c r="F3468" t="s">
        <v>385</v>
      </c>
      <c r="G3468" t="s">
        <v>2494</v>
      </c>
      <c r="H3468" t="s">
        <v>470</v>
      </c>
      <c r="I3468" t="s">
        <v>796</v>
      </c>
      <c r="J3468">
        <v>175.96</v>
      </c>
    </row>
    <row r="3469" spans="1:10">
      <c r="A3469" s="90" t="s">
        <v>51</v>
      </c>
      <c r="B3469" s="87">
        <v>46087</v>
      </c>
      <c r="C3469" t="s">
        <v>4535</v>
      </c>
      <c r="D3469" t="s">
        <v>2688</v>
      </c>
      <c r="E3469" t="s">
        <v>4041</v>
      </c>
      <c r="F3469" t="s">
        <v>1186</v>
      </c>
      <c r="G3469" t="s">
        <v>71</v>
      </c>
      <c r="H3469" t="s">
        <v>470</v>
      </c>
      <c r="I3469" t="s">
        <v>482</v>
      </c>
      <c r="J3469">
        <v>2000</v>
      </c>
    </row>
    <row r="3470" spans="1:10">
      <c r="A3470" s="90" t="s">
        <v>51</v>
      </c>
      <c r="B3470" s="87">
        <v>46087</v>
      </c>
      <c r="C3470" t="s">
        <v>511</v>
      </c>
      <c r="D3470" t="s">
        <v>2688</v>
      </c>
      <c r="E3470" t="s">
        <v>512</v>
      </c>
      <c r="F3470" t="s">
        <v>1186</v>
      </c>
      <c r="G3470" t="s">
        <v>474</v>
      </c>
      <c r="H3470" t="s">
        <v>470</v>
      </c>
      <c r="I3470" t="s">
        <v>475</v>
      </c>
      <c r="J3470">
        <v>111497.76</v>
      </c>
    </row>
    <row r="3471" spans="1:10">
      <c r="A3471" s="90" t="s">
        <v>51</v>
      </c>
      <c r="B3471" s="87">
        <v>46090</v>
      </c>
      <c r="C3471" t="s">
        <v>4580</v>
      </c>
      <c r="D3471" t="s">
        <v>2688</v>
      </c>
      <c r="E3471" t="s">
        <v>2247</v>
      </c>
      <c r="F3471" t="s">
        <v>4000</v>
      </c>
      <c r="G3471" t="s">
        <v>71</v>
      </c>
      <c r="H3471" t="s">
        <v>470</v>
      </c>
      <c r="I3471" t="s">
        <v>487</v>
      </c>
      <c r="J3471">
        <v>5000</v>
      </c>
    </row>
    <row r="3472" spans="1:10">
      <c r="A3472" s="90" t="s">
        <v>51</v>
      </c>
      <c r="B3472" s="87">
        <v>46090</v>
      </c>
      <c r="C3472" t="s">
        <v>511</v>
      </c>
      <c r="D3472" t="s">
        <v>2688</v>
      </c>
      <c r="E3472" t="s">
        <v>512</v>
      </c>
      <c r="F3472" t="s">
        <v>1186</v>
      </c>
      <c r="G3472" t="s">
        <v>474</v>
      </c>
      <c r="H3472" t="s">
        <v>470</v>
      </c>
      <c r="I3472" t="s">
        <v>475</v>
      </c>
      <c r="J3472">
        <v>5000</v>
      </c>
    </row>
    <row r="3473" spans="1:10">
      <c r="A3473" s="90" t="s">
        <v>51</v>
      </c>
      <c r="B3473" s="87">
        <v>46091</v>
      </c>
      <c r="C3473" t="s">
        <v>4580</v>
      </c>
      <c r="D3473" t="s">
        <v>2688</v>
      </c>
      <c r="E3473" t="s">
        <v>2247</v>
      </c>
      <c r="F3473" t="s">
        <v>4000</v>
      </c>
      <c r="G3473" t="s">
        <v>71</v>
      </c>
      <c r="H3473" t="s">
        <v>470</v>
      </c>
      <c r="I3473" t="s">
        <v>487</v>
      </c>
      <c r="J3473">
        <v>11000</v>
      </c>
    </row>
    <row r="3474" spans="1:10">
      <c r="A3474" s="90" t="s">
        <v>51</v>
      </c>
      <c r="B3474" s="87">
        <v>46091</v>
      </c>
      <c r="C3474" t="s">
        <v>2295</v>
      </c>
      <c r="D3474" t="s">
        <v>2688</v>
      </c>
      <c r="E3474" t="s">
        <v>477</v>
      </c>
      <c r="F3474" t="s">
        <v>1186</v>
      </c>
      <c r="G3474" t="s">
        <v>2295</v>
      </c>
      <c r="H3474" t="s">
        <v>470</v>
      </c>
      <c r="I3474" t="s">
        <v>471</v>
      </c>
      <c r="J3474">
        <v>695.27</v>
      </c>
    </row>
    <row r="3475" spans="1:10">
      <c r="A3475" s="90" t="s">
        <v>51</v>
      </c>
      <c r="B3475" s="87">
        <v>46091</v>
      </c>
      <c r="C3475" t="s">
        <v>2275</v>
      </c>
      <c r="D3475" t="s">
        <v>2688</v>
      </c>
      <c r="E3475" t="s">
        <v>477</v>
      </c>
      <c r="F3475" t="s">
        <v>1186</v>
      </c>
      <c r="G3475" t="s">
        <v>74</v>
      </c>
      <c r="H3475" t="s">
        <v>470</v>
      </c>
      <c r="I3475" t="s">
        <v>471</v>
      </c>
      <c r="J3475">
        <v>95</v>
      </c>
    </row>
    <row r="3476" spans="1:10">
      <c r="A3476" s="90" t="s">
        <v>51</v>
      </c>
      <c r="B3476" s="87">
        <v>46091</v>
      </c>
      <c r="C3476" t="s">
        <v>4222</v>
      </c>
      <c r="D3476" t="s">
        <v>2688</v>
      </c>
      <c r="E3476" t="s">
        <v>477</v>
      </c>
      <c r="F3476" t="s">
        <v>1449</v>
      </c>
      <c r="G3476" t="s">
        <v>69</v>
      </c>
      <c r="H3476" t="s">
        <v>470</v>
      </c>
      <c r="I3476" t="s">
        <v>471</v>
      </c>
      <c r="J3476">
        <v>168.46</v>
      </c>
    </row>
    <row r="3477" spans="1:10">
      <c r="A3477" s="90" t="s">
        <v>51</v>
      </c>
      <c r="B3477" s="87">
        <v>46091</v>
      </c>
      <c r="C3477" t="s">
        <v>4583</v>
      </c>
      <c r="D3477" t="s">
        <v>2688</v>
      </c>
      <c r="E3477" t="s">
        <v>2702</v>
      </c>
      <c r="F3477" t="s">
        <v>4584</v>
      </c>
      <c r="G3477" t="s">
        <v>63</v>
      </c>
      <c r="H3477" t="s">
        <v>470</v>
      </c>
      <c r="I3477" t="s">
        <v>796</v>
      </c>
      <c r="J3477">
        <v>125</v>
      </c>
    </row>
    <row r="3478" spans="1:10">
      <c r="A3478" s="90" t="s">
        <v>51</v>
      </c>
      <c r="B3478" s="87">
        <v>46091</v>
      </c>
      <c r="C3478" t="s">
        <v>511</v>
      </c>
      <c r="D3478" t="s">
        <v>2688</v>
      </c>
      <c r="E3478" t="s">
        <v>512</v>
      </c>
      <c r="F3478" t="s">
        <v>1186</v>
      </c>
      <c r="G3478" t="s">
        <v>474</v>
      </c>
      <c r="H3478" t="s">
        <v>470</v>
      </c>
      <c r="I3478" t="s">
        <v>475</v>
      </c>
      <c r="J3478">
        <v>12083.73</v>
      </c>
    </row>
    <row r="3479" spans="1:10">
      <c r="A3479" s="90" t="s">
        <v>51</v>
      </c>
      <c r="B3479" s="87">
        <v>46092</v>
      </c>
      <c r="C3479" t="s">
        <v>3961</v>
      </c>
      <c r="D3479" t="s">
        <v>2688</v>
      </c>
      <c r="E3479" t="s">
        <v>3962</v>
      </c>
      <c r="F3479" t="s">
        <v>4585</v>
      </c>
      <c r="G3479" t="s">
        <v>63</v>
      </c>
      <c r="H3479" t="s">
        <v>2409</v>
      </c>
      <c r="I3479" t="s">
        <v>475</v>
      </c>
      <c r="J3479">
        <v>98</v>
      </c>
    </row>
    <row r="3480" spans="1:10">
      <c r="A3480" s="90" t="s">
        <v>51</v>
      </c>
      <c r="B3480" s="87">
        <v>46092</v>
      </c>
      <c r="C3480" t="s">
        <v>4586</v>
      </c>
      <c r="D3480" t="s">
        <v>2688</v>
      </c>
      <c r="E3480" t="s">
        <v>4587</v>
      </c>
      <c r="F3480" t="s">
        <v>3600</v>
      </c>
      <c r="G3480" t="s">
        <v>436</v>
      </c>
      <c r="H3480" t="s">
        <v>470</v>
      </c>
      <c r="I3480" t="s">
        <v>475</v>
      </c>
      <c r="J3480">
        <v>18720</v>
      </c>
    </row>
    <row r="3481" spans="1:10">
      <c r="A3481" s="90" t="s">
        <v>51</v>
      </c>
      <c r="B3481" s="87">
        <v>46092</v>
      </c>
      <c r="C3481" t="s">
        <v>511</v>
      </c>
      <c r="D3481" t="s">
        <v>2688</v>
      </c>
      <c r="E3481" t="s">
        <v>512</v>
      </c>
      <c r="F3481" t="s">
        <v>1186</v>
      </c>
      <c r="G3481" t="s">
        <v>474</v>
      </c>
      <c r="H3481" t="s">
        <v>470</v>
      </c>
      <c r="I3481" t="s">
        <v>475</v>
      </c>
      <c r="J3481">
        <v>18818</v>
      </c>
    </row>
    <row r="3482" spans="1:10">
      <c r="A3482" s="90" t="s">
        <v>51</v>
      </c>
      <c r="B3482" s="87">
        <v>46094</v>
      </c>
      <c r="C3482" t="s">
        <v>4403</v>
      </c>
      <c r="D3482" t="s">
        <v>2688</v>
      </c>
      <c r="E3482" t="s">
        <v>1756</v>
      </c>
      <c r="F3482" t="s">
        <v>1121</v>
      </c>
      <c r="G3482" t="s">
        <v>67</v>
      </c>
      <c r="H3482" t="s">
        <v>470</v>
      </c>
      <c r="I3482" t="s">
        <v>796</v>
      </c>
      <c r="J3482">
        <v>390.81</v>
      </c>
    </row>
    <row r="3483" spans="1:10">
      <c r="A3483" s="90" t="s">
        <v>51</v>
      </c>
      <c r="B3483" s="87">
        <v>46094</v>
      </c>
      <c r="C3483" t="s">
        <v>511</v>
      </c>
      <c r="D3483" t="s">
        <v>2688</v>
      </c>
      <c r="E3483" t="s">
        <v>512</v>
      </c>
      <c r="F3483" t="s">
        <v>1186</v>
      </c>
      <c r="G3483" t="s">
        <v>474</v>
      </c>
      <c r="H3483" t="s">
        <v>470</v>
      </c>
      <c r="I3483" t="s">
        <v>475</v>
      </c>
      <c r="J3483">
        <v>390.81</v>
      </c>
    </row>
    <row r="3484" spans="1:10">
      <c r="A3484" s="90" t="s">
        <v>51</v>
      </c>
      <c r="B3484" s="87">
        <v>46094</v>
      </c>
      <c r="C3484" t="s">
        <v>4588</v>
      </c>
      <c r="D3484" t="s">
        <v>2688</v>
      </c>
      <c r="E3484" t="s">
        <v>3660</v>
      </c>
      <c r="F3484" t="s">
        <v>457</v>
      </c>
      <c r="G3484" t="s">
        <v>2112</v>
      </c>
      <c r="H3484" t="s">
        <v>470</v>
      </c>
      <c r="I3484" t="s">
        <v>475</v>
      </c>
      <c r="J3484">
        <v>1500000</v>
      </c>
    </row>
    <row r="3485" spans="1:10">
      <c r="A3485" s="90" t="s">
        <v>51</v>
      </c>
      <c r="B3485" s="87">
        <v>46097</v>
      </c>
      <c r="C3485" t="s">
        <v>4589</v>
      </c>
      <c r="D3485" t="s">
        <v>2688</v>
      </c>
      <c r="E3485" t="s">
        <v>3660</v>
      </c>
      <c r="F3485" t="s">
        <v>457</v>
      </c>
      <c r="G3485" t="s">
        <v>2112</v>
      </c>
      <c r="H3485" t="s">
        <v>470</v>
      </c>
      <c r="I3485" t="s">
        <v>487</v>
      </c>
      <c r="J3485">
        <v>500000</v>
      </c>
    </row>
    <row r="3486" spans="1:10">
      <c r="A3486" s="90" t="s">
        <v>51</v>
      </c>
      <c r="B3486" s="87">
        <v>46097</v>
      </c>
      <c r="C3486" t="s">
        <v>511</v>
      </c>
      <c r="D3486" t="s">
        <v>2688</v>
      </c>
      <c r="E3486" t="s">
        <v>512</v>
      </c>
      <c r="F3486" t="s">
        <v>1186</v>
      </c>
      <c r="G3486" t="s">
        <v>474</v>
      </c>
      <c r="H3486" t="s">
        <v>470</v>
      </c>
      <c r="I3486" t="s">
        <v>475</v>
      </c>
      <c r="J3486">
        <v>425996.33</v>
      </c>
    </row>
    <row r="3487" spans="1:10">
      <c r="A3487" s="90" t="s">
        <v>51</v>
      </c>
      <c r="B3487" s="87">
        <v>46097</v>
      </c>
      <c r="C3487" t="s">
        <v>511</v>
      </c>
      <c r="D3487" t="s">
        <v>2688</v>
      </c>
      <c r="E3487" t="s">
        <v>512</v>
      </c>
      <c r="F3487" t="s">
        <v>1186</v>
      </c>
      <c r="G3487" t="s">
        <v>474</v>
      </c>
      <c r="H3487" t="s">
        <v>470</v>
      </c>
      <c r="I3487" t="s">
        <v>475</v>
      </c>
      <c r="J3487">
        <v>75603.67</v>
      </c>
    </row>
    <row r="3488" spans="1:10">
      <c r="A3488" s="90" t="s">
        <v>51</v>
      </c>
      <c r="B3488" s="87">
        <v>46099</v>
      </c>
      <c r="C3488" t="s">
        <v>4590</v>
      </c>
      <c r="D3488" t="s">
        <v>2688</v>
      </c>
      <c r="E3488" t="s">
        <v>3660</v>
      </c>
      <c r="F3488" t="s">
        <v>392</v>
      </c>
      <c r="G3488" t="s">
        <v>2112</v>
      </c>
      <c r="H3488" t="s">
        <v>470</v>
      </c>
      <c r="I3488" t="s">
        <v>475</v>
      </c>
      <c r="J3488">
        <v>-12898.33</v>
      </c>
    </row>
    <row r="3489" spans="1:10">
      <c r="A3489" s="90" t="s">
        <v>51</v>
      </c>
      <c r="B3489" s="87">
        <v>46099</v>
      </c>
      <c r="C3489" t="s">
        <v>517</v>
      </c>
      <c r="D3489" t="s">
        <v>2688</v>
      </c>
      <c r="E3489" t="s">
        <v>512</v>
      </c>
      <c r="F3489" t="s">
        <v>1186</v>
      </c>
      <c r="G3489" t="s">
        <v>474</v>
      </c>
      <c r="H3489" t="s">
        <v>470</v>
      </c>
      <c r="I3489" t="s">
        <v>475</v>
      </c>
      <c r="J3489">
        <v>1451763.33</v>
      </c>
    </row>
    <row r="3490" spans="1:10">
      <c r="A3490" s="90" t="s">
        <v>51</v>
      </c>
      <c r="B3490" s="87">
        <v>46100</v>
      </c>
      <c r="C3490" t="s">
        <v>3923</v>
      </c>
      <c r="D3490" t="s">
        <v>2688</v>
      </c>
      <c r="E3490" t="s">
        <v>3107</v>
      </c>
      <c r="F3490" t="s">
        <v>1186</v>
      </c>
      <c r="G3490" t="s">
        <v>60</v>
      </c>
      <c r="H3490" t="s">
        <v>2409</v>
      </c>
      <c r="I3490" t="s">
        <v>796</v>
      </c>
      <c r="J3490">
        <v>77.59</v>
      </c>
    </row>
    <row r="3491" spans="1:10">
      <c r="A3491" s="90" t="s">
        <v>51</v>
      </c>
      <c r="B3491" s="87">
        <v>46100</v>
      </c>
      <c r="C3491" t="s">
        <v>4591</v>
      </c>
      <c r="D3491" t="s">
        <v>2688</v>
      </c>
      <c r="E3491" t="s">
        <v>2628</v>
      </c>
      <c r="F3491" t="s">
        <v>4592</v>
      </c>
      <c r="G3491" t="s">
        <v>76</v>
      </c>
      <c r="H3491" t="s">
        <v>470</v>
      </c>
      <c r="I3491" t="s">
        <v>487</v>
      </c>
      <c r="J3491">
        <v>200</v>
      </c>
    </row>
    <row r="3492" spans="1:10">
      <c r="A3492" s="90" t="s">
        <v>51</v>
      </c>
      <c r="B3492" s="87">
        <v>46100</v>
      </c>
      <c r="C3492" t="s">
        <v>511</v>
      </c>
      <c r="D3492" t="s">
        <v>2688</v>
      </c>
      <c r="E3492" t="s">
        <v>512</v>
      </c>
      <c r="F3492" t="s">
        <v>1186</v>
      </c>
      <c r="G3492" t="s">
        <v>474</v>
      </c>
      <c r="H3492" t="s">
        <v>470</v>
      </c>
      <c r="I3492" t="s">
        <v>475</v>
      </c>
      <c r="J3492">
        <v>277.58999999999997</v>
      </c>
    </row>
    <row r="3493" spans="1:10">
      <c r="A3493" s="90" t="s">
        <v>51</v>
      </c>
      <c r="B3493" s="87">
        <v>46101</v>
      </c>
      <c r="C3493" t="s">
        <v>3777</v>
      </c>
      <c r="D3493" t="s">
        <v>2688</v>
      </c>
      <c r="E3493" t="s">
        <v>2318</v>
      </c>
      <c r="F3493" t="s">
        <v>1121</v>
      </c>
      <c r="G3493" t="s">
        <v>64</v>
      </c>
      <c r="H3493" t="s">
        <v>2351</v>
      </c>
      <c r="I3493" t="s">
        <v>796</v>
      </c>
      <c r="J3493">
        <v>806</v>
      </c>
    </row>
    <row r="3494" spans="1:10">
      <c r="A3494" s="90" t="s">
        <v>51</v>
      </c>
      <c r="B3494" s="87">
        <v>46101</v>
      </c>
      <c r="C3494" t="s">
        <v>4589</v>
      </c>
      <c r="D3494" t="s">
        <v>2688</v>
      </c>
      <c r="E3494" t="s">
        <v>3660</v>
      </c>
      <c r="F3494" t="s">
        <v>457</v>
      </c>
      <c r="G3494" t="s">
        <v>2112</v>
      </c>
      <c r="H3494" t="s">
        <v>470</v>
      </c>
      <c r="I3494" t="s">
        <v>540</v>
      </c>
      <c r="J3494">
        <v>1325469</v>
      </c>
    </row>
    <row r="3495" spans="1:10">
      <c r="A3495" s="90" t="s">
        <v>51</v>
      </c>
      <c r="B3495" s="87">
        <v>46101</v>
      </c>
      <c r="C3495" t="s">
        <v>4593</v>
      </c>
      <c r="D3495" t="s">
        <v>2688</v>
      </c>
      <c r="E3495" t="s">
        <v>4041</v>
      </c>
      <c r="F3495" t="s">
        <v>1186</v>
      </c>
      <c r="G3495" t="s">
        <v>71</v>
      </c>
      <c r="H3495" t="s">
        <v>470</v>
      </c>
      <c r="I3495" t="s">
        <v>482</v>
      </c>
      <c r="J3495">
        <v>3000</v>
      </c>
    </row>
    <row r="3496" spans="1:10">
      <c r="A3496" s="90" t="s">
        <v>51</v>
      </c>
      <c r="B3496" s="87">
        <v>46101</v>
      </c>
      <c r="C3496" t="s">
        <v>4594</v>
      </c>
      <c r="D3496" t="s">
        <v>2688</v>
      </c>
      <c r="E3496" t="s">
        <v>1693</v>
      </c>
      <c r="F3496" t="s">
        <v>385</v>
      </c>
      <c r="G3496" t="s">
        <v>2381</v>
      </c>
      <c r="H3496" t="s">
        <v>470</v>
      </c>
      <c r="I3496" t="s">
        <v>796</v>
      </c>
      <c r="J3496">
        <v>5391.39</v>
      </c>
    </row>
    <row r="3497" spans="1:10">
      <c r="A3497" s="90" t="s">
        <v>51</v>
      </c>
      <c r="B3497" s="87">
        <v>46101</v>
      </c>
      <c r="C3497" t="s">
        <v>4594</v>
      </c>
      <c r="D3497" t="s">
        <v>2688</v>
      </c>
      <c r="E3497" t="s">
        <v>1693</v>
      </c>
      <c r="F3497" t="s">
        <v>385</v>
      </c>
      <c r="G3497" t="s">
        <v>2381</v>
      </c>
      <c r="H3497" t="s">
        <v>470</v>
      </c>
      <c r="I3497" t="s">
        <v>796</v>
      </c>
      <c r="J3497">
        <v>164.38</v>
      </c>
    </row>
    <row r="3498" spans="1:10">
      <c r="A3498" s="90" t="s">
        <v>51</v>
      </c>
      <c r="B3498" s="87">
        <v>46101</v>
      </c>
      <c r="C3498" t="s">
        <v>511</v>
      </c>
      <c r="D3498" t="s">
        <v>2688</v>
      </c>
      <c r="E3498" t="s">
        <v>512</v>
      </c>
      <c r="F3498" t="s">
        <v>1186</v>
      </c>
      <c r="G3498" t="s">
        <v>474</v>
      </c>
      <c r="H3498" t="s">
        <v>470</v>
      </c>
      <c r="I3498" t="s">
        <v>475</v>
      </c>
      <c r="J3498">
        <v>1334830.77</v>
      </c>
    </row>
    <row r="3499" spans="1:10">
      <c r="A3499" s="90" t="s">
        <v>51</v>
      </c>
      <c r="B3499" s="87">
        <v>46104</v>
      </c>
      <c r="C3499" t="s">
        <v>2454</v>
      </c>
      <c r="D3499" t="s">
        <v>2688</v>
      </c>
      <c r="E3499" t="s">
        <v>1667</v>
      </c>
      <c r="F3499" t="s">
        <v>1186</v>
      </c>
      <c r="G3499" t="s">
        <v>71</v>
      </c>
      <c r="H3499" t="s">
        <v>470</v>
      </c>
      <c r="I3499" t="s">
        <v>475</v>
      </c>
      <c r="J3499">
        <v>4500</v>
      </c>
    </row>
    <row r="3500" spans="1:10">
      <c r="A3500" s="90" t="s">
        <v>51</v>
      </c>
      <c r="B3500" s="87">
        <v>46104</v>
      </c>
      <c r="C3500" t="s">
        <v>511</v>
      </c>
      <c r="D3500" t="s">
        <v>2688</v>
      </c>
      <c r="E3500" t="s">
        <v>512</v>
      </c>
      <c r="F3500" t="s">
        <v>1186</v>
      </c>
      <c r="G3500" t="s">
        <v>474</v>
      </c>
      <c r="H3500" t="s">
        <v>470</v>
      </c>
      <c r="I3500" t="s">
        <v>475</v>
      </c>
      <c r="J3500">
        <v>4500</v>
      </c>
    </row>
    <row r="3501" spans="1:10">
      <c r="A3501" s="90" t="s">
        <v>51</v>
      </c>
      <c r="B3501" s="87">
        <v>46112</v>
      </c>
      <c r="C3501" t="s">
        <v>4595</v>
      </c>
      <c r="D3501" t="s">
        <v>2688</v>
      </c>
      <c r="E3501" t="s">
        <v>4027</v>
      </c>
      <c r="F3501" t="s">
        <v>1121</v>
      </c>
      <c r="G3501" t="s">
        <v>70</v>
      </c>
      <c r="H3501" t="s">
        <v>470</v>
      </c>
      <c r="I3501" t="s">
        <v>796</v>
      </c>
      <c r="J3501">
        <v>2045.6</v>
      </c>
    </row>
    <row r="3502" spans="1:10">
      <c r="A3502" s="90" t="s">
        <v>51</v>
      </c>
      <c r="B3502" s="87">
        <v>46112</v>
      </c>
      <c r="C3502" t="s">
        <v>4596</v>
      </c>
      <c r="D3502" t="s">
        <v>2688</v>
      </c>
      <c r="E3502" t="s">
        <v>1137</v>
      </c>
      <c r="F3502" t="s">
        <v>4597</v>
      </c>
      <c r="G3502" t="s">
        <v>61</v>
      </c>
      <c r="H3502" t="s">
        <v>2409</v>
      </c>
      <c r="I3502" t="s">
        <v>487</v>
      </c>
      <c r="J3502">
        <v>1621</v>
      </c>
    </row>
    <row r="3503" spans="1:10">
      <c r="A3503" s="90" t="s">
        <v>51</v>
      </c>
      <c r="B3503" s="87">
        <v>46112</v>
      </c>
      <c r="C3503" t="s">
        <v>2784</v>
      </c>
      <c r="D3503" t="s">
        <v>2688</v>
      </c>
      <c r="E3503" t="s">
        <v>1667</v>
      </c>
      <c r="F3503" t="s">
        <v>1186</v>
      </c>
      <c r="G3503" t="s">
        <v>71</v>
      </c>
      <c r="H3503" t="s">
        <v>2409</v>
      </c>
      <c r="I3503" t="s">
        <v>475</v>
      </c>
      <c r="J3503">
        <v>2314</v>
      </c>
    </row>
    <row r="3504" spans="1:10">
      <c r="A3504" s="90" t="s">
        <v>51</v>
      </c>
      <c r="B3504" s="87">
        <v>46112</v>
      </c>
      <c r="C3504" t="s">
        <v>4598</v>
      </c>
      <c r="D3504" t="s">
        <v>2688</v>
      </c>
      <c r="E3504" t="s">
        <v>1667</v>
      </c>
      <c r="F3504" t="s">
        <v>1186</v>
      </c>
      <c r="G3504" t="s">
        <v>72</v>
      </c>
      <c r="H3504" t="s">
        <v>470</v>
      </c>
      <c r="I3504" t="s">
        <v>475</v>
      </c>
      <c r="J3504">
        <v>765.67</v>
      </c>
    </row>
    <row r="3505" spans="1:10">
      <c r="A3505" s="90" t="s">
        <v>51</v>
      </c>
      <c r="B3505" s="87">
        <v>46112</v>
      </c>
      <c r="C3505" t="s">
        <v>4598</v>
      </c>
      <c r="D3505" t="s">
        <v>2688</v>
      </c>
      <c r="E3505" t="s">
        <v>1667</v>
      </c>
      <c r="F3505" t="s">
        <v>1186</v>
      </c>
      <c r="G3505" t="s">
        <v>58</v>
      </c>
      <c r="H3505" t="s">
        <v>470</v>
      </c>
      <c r="I3505" t="s">
        <v>475</v>
      </c>
      <c r="J3505">
        <v>4693.6099999999997</v>
      </c>
    </row>
    <row r="3506" spans="1:10">
      <c r="A3506" s="90" t="s">
        <v>51</v>
      </c>
      <c r="B3506" s="87">
        <v>46112</v>
      </c>
      <c r="C3506" t="s">
        <v>4598</v>
      </c>
      <c r="D3506" t="s">
        <v>2688</v>
      </c>
      <c r="E3506" t="s">
        <v>1667</v>
      </c>
      <c r="F3506" t="s">
        <v>1186</v>
      </c>
      <c r="G3506" t="s">
        <v>198</v>
      </c>
      <c r="H3506" t="s">
        <v>470</v>
      </c>
      <c r="I3506" t="s">
        <v>475</v>
      </c>
      <c r="J3506">
        <v>47.1</v>
      </c>
    </row>
    <row r="3507" spans="1:10">
      <c r="A3507" s="90" t="s">
        <v>51</v>
      </c>
      <c r="B3507" s="87">
        <v>46112</v>
      </c>
      <c r="C3507" t="s">
        <v>4598</v>
      </c>
      <c r="D3507" t="s">
        <v>2688</v>
      </c>
      <c r="E3507" t="s">
        <v>1667</v>
      </c>
      <c r="F3507" t="s">
        <v>1186</v>
      </c>
      <c r="G3507" t="s">
        <v>76</v>
      </c>
      <c r="H3507" t="s">
        <v>470</v>
      </c>
      <c r="I3507" t="s">
        <v>475</v>
      </c>
      <c r="J3507">
        <v>250.67</v>
      </c>
    </row>
    <row r="3508" spans="1:10">
      <c r="A3508" s="90" t="s">
        <v>51</v>
      </c>
      <c r="B3508" s="87">
        <v>46112</v>
      </c>
      <c r="C3508" t="s">
        <v>4598</v>
      </c>
      <c r="D3508" t="s">
        <v>2688</v>
      </c>
      <c r="E3508" t="s">
        <v>1667</v>
      </c>
      <c r="F3508" t="s">
        <v>1186</v>
      </c>
      <c r="G3508" t="s">
        <v>62</v>
      </c>
      <c r="H3508" t="s">
        <v>470</v>
      </c>
      <c r="I3508" t="s">
        <v>475</v>
      </c>
      <c r="J3508">
        <v>1374.57</v>
      </c>
    </row>
    <row r="3509" spans="1:10">
      <c r="A3509" s="90" t="s">
        <v>51</v>
      </c>
      <c r="B3509" s="87">
        <v>46112</v>
      </c>
      <c r="C3509" t="s">
        <v>4598</v>
      </c>
      <c r="D3509" t="s">
        <v>2688</v>
      </c>
      <c r="E3509" t="s">
        <v>1667</v>
      </c>
      <c r="F3509" t="s">
        <v>1186</v>
      </c>
      <c r="G3509" t="s">
        <v>194</v>
      </c>
      <c r="H3509" t="s">
        <v>470</v>
      </c>
      <c r="I3509" t="s">
        <v>475</v>
      </c>
      <c r="J3509">
        <v>111.87</v>
      </c>
    </row>
    <row r="3510" spans="1:10">
      <c r="A3510" s="90" t="s">
        <v>51</v>
      </c>
      <c r="B3510" s="87">
        <v>46112</v>
      </c>
      <c r="C3510" t="s">
        <v>4598</v>
      </c>
      <c r="D3510" t="s">
        <v>2688</v>
      </c>
      <c r="E3510" t="s">
        <v>1667</v>
      </c>
      <c r="F3510" t="s">
        <v>1186</v>
      </c>
      <c r="G3510" t="s">
        <v>75</v>
      </c>
      <c r="H3510" t="s">
        <v>470</v>
      </c>
      <c r="I3510" t="s">
        <v>475</v>
      </c>
      <c r="J3510">
        <v>285</v>
      </c>
    </row>
    <row r="3511" spans="1:10">
      <c r="A3511" s="90" t="s">
        <v>51</v>
      </c>
      <c r="B3511" s="87">
        <v>46112</v>
      </c>
      <c r="C3511" t="s">
        <v>3633</v>
      </c>
      <c r="D3511" t="s">
        <v>2688</v>
      </c>
      <c r="E3511" t="s">
        <v>1667</v>
      </c>
      <c r="F3511" t="s">
        <v>1186</v>
      </c>
      <c r="G3511" t="s">
        <v>180</v>
      </c>
      <c r="H3511" t="s">
        <v>2409</v>
      </c>
      <c r="I3511" t="s">
        <v>475</v>
      </c>
      <c r="J3511">
        <v>2214.62</v>
      </c>
    </row>
    <row r="3512" spans="1:10">
      <c r="A3512" s="90" t="s">
        <v>51</v>
      </c>
      <c r="B3512" s="87">
        <v>46112</v>
      </c>
      <c r="C3512" t="s">
        <v>511</v>
      </c>
      <c r="D3512" t="s">
        <v>2688</v>
      </c>
      <c r="E3512" t="s">
        <v>512</v>
      </c>
      <c r="F3512" t="s">
        <v>1186</v>
      </c>
      <c r="G3512" t="s">
        <v>474</v>
      </c>
      <c r="H3512" t="s">
        <v>470</v>
      </c>
      <c r="I3512" t="s">
        <v>475</v>
      </c>
      <c r="J3512">
        <v>15723.71</v>
      </c>
    </row>
    <row r="3513" spans="1:10">
      <c r="A3513" s="90" t="s">
        <v>51</v>
      </c>
      <c r="B3513" s="87">
        <v>46112</v>
      </c>
      <c r="C3513" t="s">
        <v>2347</v>
      </c>
      <c r="D3513" t="s">
        <v>2688</v>
      </c>
      <c r="E3513" t="s">
        <v>477</v>
      </c>
      <c r="F3513" t="s">
        <v>1186</v>
      </c>
      <c r="G3513" t="s">
        <v>68</v>
      </c>
      <c r="H3513" t="s">
        <v>470</v>
      </c>
      <c r="I3513" t="s">
        <v>471</v>
      </c>
      <c r="J3513">
        <v>172.67</v>
      </c>
    </row>
    <row r="3514" spans="1:10">
      <c r="A3514" s="90" t="s">
        <v>51</v>
      </c>
      <c r="B3514" s="87">
        <v>46112</v>
      </c>
      <c r="C3514" t="s">
        <v>2348</v>
      </c>
      <c r="D3514" t="s">
        <v>2688</v>
      </c>
      <c r="E3514" t="s">
        <v>477</v>
      </c>
      <c r="F3514" t="s">
        <v>1186</v>
      </c>
      <c r="G3514" t="s">
        <v>66</v>
      </c>
      <c r="H3514" t="s">
        <v>470</v>
      </c>
      <c r="I3514" t="s">
        <v>471</v>
      </c>
      <c r="J3514">
        <v>171.46</v>
      </c>
    </row>
    <row r="3515" spans="1:10">
      <c r="A3515" s="90" t="s">
        <v>51</v>
      </c>
      <c r="B3515" s="87">
        <v>46112</v>
      </c>
      <c r="C3515" t="s">
        <v>2347</v>
      </c>
      <c r="D3515" t="s">
        <v>2688</v>
      </c>
      <c r="E3515" t="s">
        <v>477</v>
      </c>
      <c r="F3515" t="s">
        <v>1186</v>
      </c>
      <c r="G3515" t="s">
        <v>68</v>
      </c>
      <c r="H3515" t="s">
        <v>470</v>
      </c>
      <c r="I3515" t="s">
        <v>471</v>
      </c>
      <c r="J3515">
        <v>168.38</v>
      </c>
    </row>
    <row r="3516" spans="1:10">
      <c r="A3516" s="90" t="s">
        <v>51</v>
      </c>
      <c r="B3516" s="87">
        <v>46112</v>
      </c>
      <c r="C3516" t="s">
        <v>526</v>
      </c>
      <c r="D3516" t="s">
        <v>2688</v>
      </c>
      <c r="E3516" t="s">
        <v>512</v>
      </c>
      <c r="F3516" t="s">
        <v>1186</v>
      </c>
      <c r="G3516" t="s">
        <v>474</v>
      </c>
      <c r="H3516" t="s">
        <v>470</v>
      </c>
      <c r="I3516" t="s">
        <v>475</v>
      </c>
      <c r="J3516">
        <v>0.26</v>
      </c>
    </row>
    <row r="3517" spans="1:10">
      <c r="A3517" s="90" t="s">
        <v>51</v>
      </c>
      <c r="B3517" s="87">
        <v>46113</v>
      </c>
      <c r="C3517" t="s">
        <v>4599</v>
      </c>
      <c r="D3517" t="s">
        <v>2688</v>
      </c>
      <c r="E3517" t="s">
        <v>2262</v>
      </c>
      <c r="F3517" t="s">
        <v>4600</v>
      </c>
      <c r="G3517" t="s">
        <v>73</v>
      </c>
      <c r="H3517" t="s">
        <v>2483</v>
      </c>
      <c r="I3517" t="s">
        <v>796</v>
      </c>
      <c r="J3517">
        <v>675.96</v>
      </c>
    </row>
    <row r="3518" spans="1:10">
      <c r="A3518" s="90" t="s">
        <v>51</v>
      </c>
      <c r="B3518" s="87">
        <v>46113</v>
      </c>
      <c r="C3518" t="s">
        <v>4357</v>
      </c>
      <c r="D3518" t="s">
        <v>2688</v>
      </c>
      <c r="E3518" t="s">
        <v>477</v>
      </c>
      <c r="F3518" t="s">
        <v>1449</v>
      </c>
      <c r="G3518" t="s">
        <v>66</v>
      </c>
      <c r="H3518" t="s">
        <v>470</v>
      </c>
      <c r="I3518" t="s">
        <v>471</v>
      </c>
      <c r="J3518">
        <v>15.58</v>
      </c>
    </row>
    <row r="3519" spans="1:10">
      <c r="A3519" s="90" t="s">
        <v>51</v>
      </c>
      <c r="B3519" s="87">
        <v>46113</v>
      </c>
      <c r="C3519" t="s">
        <v>517</v>
      </c>
      <c r="D3519" t="s">
        <v>2688</v>
      </c>
      <c r="E3519" t="s">
        <v>512</v>
      </c>
      <c r="F3519" t="s">
        <v>1259</v>
      </c>
      <c r="G3519" t="s">
        <v>474</v>
      </c>
      <c r="H3519" t="s">
        <v>470</v>
      </c>
      <c r="I3519" t="s">
        <v>475</v>
      </c>
      <c r="J3519">
        <v>3698165.64</v>
      </c>
    </row>
    <row r="3520" spans="1:10">
      <c r="A3520" s="90" t="s">
        <v>51</v>
      </c>
      <c r="B3520" s="87">
        <v>46114</v>
      </c>
      <c r="C3520" t="s">
        <v>4601</v>
      </c>
      <c r="D3520" t="s">
        <v>2688</v>
      </c>
      <c r="E3520" t="s">
        <v>773</v>
      </c>
      <c r="F3520" t="s">
        <v>1943</v>
      </c>
      <c r="G3520" t="s">
        <v>537</v>
      </c>
      <c r="H3520" t="s">
        <v>470</v>
      </c>
      <c r="I3520" t="s">
        <v>475</v>
      </c>
      <c r="J3520">
        <v>1500000</v>
      </c>
    </row>
    <row r="3521" spans="1:10">
      <c r="A3521" s="90" t="s">
        <v>51</v>
      </c>
      <c r="B3521" s="87">
        <v>46114</v>
      </c>
      <c r="C3521" t="s">
        <v>517</v>
      </c>
      <c r="D3521" t="s">
        <v>2688</v>
      </c>
      <c r="E3521" t="s">
        <v>512</v>
      </c>
      <c r="F3521" t="s">
        <v>1259</v>
      </c>
      <c r="G3521" t="s">
        <v>474</v>
      </c>
      <c r="H3521" t="s">
        <v>470</v>
      </c>
      <c r="I3521" t="s">
        <v>475</v>
      </c>
      <c r="J3521">
        <v>2000000</v>
      </c>
    </row>
    <row r="3522" spans="1:10">
      <c r="A3522" s="90" t="s">
        <v>51</v>
      </c>
      <c r="B3522" s="87">
        <v>46114</v>
      </c>
      <c r="C3522" t="s">
        <v>511</v>
      </c>
      <c r="D3522" t="s">
        <v>2688</v>
      </c>
      <c r="E3522" t="s">
        <v>512</v>
      </c>
      <c r="F3522" t="s">
        <v>1259</v>
      </c>
      <c r="G3522" t="s">
        <v>474</v>
      </c>
      <c r="H3522" t="s">
        <v>470</v>
      </c>
      <c r="I3522" t="s">
        <v>475</v>
      </c>
      <c r="J3522">
        <v>3500000</v>
      </c>
    </row>
    <row r="3523" spans="1:10">
      <c r="A3523" s="90" t="s">
        <v>51</v>
      </c>
      <c r="B3523" s="87">
        <v>46118</v>
      </c>
      <c r="C3523" t="s">
        <v>4602</v>
      </c>
      <c r="D3523" t="s">
        <v>2688</v>
      </c>
      <c r="E3523" t="s">
        <v>3660</v>
      </c>
      <c r="F3523" t="s">
        <v>457</v>
      </c>
      <c r="G3523" t="s">
        <v>2494</v>
      </c>
      <c r="H3523" t="s">
        <v>470</v>
      </c>
      <c r="I3523" t="s">
        <v>796</v>
      </c>
      <c r="J3523">
        <v>102265.8</v>
      </c>
    </row>
    <row r="3524" spans="1:10">
      <c r="A3524" s="90" t="s">
        <v>51</v>
      </c>
      <c r="B3524" s="87">
        <v>46118</v>
      </c>
      <c r="C3524" t="s">
        <v>4603</v>
      </c>
      <c r="D3524" t="s">
        <v>2688</v>
      </c>
      <c r="E3524" t="s">
        <v>3660</v>
      </c>
      <c r="F3524" t="s">
        <v>457</v>
      </c>
      <c r="G3524" t="s">
        <v>2494</v>
      </c>
      <c r="H3524" t="s">
        <v>470</v>
      </c>
      <c r="I3524" t="s">
        <v>796</v>
      </c>
      <c r="J3524">
        <v>5880.28</v>
      </c>
    </row>
    <row r="3525" spans="1:10">
      <c r="A3525" s="90" t="s">
        <v>51</v>
      </c>
      <c r="B3525" s="87">
        <v>46118</v>
      </c>
      <c r="C3525" t="s">
        <v>4580</v>
      </c>
      <c r="D3525" t="s">
        <v>2688</v>
      </c>
      <c r="E3525" t="s">
        <v>2247</v>
      </c>
      <c r="F3525" t="s">
        <v>4000</v>
      </c>
      <c r="G3525" t="s">
        <v>71</v>
      </c>
      <c r="H3525" t="s">
        <v>470</v>
      </c>
      <c r="I3525" t="s">
        <v>487</v>
      </c>
      <c r="J3525">
        <v>20000</v>
      </c>
    </row>
    <row r="3526" spans="1:10">
      <c r="A3526" s="90" t="s">
        <v>51</v>
      </c>
      <c r="B3526" s="87">
        <v>46118</v>
      </c>
      <c r="C3526" t="s">
        <v>2275</v>
      </c>
      <c r="D3526" t="s">
        <v>2688</v>
      </c>
      <c r="E3526" t="s">
        <v>477</v>
      </c>
      <c r="F3526" t="s">
        <v>1259</v>
      </c>
      <c r="G3526" t="s">
        <v>74</v>
      </c>
      <c r="H3526" t="s">
        <v>470</v>
      </c>
      <c r="I3526" t="s">
        <v>471</v>
      </c>
      <c r="J3526">
        <v>188.8</v>
      </c>
    </row>
    <row r="3527" spans="1:10">
      <c r="A3527" s="90" t="s">
        <v>51</v>
      </c>
      <c r="B3527" s="87">
        <v>46118</v>
      </c>
      <c r="C3527" t="s">
        <v>4581</v>
      </c>
      <c r="D3527" t="s">
        <v>2688</v>
      </c>
      <c r="E3527" t="s">
        <v>3949</v>
      </c>
      <c r="F3527" t="s">
        <v>1186</v>
      </c>
      <c r="G3527" t="s">
        <v>65</v>
      </c>
      <c r="H3527" t="s">
        <v>2409</v>
      </c>
      <c r="I3527" t="s">
        <v>796</v>
      </c>
      <c r="J3527">
        <v>179.9</v>
      </c>
    </row>
    <row r="3528" spans="1:10">
      <c r="A3528" s="90" t="s">
        <v>51</v>
      </c>
      <c r="B3528" s="87">
        <v>46118</v>
      </c>
      <c r="C3528" t="s">
        <v>511</v>
      </c>
      <c r="D3528" t="s">
        <v>2688</v>
      </c>
      <c r="E3528" t="s">
        <v>512</v>
      </c>
      <c r="F3528" t="s">
        <v>1259</v>
      </c>
      <c r="G3528" t="s">
        <v>474</v>
      </c>
      <c r="H3528" t="s">
        <v>470</v>
      </c>
      <c r="I3528" t="s">
        <v>475</v>
      </c>
      <c r="J3528">
        <v>178514.78</v>
      </c>
    </row>
    <row r="3529" spans="1:10">
      <c r="A3529" s="90" t="s">
        <v>51</v>
      </c>
      <c r="B3529" s="87">
        <v>46118</v>
      </c>
      <c r="C3529" t="s">
        <v>4604</v>
      </c>
      <c r="D3529" t="s">
        <v>2688</v>
      </c>
      <c r="E3529" t="s">
        <v>785</v>
      </c>
      <c r="F3529" t="s">
        <v>457</v>
      </c>
      <c r="G3529" t="s">
        <v>2213</v>
      </c>
      <c r="H3529" t="s">
        <v>470</v>
      </c>
      <c r="I3529" t="s">
        <v>487</v>
      </c>
      <c r="J3529">
        <v>42000</v>
      </c>
    </row>
    <row r="3530" spans="1:10">
      <c r="A3530" s="90" t="s">
        <v>51</v>
      </c>
      <c r="B3530" s="87">
        <v>46118</v>
      </c>
      <c r="C3530" t="s">
        <v>4604</v>
      </c>
      <c r="D3530" t="s">
        <v>2688</v>
      </c>
      <c r="E3530" t="s">
        <v>785</v>
      </c>
      <c r="F3530" t="s">
        <v>457</v>
      </c>
      <c r="G3530" t="s">
        <v>181</v>
      </c>
      <c r="H3530" t="s">
        <v>470</v>
      </c>
      <c r="I3530" t="s">
        <v>487</v>
      </c>
      <c r="J3530">
        <v>3486</v>
      </c>
    </row>
    <row r="3531" spans="1:10">
      <c r="A3531" s="90" t="s">
        <v>51</v>
      </c>
      <c r="B3531" s="87">
        <v>46118</v>
      </c>
      <c r="C3531" t="s">
        <v>4605</v>
      </c>
      <c r="D3531" t="s">
        <v>2688</v>
      </c>
      <c r="E3531" t="s">
        <v>785</v>
      </c>
      <c r="F3531" t="s">
        <v>383</v>
      </c>
      <c r="G3531" t="s">
        <v>2213</v>
      </c>
      <c r="H3531" t="s">
        <v>470</v>
      </c>
      <c r="I3531" t="s">
        <v>487</v>
      </c>
      <c r="J3531">
        <v>1687.2</v>
      </c>
    </row>
    <row r="3532" spans="1:10">
      <c r="A3532" s="90" t="s">
        <v>51</v>
      </c>
      <c r="B3532" s="87">
        <v>46118</v>
      </c>
      <c r="C3532" t="s">
        <v>4606</v>
      </c>
      <c r="D3532" t="s">
        <v>2688</v>
      </c>
      <c r="E3532" t="s">
        <v>785</v>
      </c>
      <c r="F3532" t="s">
        <v>392</v>
      </c>
      <c r="G3532" t="s">
        <v>2213</v>
      </c>
      <c r="H3532" t="s">
        <v>470</v>
      </c>
      <c r="I3532" t="s">
        <v>487</v>
      </c>
      <c r="J3532">
        <v>2559.5500000000002</v>
      </c>
    </row>
    <row r="3533" spans="1:10">
      <c r="A3533" s="90" t="s">
        <v>51</v>
      </c>
      <c r="B3533" s="87">
        <v>46118</v>
      </c>
      <c r="C3533" t="s">
        <v>4607</v>
      </c>
      <c r="D3533" t="s">
        <v>2688</v>
      </c>
      <c r="E3533" t="s">
        <v>785</v>
      </c>
      <c r="F3533" t="s">
        <v>390</v>
      </c>
      <c r="G3533" t="s">
        <v>2213</v>
      </c>
      <c r="H3533" t="s">
        <v>470</v>
      </c>
      <c r="I3533" t="s">
        <v>487</v>
      </c>
      <c r="J3533">
        <v>267.25</v>
      </c>
    </row>
    <row r="3534" spans="1:10">
      <c r="A3534" s="90" t="s">
        <v>51</v>
      </c>
      <c r="B3534" s="87">
        <v>46120</v>
      </c>
      <c r="C3534" t="s">
        <v>4608</v>
      </c>
      <c r="D3534" t="s">
        <v>2688</v>
      </c>
      <c r="E3534" t="s">
        <v>4609</v>
      </c>
      <c r="F3534" t="s">
        <v>4610</v>
      </c>
      <c r="G3534" t="s">
        <v>345</v>
      </c>
      <c r="H3534" t="s">
        <v>470</v>
      </c>
      <c r="I3534" t="s">
        <v>487</v>
      </c>
      <c r="J3534">
        <v>3000</v>
      </c>
    </row>
    <row r="3535" spans="1:10">
      <c r="A3535" s="90" t="s">
        <v>51</v>
      </c>
      <c r="B3535" s="87">
        <v>46120</v>
      </c>
      <c r="C3535" t="s">
        <v>4611</v>
      </c>
      <c r="D3535" t="s">
        <v>2688</v>
      </c>
      <c r="E3535" t="s">
        <v>2103</v>
      </c>
      <c r="F3535" t="s">
        <v>4612</v>
      </c>
      <c r="G3535" t="s">
        <v>486</v>
      </c>
      <c r="H3535" t="s">
        <v>470</v>
      </c>
      <c r="I3535" t="s">
        <v>487</v>
      </c>
      <c r="J3535">
        <v>51500</v>
      </c>
    </row>
    <row r="3536" spans="1:10">
      <c r="A3536" s="90" t="s">
        <v>51</v>
      </c>
      <c r="B3536" s="87">
        <v>46120</v>
      </c>
      <c r="C3536" t="s">
        <v>511</v>
      </c>
      <c r="D3536" t="s">
        <v>2688</v>
      </c>
      <c r="E3536" t="s">
        <v>512</v>
      </c>
      <c r="F3536" t="s">
        <v>1259</v>
      </c>
      <c r="G3536" t="s">
        <v>474</v>
      </c>
      <c r="H3536" t="s">
        <v>470</v>
      </c>
      <c r="I3536" t="s">
        <v>475</v>
      </c>
      <c r="J3536">
        <v>54500</v>
      </c>
    </row>
    <row r="3537" spans="1:10">
      <c r="A3537" s="90" t="s">
        <v>51</v>
      </c>
      <c r="B3537" s="87">
        <v>46121</v>
      </c>
      <c r="C3537" t="s">
        <v>4403</v>
      </c>
      <c r="D3537" t="s">
        <v>2688</v>
      </c>
      <c r="E3537" t="s">
        <v>1756</v>
      </c>
      <c r="F3537" t="s">
        <v>1186</v>
      </c>
      <c r="G3537" t="s">
        <v>67</v>
      </c>
      <c r="H3537" t="s">
        <v>470</v>
      </c>
      <c r="I3537" t="s">
        <v>796</v>
      </c>
      <c r="J3537">
        <v>394.67</v>
      </c>
    </row>
    <row r="3538" spans="1:10">
      <c r="A3538" s="90" t="s">
        <v>51</v>
      </c>
      <c r="B3538" s="87">
        <v>46121</v>
      </c>
      <c r="C3538" t="s">
        <v>511</v>
      </c>
      <c r="D3538" t="s">
        <v>2688</v>
      </c>
      <c r="E3538" t="s">
        <v>512</v>
      </c>
      <c r="F3538" t="s">
        <v>1259</v>
      </c>
      <c r="G3538" t="s">
        <v>474</v>
      </c>
      <c r="H3538" t="s">
        <v>470</v>
      </c>
      <c r="I3538" t="s">
        <v>475</v>
      </c>
      <c r="J3538">
        <v>394.67</v>
      </c>
    </row>
    <row r="3539" spans="1:10">
      <c r="A3539" s="90" t="s">
        <v>51</v>
      </c>
      <c r="B3539" s="87">
        <v>46122</v>
      </c>
      <c r="C3539" t="s">
        <v>2295</v>
      </c>
      <c r="D3539" t="s">
        <v>2688</v>
      </c>
      <c r="E3539" t="s">
        <v>477</v>
      </c>
      <c r="F3539" t="s">
        <v>1259</v>
      </c>
      <c r="G3539" t="s">
        <v>2295</v>
      </c>
      <c r="H3539" t="s">
        <v>470</v>
      </c>
      <c r="I3539" t="s">
        <v>471</v>
      </c>
      <c r="J3539">
        <v>700.5</v>
      </c>
    </row>
    <row r="3540" spans="1:10">
      <c r="A3540" s="90" t="s">
        <v>51</v>
      </c>
      <c r="B3540" s="87">
        <v>46122</v>
      </c>
      <c r="C3540" t="s">
        <v>2275</v>
      </c>
      <c r="D3540" t="s">
        <v>2688</v>
      </c>
      <c r="E3540" t="s">
        <v>477</v>
      </c>
      <c r="F3540" t="s">
        <v>1259</v>
      </c>
      <c r="G3540" t="s">
        <v>74</v>
      </c>
      <c r="H3540" t="s">
        <v>470</v>
      </c>
      <c r="I3540" t="s">
        <v>471</v>
      </c>
      <c r="J3540">
        <v>95</v>
      </c>
    </row>
    <row r="3541" spans="1:10">
      <c r="A3541" s="90" t="s">
        <v>51</v>
      </c>
      <c r="B3541" s="87">
        <v>46122</v>
      </c>
      <c r="C3541" t="s">
        <v>4222</v>
      </c>
      <c r="D3541" t="s">
        <v>2688</v>
      </c>
      <c r="E3541" t="s">
        <v>477</v>
      </c>
      <c r="F3541" t="s">
        <v>1449</v>
      </c>
      <c r="G3541" t="s">
        <v>69</v>
      </c>
      <c r="H3541" t="s">
        <v>470</v>
      </c>
      <c r="I3541" t="s">
        <v>471</v>
      </c>
      <c r="J3541">
        <v>187.32</v>
      </c>
    </row>
    <row r="3542" spans="1:10">
      <c r="A3542" s="90" t="s">
        <v>51</v>
      </c>
      <c r="B3542" s="87">
        <v>46122</v>
      </c>
      <c r="C3542" t="s">
        <v>4613</v>
      </c>
      <c r="D3542" t="s">
        <v>2688</v>
      </c>
      <c r="E3542" t="s">
        <v>2702</v>
      </c>
      <c r="F3542" t="s">
        <v>2518</v>
      </c>
      <c r="G3542" t="s">
        <v>63</v>
      </c>
      <c r="H3542" t="s">
        <v>2483</v>
      </c>
      <c r="I3542" t="s">
        <v>796</v>
      </c>
      <c r="J3542">
        <v>125</v>
      </c>
    </row>
    <row r="3543" spans="1:10">
      <c r="A3543" s="90" t="s">
        <v>51</v>
      </c>
      <c r="B3543" s="87">
        <v>46122</v>
      </c>
      <c r="C3543" t="s">
        <v>511</v>
      </c>
      <c r="D3543" t="s">
        <v>2688</v>
      </c>
      <c r="E3543" t="s">
        <v>512</v>
      </c>
      <c r="F3543" t="s">
        <v>1259</v>
      </c>
      <c r="G3543" t="s">
        <v>474</v>
      </c>
      <c r="H3543" t="s">
        <v>470</v>
      </c>
      <c r="I3543" t="s">
        <v>475</v>
      </c>
      <c r="J3543">
        <v>1107.82</v>
      </c>
    </row>
    <row r="3544" spans="1:10">
      <c r="A3544" s="90" t="s">
        <v>51</v>
      </c>
      <c r="B3544" s="87">
        <v>46126</v>
      </c>
      <c r="C3544" t="s">
        <v>4580</v>
      </c>
      <c r="D3544" t="s">
        <v>2688</v>
      </c>
      <c r="E3544" t="s">
        <v>2247</v>
      </c>
      <c r="F3544" t="s">
        <v>4000</v>
      </c>
      <c r="G3544" t="s">
        <v>71</v>
      </c>
      <c r="H3544" t="s">
        <v>470</v>
      </c>
      <c r="I3544" t="s">
        <v>487</v>
      </c>
      <c r="J3544">
        <v>40000</v>
      </c>
    </row>
    <row r="3545" spans="1:10">
      <c r="A3545" s="90" t="s">
        <v>51</v>
      </c>
      <c r="B3545" s="87">
        <v>46126</v>
      </c>
      <c r="C3545" t="s">
        <v>4593</v>
      </c>
      <c r="D3545" t="s">
        <v>2688</v>
      </c>
      <c r="E3545" t="s">
        <v>4041</v>
      </c>
      <c r="F3545" t="s">
        <v>1259</v>
      </c>
      <c r="G3545" t="s">
        <v>71</v>
      </c>
      <c r="H3545" t="s">
        <v>470</v>
      </c>
      <c r="I3545" t="s">
        <v>482</v>
      </c>
      <c r="J3545">
        <v>1000</v>
      </c>
    </row>
    <row r="3546" spans="1:10">
      <c r="A3546" s="90" t="s">
        <v>51</v>
      </c>
      <c r="B3546" s="87">
        <v>46126</v>
      </c>
      <c r="C3546" t="s">
        <v>511</v>
      </c>
      <c r="D3546" t="s">
        <v>2688</v>
      </c>
      <c r="E3546" t="s">
        <v>512</v>
      </c>
      <c r="F3546" t="s">
        <v>1259</v>
      </c>
      <c r="G3546" t="s">
        <v>474</v>
      </c>
      <c r="H3546" t="s">
        <v>470</v>
      </c>
      <c r="I3546" t="s">
        <v>475</v>
      </c>
      <c r="J3546">
        <v>41000</v>
      </c>
    </row>
    <row r="3547" spans="1:10">
      <c r="A3547" s="90" t="s">
        <v>51</v>
      </c>
      <c r="B3547" s="87">
        <v>46129</v>
      </c>
      <c r="C3547" t="s">
        <v>4614</v>
      </c>
      <c r="D3547" t="s">
        <v>2688</v>
      </c>
      <c r="E3547" t="s">
        <v>3927</v>
      </c>
      <c r="F3547" t="s">
        <v>4615</v>
      </c>
      <c r="G3547" t="s">
        <v>2112</v>
      </c>
      <c r="H3547" t="s">
        <v>470</v>
      </c>
      <c r="I3547" t="s">
        <v>487</v>
      </c>
      <c r="J3547">
        <v>150000</v>
      </c>
    </row>
    <row r="3548" spans="1:10">
      <c r="A3548" s="90" t="s">
        <v>51</v>
      </c>
      <c r="B3548" s="87">
        <v>46129</v>
      </c>
      <c r="C3548" t="s">
        <v>511</v>
      </c>
      <c r="D3548" t="s">
        <v>2688</v>
      </c>
      <c r="E3548" t="s">
        <v>512</v>
      </c>
      <c r="F3548" t="s">
        <v>1259</v>
      </c>
      <c r="G3548" t="s">
        <v>474</v>
      </c>
      <c r="H3548" t="s">
        <v>470</v>
      </c>
      <c r="I3548" t="s">
        <v>475</v>
      </c>
      <c r="J3548">
        <v>19134.14</v>
      </c>
    </row>
    <row r="3549" spans="1:10">
      <c r="A3549" s="90" t="s">
        <v>51</v>
      </c>
      <c r="B3549" s="87">
        <v>46129</v>
      </c>
      <c r="C3549" t="s">
        <v>511</v>
      </c>
      <c r="D3549" t="s">
        <v>2688</v>
      </c>
      <c r="E3549" t="s">
        <v>512</v>
      </c>
      <c r="F3549" t="s">
        <v>1259</v>
      </c>
      <c r="G3549" t="s">
        <v>474</v>
      </c>
      <c r="H3549" t="s">
        <v>470</v>
      </c>
      <c r="I3549" t="s">
        <v>475</v>
      </c>
      <c r="J3549">
        <v>130865.86</v>
      </c>
    </row>
    <row r="3550" spans="1:10">
      <c r="A3550" s="90" t="s">
        <v>51</v>
      </c>
      <c r="B3550" s="87">
        <v>46132</v>
      </c>
      <c r="C3550" t="s">
        <v>4593</v>
      </c>
      <c r="D3550" t="s">
        <v>2688</v>
      </c>
      <c r="E3550" t="s">
        <v>4041</v>
      </c>
      <c r="F3550" t="s">
        <v>1259</v>
      </c>
      <c r="G3550" t="s">
        <v>71</v>
      </c>
      <c r="H3550" t="s">
        <v>470</v>
      </c>
      <c r="I3550" t="s">
        <v>482</v>
      </c>
      <c r="J3550">
        <v>3000</v>
      </c>
    </row>
    <row r="3551" spans="1:10">
      <c r="A3551" s="90" t="s">
        <v>51</v>
      </c>
      <c r="B3551" s="87">
        <v>46132</v>
      </c>
      <c r="C3551" t="s">
        <v>3923</v>
      </c>
      <c r="D3551" t="s">
        <v>2688</v>
      </c>
      <c r="E3551" t="s">
        <v>477</v>
      </c>
      <c r="F3551" t="s">
        <v>1259</v>
      </c>
      <c r="G3551" t="s">
        <v>64</v>
      </c>
      <c r="H3551" t="s">
        <v>470</v>
      </c>
      <c r="I3551" t="s">
        <v>796</v>
      </c>
      <c r="J3551">
        <v>806</v>
      </c>
    </row>
    <row r="3552" spans="1:10">
      <c r="A3552" s="90" t="s">
        <v>51</v>
      </c>
      <c r="B3552" s="87">
        <v>46132</v>
      </c>
      <c r="C3552" t="s">
        <v>4616</v>
      </c>
      <c r="D3552" t="s">
        <v>2688</v>
      </c>
      <c r="E3552" t="s">
        <v>3660</v>
      </c>
      <c r="F3552" t="s">
        <v>457</v>
      </c>
      <c r="G3552" t="s">
        <v>2381</v>
      </c>
      <c r="H3552" t="s">
        <v>470</v>
      </c>
      <c r="I3552" t="s">
        <v>796</v>
      </c>
      <c r="J3552">
        <v>6881</v>
      </c>
    </row>
    <row r="3553" spans="1:10">
      <c r="A3553" s="90" t="s">
        <v>51</v>
      </c>
      <c r="B3553" s="87">
        <v>46132</v>
      </c>
      <c r="C3553" t="s">
        <v>511</v>
      </c>
      <c r="D3553" t="s">
        <v>2688</v>
      </c>
      <c r="E3553" t="s">
        <v>512</v>
      </c>
      <c r="F3553" t="s">
        <v>1259</v>
      </c>
      <c r="G3553" t="s">
        <v>474</v>
      </c>
      <c r="H3553" t="s">
        <v>470</v>
      </c>
      <c r="I3553" t="s">
        <v>475</v>
      </c>
      <c r="J3553">
        <v>10687</v>
      </c>
    </row>
    <row r="3554" spans="1:10">
      <c r="A3554" s="90" t="s">
        <v>51</v>
      </c>
      <c r="B3554" s="87">
        <v>46134</v>
      </c>
      <c r="C3554" t="s">
        <v>4617</v>
      </c>
      <c r="D3554" t="s">
        <v>2688</v>
      </c>
      <c r="E3554" t="s">
        <v>2300</v>
      </c>
      <c r="F3554" t="s">
        <v>1259</v>
      </c>
      <c r="G3554" t="s">
        <v>70</v>
      </c>
      <c r="H3554" t="s">
        <v>470</v>
      </c>
      <c r="I3554" t="s">
        <v>796</v>
      </c>
      <c r="J3554">
        <v>51.57</v>
      </c>
    </row>
    <row r="3555" spans="1:10">
      <c r="A3555" s="90" t="s">
        <v>51</v>
      </c>
      <c r="B3555" s="87">
        <v>46134</v>
      </c>
      <c r="C3555" t="s">
        <v>511</v>
      </c>
      <c r="D3555" t="s">
        <v>2688</v>
      </c>
      <c r="E3555" t="s">
        <v>512</v>
      </c>
      <c r="F3555" t="s">
        <v>1259</v>
      </c>
      <c r="G3555" t="s">
        <v>474</v>
      </c>
      <c r="H3555" t="s">
        <v>470</v>
      </c>
      <c r="I3555" t="s">
        <v>475</v>
      </c>
      <c r="J3555">
        <v>51.57</v>
      </c>
    </row>
    <row r="3556" spans="1:10">
      <c r="A3556" s="90" t="s">
        <v>51</v>
      </c>
      <c r="B3556" s="87">
        <v>46135</v>
      </c>
      <c r="C3556" t="s">
        <v>4618</v>
      </c>
      <c r="D3556" t="s">
        <v>2688</v>
      </c>
      <c r="E3556" t="s">
        <v>3927</v>
      </c>
      <c r="F3556" t="s">
        <v>4615</v>
      </c>
      <c r="G3556" t="s">
        <v>2112</v>
      </c>
      <c r="H3556" t="s">
        <v>470</v>
      </c>
      <c r="I3556" t="s">
        <v>487</v>
      </c>
      <c r="J3556">
        <v>16257.78</v>
      </c>
    </row>
    <row r="3557" spans="1:10">
      <c r="A3557" s="90" t="s">
        <v>51</v>
      </c>
      <c r="B3557" s="87">
        <v>46135</v>
      </c>
      <c r="C3557" t="s">
        <v>4619</v>
      </c>
      <c r="D3557" t="s">
        <v>2688</v>
      </c>
      <c r="E3557" t="s">
        <v>3927</v>
      </c>
      <c r="F3557" t="s">
        <v>4620</v>
      </c>
      <c r="G3557" t="s">
        <v>2112</v>
      </c>
      <c r="H3557" t="s">
        <v>470</v>
      </c>
      <c r="I3557" t="s">
        <v>475</v>
      </c>
      <c r="J3557">
        <v>179131.41</v>
      </c>
    </row>
    <row r="3558" spans="1:10">
      <c r="A3558" s="90" t="s">
        <v>51</v>
      </c>
      <c r="B3558" s="87">
        <v>46135</v>
      </c>
      <c r="C3558" t="s">
        <v>4621</v>
      </c>
      <c r="D3558" t="s">
        <v>2688</v>
      </c>
      <c r="E3558" t="s">
        <v>3927</v>
      </c>
      <c r="F3558" t="s">
        <v>4622</v>
      </c>
      <c r="G3558" t="s">
        <v>2112</v>
      </c>
      <c r="H3558" t="s">
        <v>470</v>
      </c>
      <c r="I3558" t="s">
        <v>487</v>
      </c>
      <c r="J3558">
        <v>69167.58</v>
      </c>
    </row>
    <row r="3559" spans="1:10">
      <c r="A3559" s="90" t="s">
        <v>51</v>
      </c>
      <c r="B3559" s="87">
        <v>46135</v>
      </c>
      <c r="C3559" t="s">
        <v>511</v>
      </c>
      <c r="D3559" t="s">
        <v>2688</v>
      </c>
      <c r="E3559" t="s">
        <v>512</v>
      </c>
      <c r="F3559" t="s">
        <v>2039</v>
      </c>
      <c r="G3559" t="s">
        <v>474</v>
      </c>
      <c r="H3559" t="s">
        <v>470</v>
      </c>
      <c r="I3559" t="s">
        <v>475</v>
      </c>
      <c r="J3559">
        <v>264556.77</v>
      </c>
    </row>
    <row r="3560" spans="1:10">
      <c r="A3560" s="90" t="s">
        <v>51</v>
      </c>
      <c r="B3560" s="87">
        <v>46139</v>
      </c>
      <c r="C3560" t="s">
        <v>511</v>
      </c>
      <c r="D3560" t="s">
        <v>2688</v>
      </c>
      <c r="E3560" t="s">
        <v>512</v>
      </c>
      <c r="F3560" t="s">
        <v>1259</v>
      </c>
      <c r="G3560" t="s">
        <v>474</v>
      </c>
      <c r="H3560" t="s">
        <v>470</v>
      </c>
      <c r="I3560" t="s">
        <v>475</v>
      </c>
      <c r="J3560">
        <v>37768.949999999997</v>
      </c>
    </row>
    <row r="3561" spans="1:10">
      <c r="A3561" s="90" t="s">
        <v>51</v>
      </c>
      <c r="B3561" s="87">
        <v>46140</v>
      </c>
      <c r="C3561" t="s">
        <v>3961</v>
      </c>
      <c r="D3561" t="s">
        <v>2688</v>
      </c>
      <c r="E3561" t="s">
        <v>3962</v>
      </c>
      <c r="F3561" t="s">
        <v>4623</v>
      </c>
      <c r="G3561" t="s">
        <v>63</v>
      </c>
      <c r="H3561" t="s">
        <v>2483</v>
      </c>
      <c r="I3561" t="s">
        <v>475</v>
      </c>
      <c r="J3561">
        <v>98</v>
      </c>
    </row>
    <row r="3562" spans="1:10">
      <c r="A3562" s="90" t="s">
        <v>51</v>
      </c>
      <c r="B3562" s="87">
        <v>46140</v>
      </c>
      <c r="C3562" t="s">
        <v>517</v>
      </c>
      <c r="D3562" t="s">
        <v>2688</v>
      </c>
      <c r="E3562" t="s">
        <v>512</v>
      </c>
      <c r="F3562" t="s">
        <v>1259</v>
      </c>
      <c r="G3562" t="s">
        <v>474</v>
      </c>
      <c r="H3562" t="s">
        <v>470</v>
      </c>
      <c r="I3562" t="s">
        <v>475</v>
      </c>
      <c r="J3562">
        <v>1922589.93</v>
      </c>
    </row>
    <row r="3563" spans="1:10">
      <c r="A3563" s="90" t="s">
        <v>51</v>
      </c>
      <c r="B3563" s="87">
        <v>46141</v>
      </c>
      <c r="C3563" t="s">
        <v>4624</v>
      </c>
      <c r="D3563" t="s">
        <v>2688</v>
      </c>
      <c r="E3563" t="s">
        <v>2103</v>
      </c>
      <c r="F3563" t="s">
        <v>4625</v>
      </c>
      <c r="G3563" t="s">
        <v>486</v>
      </c>
      <c r="H3563" t="s">
        <v>470</v>
      </c>
      <c r="I3563" t="s">
        <v>487</v>
      </c>
      <c r="J3563">
        <v>54590</v>
      </c>
    </row>
    <row r="3564" spans="1:10">
      <c r="A3564" s="90" t="s">
        <v>51</v>
      </c>
      <c r="B3564" s="87">
        <v>46142</v>
      </c>
      <c r="C3564" t="s">
        <v>2784</v>
      </c>
      <c r="D3564" t="s">
        <v>2688</v>
      </c>
      <c r="E3564" t="s">
        <v>1667</v>
      </c>
      <c r="F3564" t="s">
        <v>1259</v>
      </c>
      <c r="G3564" t="s">
        <v>71</v>
      </c>
      <c r="H3564" t="s">
        <v>470</v>
      </c>
      <c r="I3564" t="s">
        <v>475</v>
      </c>
      <c r="J3564">
        <v>2314</v>
      </c>
    </row>
    <row r="3565" spans="1:10">
      <c r="A3565" s="90" t="s">
        <v>51</v>
      </c>
      <c r="B3565" s="87">
        <v>46142</v>
      </c>
      <c r="C3565" t="s">
        <v>4626</v>
      </c>
      <c r="D3565" t="s">
        <v>2688</v>
      </c>
      <c r="E3565" t="s">
        <v>1137</v>
      </c>
      <c r="F3565" t="s">
        <v>4627</v>
      </c>
      <c r="G3565" t="s">
        <v>61</v>
      </c>
      <c r="H3565" t="s">
        <v>2483</v>
      </c>
      <c r="I3565" t="s">
        <v>487</v>
      </c>
      <c r="J3565">
        <v>1621</v>
      </c>
    </row>
    <row r="3566" spans="1:10">
      <c r="A3566" s="90" t="s">
        <v>51</v>
      </c>
      <c r="B3566" s="87">
        <v>46142</v>
      </c>
      <c r="C3566" t="s">
        <v>4628</v>
      </c>
      <c r="D3566" t="s">
        <v>2688</v>
      </c>
      <c r="E3566" t="s">
        <v>1667</v>
      </c>
      <c r="F3566" t="s">
        <v>1259</v>
      </c>
      <c r="G3566" t="s">
        <v>72</v>
      </c>
      <c r="H3566" t="s">
        <v>470</v>
      </c>
      <c r="I3566" t="s">
        <v>475</v>
      </c>
      <c r="J3566">
        <v>1250.49</v>
      </c>
    </row>
    <row r="3567" spans="1:10">
      <c r="A3567" s="90" t="s">
        <v>51</v>
      </c>
      <c r="B3567" s="87">
        <v>46142</v>
      </c>
      <c r="C3567" t="s">
        <v>4628</v>
      </c>
      <c r="D3567" t="s">
        <v>2688</v>
      </c>
      <c r="E3567" t="s">
        <v>1667</v>
      </c>
      <c r="F3567" t="s">
        <v>1259</v>
      </c>
      <c r="G3567" t="s">
        <v>58</v>
      </c>
      <c r="H3567" t="s">
        <v>470</v>
      </c>
      <c r="I3567" t="s">
        <v>475</v>
      </c>
      <c r="J3567">
        <v>5808.88</v>
      </c>
    </row>
    <row r="3568" spans="1:10">
      <c r="A3568" s="90" t="s">
        <v>51</v>
      </c>
      <c r="B3568" s="87">
        <v>46142</v>
      </c>
      <c r="C3568" t="s">
        <v>4628</v>
      </c>
      <c r="D3568" t="s">
        <v>2688</v>
      </c>
      <c r="E3568" t="s">
        <v>1667</v>
      </c>
      <c r="F3568" t="s">
        <v>1259</v>
      </c>
      <c r="G3568" t="s">
        <v>76</v>
      </c>
      <c r="H3568" t="s">
        <v>470</v>
      </c>
      <c r="I3568" t="s">
        <v>475</v>
      </c>
      <c r="J3568">
        <v>121.18</v>
      </c>
    </row>
    <row r="3569" spans="1:10">
      <c r="A3569" s="90" t="s">
        <v>51</v>
      </c>
      <c r="B3569" s="87">
        <v>46142</v>
      </c>
      <c r="C3569" t="s">
        <v>4628</v>
      </c>
      <c r="D3569" t="s">
        <v>2688</v>
      </c>
      <c r="E3569" t="s">
        <v>1667</v>
      </c>
      <c r="F3569" t="s">
        <v>1259</v>
      </c>
      <c r="G3569" t="s">
        <v>62</v>
      </c>
      <c r="H3569" t="s">
        <v>470</v>
      </c>
      <c r="I3569" t="s">
        <v>475</v>
      </c>
      <c r="J3569">
        <v>1323.04</v>
      </c>
    </row>
    <row r="3570" spans="1:10">
      <c r="A3570" s="90" t="s">
        <v>51</v>
      </c>
      <c r="B3570" s="87">
        <v>46142</v>
      </c>
      <c r="C3570" t="s">
        <v>4628</v>
      </c>
      <c r="D3570" t="s">
        <v>2688</v>
      </c>
      <c r="E3570" t="s">
        <v>1667</v>
      </c>
      <c r="F3570" t="s">
        <v>1259</v>
      </c>
      <c r="G3570" t="s">
        <v>75</v>
      </c>
      <c r="H3570" t="s">
        <v>470</v>
      </c>
      <c r="I3570" t="s">
        <v>475</v>
      </c>
      <c r="J3570">
        <v>95</v>
      </c>
    </row>
    <row r="3571" spans="1:10">
      <c r="A3571" s="90" t="s">
        <v>51</v>
      </c>
      <c r="B3571" s="87">
        <v>46142</v>
      </c>
      <c r="C3571" t="s">
        <v>4628</v>
      </c>
      <c r="D3571" t="s">
        <v>2688</v>
      </c>
      <c r="E3571" t="s">
        <v>1667</v>
      </c>
      <c r="F3571" t="s">
        <v>1259</v>
      </c>
      <c r="G3571" t="s">
        <v>194</v>
      </c>
      <c r="H3571" t="s">
        <v>470</v>
      </c>
      <c r="I3571" t="s">
        <v>475</v>
      </c>
      <c r="J3571">
        <v>99.9</v>
      </c>
    </row>
    <row r="3572" spans="1:10">
      <c r="A3572" s="90" t="s">
        <v>51</v>
      </c>
      <c r="B3572" s="87">
        <v>46142</v>
      </c>
      <c r="C3572" t="s">
        <v>4629</v>
      </c>
      <c r="D3572" t="s">
        <v>2688</v>
      </c>
      <c r="E3572" t="s">
        <v>1756</v>
      </c>
      <c r="F3572" t="s">
        <v>1186</v>
      </c>
      <c r="G3572" t="s">
        <v>67</v>
      </c>
      <c r="H3572" t="s">
        <v>470</v>
      </c>
      <c r="I3572" t="s">
        <v>796</v>
      </c>
      <c r="J3572">
        <v>106424.68</v>
      </c>
    </row>
    <row r="3573" spans="1:10">
      <c r="A3573" s="90" t="s">
        <v>51</v>
      </c>
      <c r="B3573" s="87">
        <v>46142</v>
      </c>
      <c r="C3573" t="s">
        <v>4630</v>
      </c>
      <c r="D3573" t="s">
        <v>2688</v>
      </c>
      <c r="E3573" t="s">
        <v>1756</v>
      </c>
      <c r="F3573" t="s">
        <v>1186</v>
      </c>
      <c r="G3573" t="s">
        <v>59</v>
      </c>
      <c r="H3573" t="s">
        <v>470</v>
      </c>
      <c r="I3573" t="s">
        <v>796</v>
      </c>
      <c r="J3573">
        <v>42670.93</v>
      </c>
    </row>
    <row r="3574" spans="1:10">
      <c r="A3574" s="90" t="s">
        <v>51</v>
      </c>
      <c r="B3574" s="87">
        <v>46142</v>
      </c>
      <c r="C3574" t="s">
        <v>2102</v>
      </c>
      <c r="D3574" t="s">
        <v>2688</v>
      </c>
      <c r="E3574" t="s">
        <v>2103</v>
      </c>
      <c r="F3574" t="s">
        <v>2104</v>
      </c>
      <c r="G3574" t="s">
        <v>344</v>
      </c>
      <c r="H3574" t="s">
        <v>2123</v>
      </c>
      <c r="I3574" t="s">
        <v>487</v>
      </c>
      <c r="J3574">
        <v>31827</v>
      </c>
    </row>
    <row r="3575" spans="1:10">
      <c r="A3575" s="90" t="s">
        <v>51</v>
      </c>
      <c r="B3575" s="87">
        <v>46142</v>
      </c>
      <c r="C3575" t="s">
        <v>4631</v>
      </c>
      <c r="D3575" t="s">
        <v>2688</v>
      </c>
      <c r="E3575" t="s">
        <v>4296</v>
      </c>
      <c r="F3575" t="s">
        <v>1259</v>
      </c>
      <c r="G3575" t="s">
        <v>3869</v>
      </c>
      <c r="H3575" t="s">
        <v>470</v>
      </c>
      <c r="I3575" t="s">
        <v>487</v>
      </c>
      <c r="J3575">
        <v>100000</v>
      </c>
    </row>
    <row r="3576" spans="1:10">
      <c r="A3576" s="90" t="s">
        <v>51</v>
      </c>
      <c r="B3576" s="87">
        <v>46142</v>
      </c>
      <c r="C3576" t="s">
        <v>4632</v>
      </c>
      <c r="D3576" t="s">
        <v>2688</v>
      </c>
      <c r="E3576" t="s">
        <v>1693</v>
      </c>
      <c r="F3576" t="s">
        <v>1259</v>
      </c>
      <c r="G3576" t="s">
        <v>474</v>
      </c>
      <c r="H3576" t="s">
        <v>470</v>
      </c>
      <c r="I3576" t="s">
        <v>475</v>
      </c>
      <c r="J3576">
        <v>83666.740000000005</v>
      </c>
    </row>
    <row r="3577" spans="1:10">
      <c r="A3577" s="90" t="s">
        <v>51</v>
      </c>
      <c r="B3577" s="87">
        <v>46142</v>
      </c>
      <c r="C3577" t="s">
        <v>3633</v>
      </c>
      <c r="D3577" t="s">
        <v>2688</v>
      </c>
      <c r="E3577" t="s">
        <v>1667</v>
      </c>
      <c r="F3577" t="s">
        <v>1259</v>
      </c>
      <c r="G3577" t="s">
        <v>180</v>
      </c>
      <c r="H3577" t="s">
        <v>470</v>
      </c>
      <c r="I3577" t="s">
        <v>475</v>
      </c>
      <c r="J3577">
        <v>2210.1999999999998</v>
      </c>
    </row>
    <row r="3578" spans="1:10">
      <c r="A3578" s="90" t="s">
        <v>51</v>
      </c>
      <c r="B3578" s="87">
        <v>46142</v>
      </c>
      <c r="C3578" t="s">
        <v>511</v>
      </c>
      <c r="D3578" t="s">
        <v>2688</v>
      </c>
      <c r="E3578" t="s">
        <v>512</v>
      </c>
      <c r="F3578" t="s">
        <v>1259</v>
      </c>
      <c r="G3578" t="s">
        <v>474</v>
      </c>
      <c r="H3578" t="s">
        <v>470</v>
      </c>
      <c r="I3578" t="s">
        <v>475</v>
      </c>
      <c r="J3578">
        <v>0</v>
      </c>
    </row>
    <row r="3579" spans="1:10">
      <c r="A3579" s="90" t="s">
        <v>51</v>
      </c>
      <c r="B3579" s="87">
        <v>46142</v>
      </c>
      <c r="C3579" t="s">
        <v>511</v>
      </c>
      <c r="D3579" t="s">
        <v>2688</v>
      </c>
      <c r="E3579" t="s">
        <v>512</v>
      </c>
      <c r="F3579" t="s">
        <v>1259</v>
      </c>
      <c r="G3579" t="s">
        <v>474</v>
      </c>
      <c r="H3579" t="s">
        <v>470</v>
      </c>
      <c r="I3579" t="s">
        <v>475</v>
      </c>
      <c r="J3579">
        <v>337423.54</v>
      </c>
    </row>
    <row r="3580" spans="1:10">
      <c r="A3580" s="90" t="s">
        <v>51</v>
      </c>
      <c r="B3580" s="87">
        <v>46142</v>
      </c>
      <c r="C3580" t="s">
        <v>2347</v>
      </c>
      <c r="D3580" t="s">
        <v>2688</v>
      </c>
      <c r="E3580" t="s">
        <v>477</v>
      </c>
      <c r="F3580" t="s">
        <v>1259</v>
      </c>
      <c r="G3580" t="s">
        <v>68</v>
      </c>
      <c r="H3580" t="s">
        <v>470</v>
      </c>
      <c r="I3580" t="s">
        <v>471</v>
      </c>
      <c r="J3580">
        <v>2023.11</v>
      </c>
    </row>
    <row r="3581" spans="1:10">
      <c r="A3581" s="90" t="s">
        <v>51</v>
      </c>
      <c r="B3581" s="87">
        <v>46142</v>
      </c>
      <c r="C3581" t="s">
        <v>2348</v>
      </c>
      <c r="D3581" t="s">
        <v>2688</v>
      </c>
      <c r="E3581" t="s">
        <v>477</v>
      </c>
      <c r="F3581" t="s">
        <v>1259</v>
      </c>
      <c r="G3581" t="s">
        <v>66</v>
      </c>
      <c r="H3581" t="s">
        <v>470</v>
      </c>
      <c r="I3581" t="s">
        <v>471</v>
      </c>
      <c r="J3581">
        <v>283.62</v>
      </c>
    </row>
    <row r="3582" spans="1:10">
      <c r="A3582" s="90" t="s">
        <v>51</v>
      </c>
      <c r="B3582" s="87">
        <v>46142</v>
      </c>
      <c r="C3582" t="s">
        <v>2347</v>
      </c>
      <c r="D3582" t="s">
        <v>2688</v>
      </c>
      <c r="E3582" t="s">
        <v>477</v>
      </c>
      <c r="F3582" t="s">
        <v>1259</v>
      </c>
      <c r="G3582" t="s">
        <v>68</v>
      </c>
      <c r="H3582" t="s">
        <v>470</v>
      </c>
      <c r="I3582" t="s">
        <v>471</v>
      </c>
      <c r="J3582">
        <v>13.26</v>
      </c>
    </row>
    <row r="3583" spans="1:10">
      <c r="A3583" s="90" t="s">
        <v>355</v>
      </c>
      <c r="B3583" s="87">
        <v>46169</v>
      </c>
      <c r="C3583" t="s">
        <v>4739</v>
      </c>
      <c r="D3583" t="s">
        <v>2110</v>
      </c>
      <c r="E3583" t="s">
        <v>4740</v>
      </c>
      <c r="F3583" t="s">
        <v>4741</v>
      </c>
      <c r="G3583" t="s">
        <v>194</v>
      </c>
      <c r="H3583" t="s">
        <v>2123</v>
      </c>
      <c r="I3583" t="s">
        <v>487</v>
      </c>
      <c r="J3583">
        <v>987.67</v>
      </c>
    </row>
    <row r="3584" spans="1:10">
      <c r="A3584" s="90" t="s">
        <v>355</v>
      </c>
      <c r="B3584" s="87">
        <v>46170</v>
      </c>
      <c r="C3584" t="s">
        <v>4739</v>
      </c>
      <c r="D3584" t="s">
        <v>2110</v>
      </c>
      <c r="E3584" t="s">
        <v>4740</v>
      </c>
      <c r="F3584" t="s">
        <v>4741</v>
      </c>
      <c r="G3584" t="s">
        <v>194</v>
      </c>
      <c r="H3584" t="s">
        <v>2123</v>
      </c>
      <c r="I3584" t="s">
        <v>487</v>
      </c>
      <c r="J3584">
        <v>255.56</v>
      </c>
    </row>
    <row r="3585" spans="1:10">
      <c r="A3585" s="90" t="s">
        <v>216</v>
      </c>
      <c r="B3585" s="87">
        <v>46146</v>
      </c>
      <c r="C3585" t="s">
        <v>4790</v>
      </c>
      <c r="D3585" t="s">
        <v>2110</v>
      </c>
      <c r="E3585" t="s">
        <v>3682</v>
      </c>
      <c r="F3585" t="s">
        <v>4647</v>
      </c>
      <c r="G3585" t="s">
        <v>219</v>
      </c>
      <c r="H3585" t="s">
        <v>2409</v>
      </c>
      <c r="I3585" t="s">
        <v>796</v>
      </c>
      <c r="J3585">
        <v>580</v>
      </c>
    </row>
    <row r="3586" spans="1:10">
      <c r="A3586" s="90" t="s">
        <v>216</v>
      </c>
      <c r="B3586" s="87">
        <v>46146</v>
      </c>
      <c r="C3586" t="s">
        <v>4743</v>
      </c>
      <c r="D3586" t="s">
        <v>2110</v>
      </c>
      <c r="E3586" t="s">
        <v>2262</v>
      </c>
      <c r="F3586" t="s">
        <v>4744</v>
      </c>
      <c r="G3586" t="s">
        <v>73</v>
      </c>
      <c r="H3586" t="s">
        <v>2483</v>
      </c>
      <c r="I3586" t="s">
        <v>796</v>
      </c>
      <c r="J3586">
        <v>675.96</v>
      </c>
    </row>
    <row r="3587" spans="1:10">
      <c r="A3587" s="90" t="s">
        <v>216</v>
      </c>
      <c r="B3587" s="87">
        <v>46146</v>
      </c>
      <c r="C3587" t="s">
        <v>4745</v>
      </c>
      <c r="D3587" t="s">
        <v>2110</v>
      </c>
      <c r="E3587" t="s">
        <v>477</v>
      </c>
      <c r="F3587" t="s">
        <v>2273</v>
      </c>
      <c r="G3587" t="s">
        <v>2269</v>
      </c>
      <c r="H3587" t="s">
        <v>2614</v>
      </c>
      <c r="I3587" t="s">
        <v>471</v>
      </c>
      <c r="J3587">
        <v>10125</v>
      </c>
    </row>
    <row r="3588" spans="1:10">
      <c r="A3588" s="90" t="s">
        <v>216</v>
      </c>
      <c r="B3588" s="87">
        <v>46146</v>
      </c>
      <c r="C3588" t="s">
        <v>4745</v>
      </c>
      <c r="D3588" t="s">
        <v>2110</v>
      </c>
      <c r="E3588" t="s">
        <v>477</v>
      </c>
      <c r="F3588" t="s">
        <v>2273</v>
      </c>
      <c r="G3588" t="s">
        <v>2271</v>
      </c>
      <c r="H3588" t="s">
        <v>2614</v>
      </c>
      <c r="I3588" t="s">
        <v>471</v>
      </c>
      <c r="J3588">
        <v>284.58999999999997</v>
      </c>
    </row>
    <row r="3589" spans="1:10">
      <c r="A3589" s="90" t="s">
        <v>216</v>
      </c>
      <c r="B3589" s="87">
        <v>46146</v>
      </c>
      <c r="C3589" t="s">
        <v>4746</v>
      </c>
      <c r="D3589" t="s">
        <v>2110</v>
      </c>
      <c r="E3589" t="s">
        <v>477</v>
      </c>
      <c r="F3589" t="s">
        <v>1000</v>
      </c>
      <c r="G3589" t="s">
        <v>515</v>
      </c>
      <c r="H3589" t="s">
        <v>2613</v>
      </c>
      <c r="I3589" t="s">
        <v>471</v>
      </c>
      <c r="J3589">
        <v>125000</v>
      </c>
    </row>
    <row r="3590" spans="1:10">
      <c r="A3590" s="90" t="s">
        <v>216</v>
      </c>
      <c r="B3590" s="87">
        <v>46146</v>
      </c>
      <c r="C3590" t="s">
        <v>4746</v>
      </c>
      <c r="D3590" t="s">
        <v>2110</v>
      </c>
      <c r="E3590" t="s">
        <v>477</v>
      </c>
      <c r="F3590" t="s">
        <v>1000</v>
      </c>
      <c r="G3590" t="s">
        <v>69</v>
      </c>
      <c r="H3590" t="s">
        <v>2613</v>
      </c>
      <c r="I3590" t="s">
        <v>471</v>
      </c>
      <c r="J3590">
        <v>13015.18</v>
      </c>
    </row>
    <row r="3591" spans="1:10">
      <c r="A3591" s="90" t="s">
        <v>216</v>
      </c>
      <c r="B3591" s="87">
        <v>46146</v>
      </c>
      <c r="C3591" t="s">
        <v>2275</v>
      </c>
      <c r="D3591" t="s">
        <v>2110</v>
      </c>
      <c r="E3591" t="s">
        <v>477</v>
      </c>
      <c r="F3591" t="s">
        <v>4647</v>
      </c>
      <c r="G3591" t="s">
        <v>74</v>
      </c>
      <c r="H3591" t="s">
        <v>470</v>
      </c>
      <c r="I3591" t="s">
        <v>471</v>
      </c>
      <c r="J3591">
        <v>10</v>
      </c>
    </row>
    <row r="3592" spans="1:10">
      <c r="A3592" s="90" t="s">
        <v>216</v>
      </c>
      <c r="B3592" s="87">
        <v>46146</v>
      </c>
      <c r="C3592" t="s">
        <v>2275</v>
      </c>
      <c r="D3592" t="s">
        <v>2110</v>
      </c>
      <c r="E3592" t="s">
        <v>786</v>
      </c>
      <c r="F3592" t="s">
        <v>4647</v>
      </c>
      <c r="G3592" t="s">
        <v>74</v>
      </c>
      <c r="H3592" t="s">
        <v>470</v>
      </c>
      <c r="I3592" t="s">
        <v>471</v>
      </c>
      <c r="J3592">
        <v>15</v>
      </c>
    </row>
    <row r="3593" spans="1:10">
      <c r="A3593" s="90" t="s">
        <v>216</v>
      </c>
      <c r="B3593" s="87">
        <v>46146</v>
      </c>
      <c r="C3593" t="s">
        <v>4749</v>
      </c>
      <c r="D3593" t="s">
        <v>2110</v>
      </c>
      <c r="E3593" t="s">
        <v>3907</v>
      </c>
      <c r="F3593" t="s">
        <v>4750</v>
      </c>
      <c r="G3593" t="s">
        <v>72</v>
      </c>
      <c r="H3593" t="s">
        <v>470</v>
      </c>
      <c r="I3593" t="s">
        <v>487</v>
      </c>
      <c r="J3593">
        <v>502.5</v>
      </c>
    </row>
    <row r="3594" spans="1:10">
      <c r="A3594" s="90" t="s">
        <v>216</v>
      </c>
      <c r="B3594" s="87">
        <v>46147</v>
      </c>
      <c r="C3594" t="s">
        <v>4747</v>
      </c>
      <c r="D3594" t="s">
        <v>2110</v>
      </c>
      <c r="E3594" t="s">
        <v>2277</v>
      </c>
      <c r="F3594" t="s">
        <v>4748</v>
      </c>
      <c r="G3594" t="s">
        <v>65</v>
      </c>
      <c r="H3594" t="s">
        <v>2483</v>
      </c>
      <c r="I3594" t="s">
        <v>796</v>
      </c>
      <c r="J3594">
        <v>189</v>
      </c>
    </row>
    <row r="3595" spans="1:10">
      <c r="A3595" s="90" t="s">
        <v>216</v>
      </c>
      <c r="B3595" s="87">
        <v>46148</v>
      </c>
      <c r="C3595" t="s">
        <v>4791</v>
      </c>
      <c r="D3595" t="s">
        <v>2110</v>
      </c>
      <c r="E3595" t="s">
        <v>3927</v>
      </c>
      <c r="F3595" t="s">
        <v>3928</v>
      </c>
      <c r="G3595" t="s">
        <v>2494</v>
      </c>
      <c r="H3595" t="s">
        <v>470</v>
      </c>
      <c r="I3595" t="s">
        <v>796</v>
      </c>
      <c r="J3595">
        <v>253.84</v>
      </c>
    </row>
    <row r="3596" spans="1:10">
      <c r="A3596" s="90" t="s">
        <v>216</v>
      </c>
      <c r="B3596" s="87">
        <v>46148</v>
      </c>
      <c r="C3596" t="s">
        <v>2876</v>
      </c>
      <c r="D3596" t="s">
        <v>2110</v>
      </c>
      <c r="E3596" t="s">
        <v>1756</v>
      </c>
      <c r="F3596" t="s">
        <v>1259</v>
      </c>
      <c r="G3596" t="s">
        <v>67</v>
      </c>
      <c r="H3596" t="s">
        <v>470</v>
      </c>
      <c r="I3596" t="s">
        <v>796</v>
      </c>
      <c r="J3596">
        <v>502.82</v>
      </c>
    </row>
    <row r="3597" spans="1:10">
      <c r="A3597" s="90" t="s">
        <v>216</v>
      </c>
      <c r="B3597" s="87">
        <v>46148</v>
      </c>
      <c r="C3597" t="s">
        <v>4792</v>
      </c>
      <c r="D3597" t="s">
        <v>2110</v>
      </c>
      <c r="E3597" t="s">
        <v>3927</v>
      </c>
      <c r="F3597" t="s">
        <v>3928</v>
      </c>
      <c r="G3597" t="s">
        <v>2494</v>
      </c>
      <c r="H3597" t="s">
        <v>470</v>
      </c>
      <c r="I3597" t="s">
        <v>796</v>
      </c>
      <c r="J3597">
        <v>4414.5200000000004</v>
      </c>
    </row>
    <row r="3598" spans="1:10">
      <c r="A3598" s="90" t="s">
        <v>216</v>
      </c>
      <c r="B3598" s="87">
        <v>46148</v>
      </c>
      <c r="C3598" t="s">
        <v>2275</v>
      </c>
      <c r="D3598" t="s">
        <v>2110</v>
      </c>
      <c r="E3598" t="s">
        <v>477</v>
      </c>
      <c r="F3598" t="s">
        <v>4647</v>
      </c>
      <c r="G3598" t="s">
        <v>74</v>
      </c>
      <c r="H3598" t="s">
        <v>470</v>
      </c>
      <c r="I3598" t="s">
        <v>471</v>
      </c>
      <c r="J3598">
        <v>5</v>
      </c>
    </row>
    <row r="3599" spans="1:10">
      <c r="A3599" s="90" t="s">
        <v>216</v>
      </c>
      <c r="B3599" s="87">
        <v>46150</v>
      </c>
      <c r="C3599" t="s">
        <v>4742</v>
      </c>
      <c r="D3599" t="s">
        <v>2110</v>
      </c>
      <c r="E3599" t="s">
        <v>3879</v>
      </c>
      <c r="F3599" t="s">
        <v>1259</v>
      </c>
      <c r="G3599" t="s">
        <v>431</v>
      </c>
      <c r="H3599" t="s">
        <v>2483</v>
      </c>
      <c r="I3599" t="s">
        <v>475</v>
      </c>
      <c r="J3599">
        <v>2299.3200000000002</v>
      </c>
    </row>
    <row r="3600" spans="1:10">
      <c r="A3600" s="90" t="s">
        <v>216</v>
      </c>
      <c r="B3600" s="87">
        <v>46150</v>
      </c>
      <c r="C3600" t="s">
        <v>4751</v>
      </c>
      <c r="D3600" t="s">
        <v>2110</v>
      </c>
      <c r="E3600" t="s">
        <v>2702</v>
      </c>
      <c r="F3600" t="s">
        <v>4752</v>
      </c>
      <c r="G3600" t="s">
        <v>63</v>
      </c>
      <c r="H3600" t="s">
        <v>2613</v>
      </c>
      <c r="I3600" t="s">
        <v>796</v>
      </c>
      <c r="J3600">
        <v>957.94</v>
      </c>
    </row>
    <row r="3601" spans="1:10">
      <c r="A3601" s="90" t="s">
        <v>216</v>
      </c>
      <c r="B3601" s="87">
        <v>46153</v>
      </c>
      <c r="C3601" t="s">
        <v>3016</v>
      </c>
      <c r="D3601" t="s">
        <v>2110</v>
      </c>
      <c r="E3601" t="s">
        <v>2900</v>
      </c>
      <c r="F3601" t="s">
        <v>4647</v>
      </c>
      <c r="G3601" t="s">
        <v>302</v>
      </c>
      <c r="H3601" t="s">
        <v>2994</v>
      </c>
      <c r="I3601" t="s">
        <v>796</v>
      </c>
      <c r="J3601">
        <v>2500</v>
      </c>
    </row>
    <row r="3602" spans="1:10">
      <c r="A3602" s="90" t="s">
        <v>216</v>
      </c>
      <c r="B3602" s="87">
        <v>46153</v>
      </c>
      <c r="C3602" t="s">
        <v>4755</v>
      </c>
      <c r="D3602" t="s">
        <v>2110</v>
      </c>
      <c r="E3602" t="s">
        <v>1285</v>
      </c>
      <c r="F3602" t="s">
        <v>3931</v>
      </c>
      <c r="G3602" t="s">
        <v>2112</v>
      </c>
      <c r="H3602" t="s">
        <v>470</v>
      </c>
      <c r="I3602" t="s">
        <v>487</v>
      </c>
      <c r="J3602">
        <v>200000</v>
      </c>
    </row>
    <row r="3603" spans="1:10">
      <c r="A3603" s="90" t="s">
        <v>216</v>
      </c>
      <c r="B3603" s="87">
        <v>46153</v>
      </c>
      <c r="C3603" t="s">
        <v>3672</v>
      </c>
      <c r="D3603" t="s">
        <v>2110</v>
      </c>
      <c r="E3603" t="s">
        <v>477</v>
      </c>
      <c r="F3603" t="s">
        <v>514</v>
      </c>
      <c r="G3603" t="s">
        <v>515</v>
      </c>
      <c r="H3603" t="s">
        <v>4756</v>
      </c>
      <c r="I3603" t="s">
        <v>471</v>
      </c>
      <c r="J3603">
        <v>43571.43</v>
      </c>
    </row>
    <row r="3604" spans="1:10">
      <c r="A3604" s="90" t="s">
        <v>216</v>
      </c>
      <c r="B3604" s="87">
        <v>46153</v>
      </c>
      <c r="C3604" t="s">
        <v>3672</v>
      </c>
      <c r="D3604" t="s">
        <v>2110</v>
      </c>
      <c r="E3604" t="s">
        <v>477</v>
      </c>
      <c r="F3604" t="s">
        <v>514</v>
      </c>
      <c r="G3604" t="s">
        <v>69</v>
      </c>
      <c r="H3604" t="s">
        <v>4756</v>
      </c>
      <c r="I3604" t="s">
        <v>471</v>
      </c>
      <c r="J3604">
        <v>27606.86</v>
      </c>
    </row>
    <row r="3605" spans="1:10">
      <c r="A3605" s="90" t="s">
        <v>216</v>
      </c>
      <c r="B3605" s="87">
        <v>46153</v>
      </c>
      <c r="C3605" t="s">
        <v>2295</v>
      </c>
      <c r="D3605" t="s">
        <v>2110</v>
      </c>
      <c r="E3605" t="s">
        <v>477</v>
      </c>
      <c r="F3605" t="s">
        <v>4647</v>
      </c>
      <c r="G3605" t="s">
        <v>2295</v>
      </c>
      <c r="H3605" t="s">
        <v>470</v>
      </c>
      <c r="I3605" t="s">
        <v>471</v>
      </c>
      <c r="J3605">
        <v>2537.5100000000002</v>
      </c>
    </row>
    <row r="3606" spans="1:10">
      <c r="A3606" s="90" t="s">
        <v>216</v>
      </c>
      <c r="B3606" s="87">
        <v>46153</v>
      </c>
      <c r="C3606" t="s">
        <v>2275</v>
      </c>
      <c r="D3606" t="s">
        <v>2110</v>
      </c>
      <c r="E3606" t="s">
        <v>477</v>
      </c>
      <c r="F3606" t="s">
        <v>4647</v>
      </c>
      <c r="G3606" t="s">
        <v>74</v>
      </c>
      <c r="H3606" t="s">
        <v>470</v>
      </c>
      <c r="I3606" t="s">
        <v>471</v>
      </c>
      <c r="J3606">
        <v>95</v>
      </c>
    </row>
    <row r="3607" spans="1:10">
      <c r="A3607" s="90" t="s">
        <v>216</v>
      </c>
      <c r="B3607" s="87">
        <v>46154</v>
      </c>
      <c r="C3607" t="s">
        <v>2275</v>
      </c>
      <c r="D3607" t="s">
        <v>2110</v>
      </c>
      <c r="E3607" t="s">
        <v>477</v>
      </c>
      <c r="F3607" t="s">
        <v>4647</v>
      </c>
      <c r="G3607" t="s">
        <v>74</v>
      </c>
      <c r="H3607" t="s">
        <v>470</v>
      </c>
      <c r="I3607" t="s">
        <v>471</v>
      </c>
      <c r="J3607">
        <v>10</v>
      </c>
    </row>
    <row r="3608" spans="1:10">
      <c r="A3608" s="90" t="s">
        <v>216</v>
      </c>
      <c r="B3608" s="87">
        <v>46157</v>
      </c>
      <c r="C3608" t="s">
        <v>4759</v>
      </c>
      <c r="D3608" t="s">
        <v>2110</v>
      </c>
      <c r="E3608" t="s">
        <v>2628</v>
      </c>
      <c r="F3608" t="s">
        <v>4760</v>
      </c>
      <c r="G3608" t="s">
        <v>76</v>
      </c>
      <c r="H3608" t="s">
        <v>470</v>
      </c>
      <c r="I3608" t="s">
        <v>487</v>
      </c>
      <c r="J3608">
        <v>200</v>
      </c>
    </row>
    <row r="3609" spans="1:10">
      <c r="A3609" s="90" t="s">
        <v>216</v>
      </c>
      <c r="B3609" s="87">
        <v>46157</v>
      </c>
      <c r="C3609" t="s">
        <v>4761</v>
      </c>
      <c r="D3609" t="s">
        <v>2110</v>
      </c>
      <c r="E3609" t="s">
        <v>4537</v>
      </c>
      <c r="F3609" t="s">
        <v>4645</v>
      </c>
      <c r="G3609" t="s">
        <v>2112</v>
      </c>
      <c r="H3609" t="s">
        <v>470</v>
      </c>
      <c r="I3609" t="s">
        <v>540</v>
      </c>
      <c r="J3609">
        <v>3200039</v>
      </c>
    </row>
    <row r="3610" spans="1:10">
      <c r="A3610" s="90" t="s">
        <v>216</v>
      </c>
      <c r="B3610" s="87">
        <v>46160</v>
      </c>
      <c r="C3610" t="s">
        <v>4754</v>
      </c>
      <c r="D3610" t="s">
        <v>2110</v>
      </c>
      <c r="E3610" t="s">
        <v>2277</v>
      </c>
      <c r="F3610" t="s">
        <v>2483</v>
      </c>
      <c r="G3610" t="s">
        <v>226</v>
      </c>
      <c r="H3610" t="s">
        <v>2483</v>
      </c>
      <c r="I3610" t="s">
        <v>796</v>
      </c>
      <c r="J3610">
        <v>149.24</v>
      </c>
    </row>
    <row r="3611" spans="1:10">
      <c r="A3611" s="90" t="s">
        <v>216</v>
      </c>
      <c r="B3611" s="87">
        <v>46161</v>
      </c>
      <c r="C3611" t="s">
        <v>4764</v>
      </c>
      <c r="D3611" t="s">
        <v>2110</v>
      </c>
      <c r="E3611" t="s">
        <v>4765</v>
      </c>
      <c r="F3611" t="s">
        <v>4766</v>
      </c>
      <c r="G3611" t="s">
        <v>345</v>
      </c>
      <c r="H3611" t="s">
        <v>470</v>
      </c>
      <c r="I3611" t="s">
        <v>475</v>
      </c>
      <c r="J3611">
        <v>8000</v>
      </c>
    </row>
    <row r="3612" spans="1:10">
      <c r="A3612" s="90" t="s">
        <v>216</v>
      </c>
      <c r="B3612" s="87">
        <v>46162</v>
      </c>
      <c r="C3612" t="s">
        <v>4793</v>
      </c>
      <c r="D3612" t="s">
        <v>2110</v>
      </c>
      <c r="E3612" t="s">
        <v>3927</v>
      </c>
      <c r="F3612" t="s">
        <v>3928</v>
      </c>
      <c r="G3612" t="s">
        <v>2381</v>
      </c>
      <c r="H3612" t="s">
        <v>470</v>
      </c>
      <c r="I3612" t="s">
        <v>796</v>
      </c>
      <c r="J3612">
        <v>251.59</v>
      </c>
    </row>
    <row r="3613" spans="1:10">
      <c r="A3613" s="90" t="s">
        <v>216</v>
      </c>
      <c r="B3613" s="87">
        <v>46162</v>
      </c>
      <c r="C3613" t="s">
        <v>4753</v>
      </c>
      <c r="D3613" t="s">
        <v>2110</v>
      </c>
      <c r="E3613" t="s">
        <v>3778</v>
      </c>
      <c r="F3613" t="s">
        <v>1259</v>
      </c>
      <c r="G3613" t="s">
        <v>463</v>
      </c>
      <c r="H3613" t="s">
        <v>2483</v>
      </c>
      <c r="I3613" t="s">
        <v>796</v>
      </c>
      <c r="J3613">
        <v>200</v>
      </c>
    </row>
    <row r="3614" spans="1:10">
      <c r="A3614" s="90" t="s">
        <v>216</v>
      </c>
      <c r="B3614" s="87">
        <v>46162</v>
      </c>
      <c r="C3614" t="s">
        <v>4757</v>
      </c>
      <c r="D3614" t="s">
        <v>2110</v>
      </c>
      <c r="E3614" t="s">
        <v>2318</v>
      </c>
      <c r="F3614" t="s">
        <v>1259</v>
      </c>
      <c r="G3614" t="s">
        <v>64</v>
      </c>
      <c r="H3614" t="s">
        <v>2483</v>
      </c>
      <c r="I3614" t="s">
        <v>796</v>
      </c>
      <c r="J3614">
        <v>806</v>
      </c>
    </row>
    <row r="3615" spans="1:10">
      <c r="A3615" s="90" t="s">
        <v>216</v>
      </c>
      <c r="B3615" s="87">
        <v>46162</v>
      </c>
      <c r="C3615" t="s">
        <v>4758</v>
      </c>
      <c r="D3615" t="s">
        <v>2110</v>
      </c>
      <c r="E3615" t="s">
        <v>2318</v>
      </c>
      <c r="F3615" t="s">
        <v>1259</v>
      </c>
      <c r="G3615" t="s">
        <v>64</v>
      </c>
      <c r="H3615" t="s">
        <v>2483</v>
      </c>
      <c r="I3615" t="s">
        <v>796</v>
      </c>
      <c r="J3615">
        <v>920.68</v>
      </c>
    </row>
    <row r="3616" spans="1:10">
      <c r="A3616" s="90" t="s">
        <v>216</v>
      </c>
      <c r="B3616" s="87">
        <v>46163</v>
      </c>
      <c r="C3616" t="s">
        <v>4762</v>
      </c>
      <c r="D3616" t="s">
        <v>2110</v>
      </c>
      <c r="E3616" t="s">
        <v>2316</v>
      </c>
      <c r="F3616" t="s">
        <v>4647</v>
      </c>
      <c r="G3616" t="s">
        <v>217</v>
      </c>
      <c r="H3616" t="s">
        <v>2613</v>
      </c>
      <c r="I3616" t="s">
        <v>796</v>
      </c>
      <c r="J3616">
        <v>202.3</v>
      </c>
    </row>
    <row r="3617" spans="1:10">
      <c r="A3617" s="90" t="s">
        <v>216</v>
      </c>
      <c r="B3617" s="87">
        <v>46167</v>
      </c>
      <c r="C3617" t="s">
        <v>4794</v>
      </c>
      <c r="D3617" t="s">
        <v>2110</v>
      </c>
      <c r="E3617" t="s">
        <v>1002</v>
      </c>
      <c r="F3617" t="s">
        <v>1237</v>
      </c>
      <c r="G3617" t="s">
        <v>2115</v>
      </c>
      <c r="H3617" t="s">
        <v>470</v>
      </c>
      <c r="I3617" t="s">
        <v>796</v>
      </c>
      <c r="J3617">
        <v>90</v>
      </c>
    </row>
    <row r="3618" spans="1:10">
      <c r="A3618" s="90" t="s">
        <v>216</v>
      </c>
      <c r="B3618" s="87">
        <v>46167</v>
      </c>
      <c r="C3618" t="s">
        <v>4794</v>
      </c>
      <c r="D3618" t="s">
        <v>2110</v>
      </c>
      <c r="E3618" t="s">
        <v>1002</v>
      </c>
      <c r="F3618" t="s">
        <v>1237</v>
      </c>
      <c r="G3618" t="s">
        <v>223</v>
      </c>
      <c r="H3618" t="s">
        <v>470</v>
      </c>
      <c r="I3618" t="s">
        <v>796</v>
      </c>
      <c r="J3618">
        <v>2057.6</v>
      </c>
    </row>
    <row r="3619" spans="1:10">
      <c r="A3619" s="90" t="s">
        <v>216</v>
      </c>
      <c r="B3619" s="87">
        <v>46167</v>
      </c>
      <c r="C3619" t="s">
        <v>4763</v>
      </c>
      <c r="D3619" t="s">
        <v>2110</v>
      </c>
      <c r="E3619" t="s">
        <v>2316</v>
      </c>
      <c r="F3619" t="s">
        <v>4647</v>
      </c>
      <c r="G3619" t="s">
        <v>217</v>
      </c>
      <c r="H3619" t="s">
        <v>2613</v>
      </c>
      <c r="I3619" t="s">
        <v>796</v>
      </c>
      <c r="J3619">
        <v>112.4</v>
      </c>
    </row>
    <row r="3620" spans="1:10">
      <c r="A3620" s="90" t="s">
        <v>216</v>
      </c>
      <c r="B3620" s="87">
        <v>46167</v>
      </c>
      <c r="C3620" t="s">
        <v>4767</v>
      </c>
      <c r="D3620" t="s">
        <v>2110</v>
      </c>
      <c r="E3620" t="s">
        <v>4768</v>
      </c>
      <c r="F3620" t="s">
        <v>4647</v>
      </c>
      <c r="G3620" t="s">
        <v>70</v>
      </c>
      <c r="H3620" t="s">
        <v>470</v>
      </c>
      <c r="I3620" t="s">
        <v>796</v>
      </c>
      <c r="J3620">
        <v>36</v>
      </c>
    </row>
    <row r="3621" spans="1:10">
      <c r="A3621" s="90" t="s">
        <v>216</v>
      </c>
      <c r="B3621" s="87">
        <v>46167</v>
      </c>
      <c r="C3621" t="s">
        <v>4769</v>
      </c>
      <c r="D3621" t="s">
        <v>2110</v>
      </c>
      <c r="E3621" t="s">
        <v>4770</v>
      </c>
      <c r="F3621" t="s">
        <v>4647</v>
      </c>
      <c r="G3621" t="s">
        <v>70</v>
      </c>
      <c r="H3621" t="s">
        <v>470</v>
      </c>
      <c r="I3621" t="s">
        <v>796</v>
      </c>
      <c r="J3621">
        <v>108.39</v>
      </c>
    </row>
    <row r="3622" spans="1:10">
      <c r="A3622" s="90" t="s">
        <v>216</v>
      </c>
      <c r="B3622" s="87">
        <v>46167</v>
      </c>
      <c r="C3622" t="s">
        <v>2275</v>
      </c>
      <c r="D3622" t="s">
        <v>2110</v>
      </c>
      <c r="E3622" t="s">
        <v>477</v>
      </c>
      <c r="F3622" t="s">
        <v>4647</v>
      </c>
      <c r="G3622" t="s">
        <v>74</v>
      </c>
      <c r="H3622" t="s">
        <v>470</v>
      </c>
      <c r="I3622" t="s">
        <v>471</v>
      </c>
      <c r="J3622">
        <v>6.5</v>
      </c>
    </row>
    <row r="3623" spans="1:10">
      <c r="A3623" s="90" t="s">
        <v>216</v>
      </c>
      <c r="B3623" s="87">
        <v>46168</v>
      </c>
      <c r="C3623" t="s">
        <v>4795</v>
      </c>
      <c r="D3623" t="s">
        <v>2110</v>
      </c>
      <c r="E3623" t="s">
        <v>477</v>
      </c>
      <c r="F3623" t="s">
        <v>2325</v>
      </c>
      <c r="G3623" t="s">
        <v>515</v>
      </c>
      <c r="H3623" t="s">
        <v>4796</v>
      </c>
      <c r="I3623" t="s">
        <v>471</v>
      </c>
      <c r="J3623">
        <v>33666.57</v>
      </c>
    </row>
    <row r="3624" spans="1:10">
      <c r="A3624" s="90" t="s">
        <v>216</v>
      </c>
      <c r="B3624" s="87">
        <v>46168</v>
      </c>
      <c r="C3624" t="s">
        <v>4795</v>
      </c>
      <c r="D3624" t="s">
        <v>2110</v>
      </c>
      <c r="E3624" t="s">
        <v>477</v>
      </c>
      <c r="F3624" t="s">
        <v>2325</v>
      </c>
      <c r="G3624" t="s">
        <v>69</v>
      </c>
      <c r="H3624" t="s">
        <v>4796</v>
      </c>
      <c r="I3624" t="s">
        <v>471</v>
      </c>
      <c r="J3624">
        <v>1414.1</v>
      </c>
    </row>
    <row r="3625" spans="1:10">
      <c r="A3625" s="90" t="s">
        <v>216</v>
      </c>
      <c r="B3625" s="87">
        <v>46170</v>
      </c>
      <c r="C3625" t="s">
        <v>4797</v>
      </c>
      <c r="D3625" t="s">
        <v>2110</v>
      </c>
      <c r="E3625" t="s">
        <v>477</v>
      </c>
      <c r="F3625" t="s">
        <v>4647</v>
      </c>
      <c r="G3625" t="s">
        <v>219</v>
      </c>
      <c r="H3625" t="s">
        <v>470</v>
      </c>
      <c r="I3625" t="s">
        <v>471</v>
      </c>
      <c r="J3625">
        <v>837</v>
      </c>
    </row>
    <row r="3626" spans="1:10">
      <c r="A3626" s="90" t="s">
        <v>216</v>
      </c>
      <c r="B3626" s="87">
        <v>46170</v>
      </c>
      <c r="C3626" t="s">
        <v>4797</v>
      </c>
      <c r="D3626" t="s">
        <v>2110</v>
      </c>
      <c r="E3626" t="s">
        <v>477</v>
      </c>
      <c r="F3626" t="s">
        <v>4647</v>
      </c>
      <c r="G3626" t="s">
        <v>219</v>
      </c>
      <c r="H3626" t="s">
        <v>470</v>
      </c>
      <c r="I3626" t="s">
        <v>471</v>
      </c>
      <c r="J3626">
        <v>500</v>
      </c>
    </row>
    <row r="3627" spans="1:10">
      <c r="A3627" s="90" t="s">
        <v>216</v>
      </c>
      <c r="B3627" s="87">
        <v>46170</v>
      </c>
      <c r="C3627" t="s">
        <v>4797</v>
      </c>
      <c r="D3627" t="s">
        <v>2110</v>
      </c>
      <c r="E3627" t="s">
        <v>477</v>
      </c>
      <c r="F3627" t="s">
        <v>4647</v>
      </c>
      <c r="G3627" t="s">
        <v>74</v>
      </c>
      <c r="H3627" t="s">
        <v>470</v>
      </c>
      <c r="I3627" t="s">
        <v>471</v>
      </c>
      <c r="J3627">
        <v>19</v>
      </c>
    </row>
    <row r="3628" spans="1:10">
      <c r="A3628" s="90" t="s">
        <v>216</v>
      </c>
      <c r="B3628" s="87">
        <v>46171</v>
      </c>
      <c r="C3628" t="s">
        <v>4771</v>
      </c>
      <c r="D3628" t="s">
        <v>2110</v>
      </c>
      <c r="E3628" t="s">
        <v>1137</v>
      </c>
      <c r="F3628" t="s">
        <v>4772</v>
      </c>
      <c r="G3628" t="s">
        <v>61</v>
      </c>
      <c r="H3628" t="s">
        <v>2613</v>
      </c>
      <c r="I3628" t="s">
        <v>487</v>
      </c>
      <c r="J3628">
        <v>1821</v>
      </c>
    </row>
    <row r="3629" spans="1:10">
      <c r="A3629" s="90" t="s">
        <v>216</v>
      </c>
      <c r="B3629" s="87">
        <v>46171</v>
      </c>
      <c r="C3629" t="s">
        <v>2784</v>
      </c>
      <c r="D3629" t="s">
        <v>2110</v>
      </c>
      <c r="E3629" t="s">
        <v>480</v>
      </c>
      <c r="F3629" t="s">
        <v>4647</v>
      </c>
      <c r="G3629" t="s">
        <v>71</v>
      </c>
      <c r="H3629" t="s">
        <v>2613</v>
      </c>
      <c r="I3629" t="s">
        <v>475</v>
      </c>
      <c r="J3629">
        <v>2314</v>
      </c>
    </row>
    <row r="3630" spans="1:10">
      <c r="A3630" s="90" t="s">
        <v>216</v>
      </c>
      <c r="B3630" s="87">
        <v>46171</v>
      </c>
      <c r="C3630" t="s">
        <v>4773</v>
      </c>
      <c r="D3630" t="s">
        <v>2110</v>
      </c>
      <c r="E3630" t="s">
        <v>2300</v>
      </c>
      <c r="F3630" t="s">
        <v>4647</v>
      </c>
      <c r="G3630" t="s">
        <v>220</v>
      </c>
      <c r="H3630" t="s">
        <v>4774</v>
      </c>
      <c r="I3630" t="s">
        <v>796</v>
      </c>
      <c r="J3630">
        <v>3149.64</v>
      </c>
    </row>
    <row r="3631" spans="1:10">
      <c r="A3631" s="90" t="s">
        <v>216</v>
      </c>
      <c r="B3631" s="87">
        <v>46171</v>
      </c>
      <c r="C3631" t="s">
        <v>3633</v>
      </c>
      <c r="D3631" t="s">
        <v>2110</v>
      </c>
      <c r="E3631" t="s">
        <v>480</v>
      </c>
      <c r="F3631" t="s">
        <v>4647</v>
      </c>
      <c r="G3631" t="s">
        <v>180</v>
      </c>
      <c r="H3631" t="s">
        <v>2613</v>
      </c>
      <c r="I3631" t="s">
        <v>475</v>
      </c>
      <c r="J3631">
        <v>2852.73</v>
      </c>
    </row>
    <row r="3632" spans="1:10">
      <c r="A3632" s="90" t="s">
        <v>216</v>
      </c>
      <c r="B3632" s="87">
        <v>46171</v>
      </c>
      <c r="C3632" t="s">
        <v>4798</v>
      </c>
      <c r="D3632" t="s">
        <v>2110</v>
      </c>
      <c r="E3632" t="s">
        <v>3639</v>
      </c>
      <c r="F3632" t="s">
        <v>4647</v>
      </c>
      <c r="G3632" t="s">
        <v>60</v>
      </c>
      <c r="H3632" t="s">
        <v>470</v>
      </c>
      <c r="I3632" t="s">
        <v>796</v>
      </c>
      <c r="J3632">
        <v>731.4</v>
      </c>
    </row>
    <row r="3633" spans="1:10">
      <c r="A3633" s="90" t="s">
        <v>216</v>
      </c>
      <c r="B3633" s="87">
        <v>46171</v>
      </c>
      <c r="C3633" t="s">
        <v>4798</v>
      </c>
      <c r="D3633" t="s">
        <v>2110</v>
      </c>
      <c r="E3633" t="s">
        <v>3639</v>
      </c>
      <c r="F3633" t="s">
        <v>4647</v>
      </c>
      <c r="G3633" t="s">
        <v>78</v>
      </c>
      <c r="H3633" t="s">
        <v>470</v>
      </c>
      <c r="I3633" t="s">
        <v>796</v>
      </c>
      <c r="J3633">
        <v>0.04</v>
      </c>
    </row>
    <row r="3634" spans="1:10">
      <c r="A3634" s="90" t="s">
        <v>216</v>
      </c>
      <c r="B3634" s="87">
        <v>46171</v>
      </c>
      <c r="C3634" t="s">
        <v>4799</v>
      </c>
      <c r="D3634" t="s">
        <v>2110</v>
      </c>
      <c r="E3634" t="s">
        <v>477</v>
      </c>
      <c r="F3634" t="s">
        <v>4647</v>
      </c>
      <c r="G3634" t="s">
        <v>68</v>
      </c>
      <c r="H3634" t="s">
        <v>470</v>
      </c>
      <c r="I3634" t="s">
        <v>471</v>
      </c>
      <c r="J3634">
        <v>7674.45</v>
      </c>
    </row>
    <row r="3635" spans="1:10">
      <c r="A3635" s="90" t="s">
        <v>216</v>
      </c>
      <c r="B3635" s="87">
        <v>46171</v>
      </c>
      <c r="C3635" t="s">
        <v>4799</v>
      </c>
      <c r="D3635" t="s">
        <v>2110</v>
      </c>
      <c r="E3635" t="s">
        <v>477</v>
      </c>
      <c r="F3635" t="s">
        <v>4647</v>
      </c>
      <c r="G3635" t="s">
        <v>68</v>
      </c>
      <c r="H3635" t="s">
        <v>470</v>
      </c>
      <c r="I3635" t="s">
        <v>471</v>
      </c>
      <c r="J3635">
        <v>9801.74</v>
      </c>
    </row>
    <row r="3636" spans="1:10">
      <c r="A3636" s="90" t="s">
        <v>216</v>
      </c>
      <c r="B3636" s="87">
        <v>46171</v>
      </c>
      <c r="C3636" t="s">
        <v>2348</v>
      </c>
      <c r="D3636" t="s">
        <v>2110</v>
      </c>
      <c r="E3636" t="s">
        <v>477</v>
      </c>
      <c r="F3636" t="s">
        <v>4647</v>
      </c>
      <c r="G3636" t="s">
        <v>66</v>
      </c>
      <c r="H3636" t="s">
        <v>470</v>
      </c>
      <c r="I3636" t="s">
        <v>471</v>
      </c>
      <c r="J3636">
        <v>253.59</v>
      </c>
    </row>
    <row r="3637" spans="1:10">
      <c r="A3637" s="90" t="s">
        <v>216</v>
      </c>
      <c r="B3637" s="87">
        <v>46171</v>
      </c>
      <c r="C3637" t="s">
        <v>4799</v>
      </c>
      <c r="D3637" t="s">
        <v>2110</v>
      </c>
      <c r="E3637" t="s">
        <v>477</v>
      </c>
      <c r="F3637" t="s">
        <v>4647</v>
      </c>
      <c r="G3637" t="s">
        <v>68</v>
      </c>
      <c r="H3637" t="s">
        <v>470</v>
      </c>
      <c r="I3637" t="s">
        <v>471</v>
      </c>
      <c r="J3637">
        <v>71.92</v>
      </c>
    </row>
    <row r="3638" spans="1:10" ht="13.5" customHeight="1">
      <c r="A3638" s="90" t="s">
        <v>51</v>
      </c>
      <c r="B3638" s="87">
        <v>46146</v>
      </c>
      <c r="C3638" t="s">
        <v>4735</v>
      </c>
      <c r="D3638" t="s">
        <v>2688</v>
      </c>
      <c r="E3638" t="s">
        <v>2103</v>
      </c>
      <c r="F3638" t="s">
        <v>4736</v>
      </c>
      <c r="G3638" t="s">
        <v>344</v>
      </c>
      <c r="H3638" t="s">
        <v>2123</v>
      </c>
      <c r="I3638" t="s">
        <v>487</v>
      </c>
      <c r="J3638">
        <v>19673</v>
      </c>
    </row>
    <row r="3639" spans="1:10">
      <c r="A3639" s="90" t="s">
        <v>51</v>
      </c>
      <c r="B3639" s="87">
        <v>46146</v>
      </c>
      <c r="C3639" t="s">
        <v>4735</v>
      </c>
      <c r="D3639" t="s">
        <v>2688</v>
      </c>
      <c r="E3639" t="s">
        <v>2103</v>
      </c>
      <c r="F3639" t="s">
        <v>4736</v>
      </c>
      <c r="G3639" t="s">
        <v>344</v>
      </c>
      <c r="H3639" t="s">
        <v>2123</v>
      </c>
      <c r="I3639" t="s">
        <v>487</v>
      </c>
      <c r="J3639">
        <v>12151</v>
      </c>
    </row>
    <row r="3640" spans="1:10">
      <c r="A3640" s="90" t="s">
        <v>51</v>
      </c>
      <c r="B3640" s="87">
        <v>46146</v>
      </c>
      <c r="C3640" t="s">
        <v>4775</v>
      </c>
      <c r="D3640" t="s">
        <v>2688</v>
      </c>
      <c r="E3640" t="s">
        <v>2262</v>
      </c>
      <c r="F3640" t="s">
        <v>4776</v>
      </c>
      <c r="G3640" t="s">
        <v>73</v>
      </c>
      <c r="H3640" t="s">
        <v>2613</v>
      </c>
      <c r="I3640" t="s">
        <v>796</v>
      </c>
      <c r="J3640">
        <v>675.96</v>
      </c>
    </row>
    <row r="3641" spans="1:10">
      <c r="A3641" s="90" t="s">
        <v>51</v>
      </c>
      <c r="B3641" s="87">
        <v>46146</v>
      </c>
      <c r="C3641" t="s">
        <v>4357</v>
      </c>
      <c r="D3641" t="s">
        <v>2688</v>
      </c>
      <c r="E3641" t="s">
        <v>477</v>
      </c>
      <c r="F3641" t="s">
        <v>1449</v>
      </c>
      <c r="G3641" t="s">
        <v>66</v>
      </c>
      <c r="H3641" t="s">
        <v>470</v>
      </c>
      <c r="I3641" t="s">
        <v>471</v>
      </c>
      <c r="J3641">
        <v>15.08</v>
      </c>
    </row>
    <row r="3642" spans="1:10">
      <c r="A3642" s="90" t="s">
        <v>51</v>
      </c>
      <c r="B3642" s="87">
        <v>46147</v>
      </c>
      <c r="C3642" t="s">
        <v>4737</v>
      </c>
      <c r="D3642" t="s">
        <v>2688</v>
      </c>
      <c r="E3642" t="s">
        <v>2103</v>
      </c>
      <c r="F3642" t="s">
        <v>4738</v>
      </c>
      <c r="G3642" t="s">
        <v>344</v>
      </c>
      <c r="H3642" t="s">
        <v>2123</v>
      </c>
      <c r="I3642" t="s">
        <v>487</v>
      </c>
      <c r="J3642">
        <v>42439</v>
      </c>
    </row>
    <row r="3643" spans="1:10">
      <c r="A3643" s="90" t="s">
        <v>51</v>
      </c>
      <c r="B3643" s="87">
        <v>46147</v>
      </c>
      <c r="C3643" t="s">
        <v>4580</v>
      </c>
      <c r="D3643" t="s">
        <v>2688</v>
      </c>
      <c r="E3643" t="s">
        <v>2247</v>
      </c>
      <c r="F3643" t="s">
        <v>4000</v>
      </c>
      <c r="G3643" t="s">
        <v>71</v>
      </c>
      <c r="H3643" t="s">
        <v>470</v>
      </c>
      <c r="I3643" t="s">
        <v>487</v>
      </c>
      <c r="J3643">
        <v>31000</v>
      </c>
    </row>
    <row r="3644" spans="1:10">
      <c r="A3644" s="90" t="s">
        <v>51</v>
      </c>
      <c r="B3644" s="87">
        <v>46147</v>
      </c>
      <c r="C3644" t="s">
        <v>4777</v>
      </c>
      <c r="D3644" t="s">
        <v>2688</v>
      </c>
      <c r="E3644" t="s">
        <v>3949</v>
      </c>
      <c r="F3644" t="s">
        <v>1259</v>
      </c>
      <c r="G3644" t="s">
        <v>65</v>
      </c>
      <c r="H3644" t="s">
        <v>2483</v>
      </c>
      <c r="I3644" t="s">
        <v>796</v>
      </c>
      <c r="J3644">
        <v>179.9</v>
      </c>
    </row>
    <row r="3645" spans="1:10">
      <c r="A3645" s="90" t="s">
        <v>51</v>
      </c>
      <c r="B3645" s="87">
        <v>46147</v>
      </c>
      <c r="C3645" t="s">
        <v>4800</v>
      </c>
      <c r="D3645" t="s">
        <v>2688</v>
      </c>
      <c r="E3645" t="s">
        <v>3927</v>
      </c>
      <c r="F3645" t="s">
        <v>4620</v>
      </c>
      <c r="G3645" t="s">
        <v>2494</v>
      </c>
      <c r="H3645" t="s">
        <v>470</v>
      </c>
      <c r="I3645" t="s">
        <v>796</v>
      </c>
      <c r="J3645">
        <v>0</v>
      </c>
    </row>
    <row r="3646" spans="1:10">
      <c r="A3646" s="90" t="s">
        <v>51</v>
      </c>
      <c r="B3646" s="87">
        <v>46148</v>
      </c>
      <c r="C3646" t="s">
        <v>4801</v>
      </c>
      <c r="D3646" t="s">
        <v>2688</v>
      </c>
      <c r="E3646" t="s">
        <v>3927</v>
      </c>
      <c r="F3646" t="s">
        <v>4620</v>
      </c>
      <c r="G3646" t="s">
        <v>2494</v>
      </c>
      <c r="H3646" t="s">
        <v>470</v>
      </c>
      <c r="I3646" t="s">
        <v>796</v>
      </c>
      <c r="J3646">
        <v>6542.53</v>
      </c>
    </row>
    <row r="3647" spans="1:10">
      <c r="A3647" s="90" t="s">
        <v>51</v>
      </c>
      <c r="B3647" s="87">
        <v>46148</v>
      </c>
      <c r="C3647" t="s">
        <v>4802</v>
      </c>
      <c r="D3647" t="s">
        <v>2688</v>
      </c>
      <c r="E3647" t="s">
        <v>3927</v>
      </c>
      <c r="F3647" t="s">
        <v>4615</v>
      </c>
      <c r="G3647" t="s">
        <v>2494</v>
      </c>
      <c r="H3647" t="s">
        <v>470</v>
      </c>
      <c r="I3647" t="s">
        <v>796</v>
      </c>
      <c r="J3647">
        <v>5296.39</v>
      </c>
    </row>
    <row r="3648" spans="1:10">
      <c r="A3648" s="90" t="s">
        <v>51</v>
      </c>
      <c r="B3648" s="87">
        <v>46148</v>
      </c>
      <c r="C3648" t="s">
        <v>4803</v>
      </c>
      <c r="D3648" t="s">
        <v>2688</v>
      </c>
      <c r="E3648" t="s">
        <v>3927</v>
      </c>
      <c r="F3648" t="s">
        <v>4622</v>
      </c>
      <c r="G3648" t="s">
        <v>2494</v>
      </c>
      <c r="H3648" t="s">
        <v>470</v>
      </c>
      <c r="I3648" t="s">
        <v>796</v>
      </c>
      <c r="J3648">
        <v>2203.44</v>
      </c>
    </row>
    <row r="3649" spans="1:10">
      <c r="A3649" s="90" t="s">
        <v>51</v>
      </c>
      <c r="B3649" s="87">
        <v>46148</v>
      </c>
      <c r="C3649" t="s">
        <v>4403</v>
      </c>
      <c r="D3649" t="s">
        <v>2688</v>
      </c>
      <c r="E3649" t="s">
        <v>1756</v>
      </c>
      <c r="F3649" t="s">
        <v>1259</v>
      </c>
      <c r="G3649" t="s">
        <v>67</v>
      </c>
      <c r="H3649" t="s">
        <v>470</v>
      </c>
      <c r="I3649" t="s">
        <v>796</v>
      </c>
      <c r="J3649">
        <v>390.03</v>
      </c>
    </row>
    <row r="3650" spans="1:10">
      <c r="A3650" s="90" t="s">
        <v>51</v>
      </c>
      <c r="B3650" s="87">
        <v>46148</v>
      </c>
      <c r="C3650" t="s">
        <v>4804</v>
      </c>
      <c r="D3650" t="s">
        <v>2688</v>
      </c>
      <c r="E3650" t="s">
        <v>3927</v>
      </c>
      <c r="F3650" t="s">
        <v>4622</v>
      </c>
      <c r="G3650" t="s">
        <v>2494</v>
      </c>
      <c r="H3650" t="s">
        <v>470</v>
      </c>
      <c r="I3650" t="s">
        <v>796</v>
      </c>
      <c r="J3650">
        <v>126.7</v>
      </c>
    </row>
    <row r="3651" spans="1:10">
      <c r="A3651" s="90" t="s">
        <v>51</v>
      </c>
      <c r="B3651" s="87">
        <v>46148</v>
      </c>
      <c r="C3651" t="s">
        <v>4805</v>
      </c>
      <c r="D3651" t="s">
        <v>2688</v>
      </c>
      <c r="E3651" t="s">
        <v>3927</v>
      </c>
      <c r="F3651" t="s">
        <v>4620</v>
      </c>
      <c r="G3651" t="s">
        <v>2494</v>
      </c>
      <c r="H3651" t="s">
        <v>470</v>
      </c>
      <c r="I3651" t="s">
        <v>796</v>
      </c>
      <c r="J3651">
        <v>3.99</v>
      </c>
    </row>
    <row r="3652" spans="1:10">
      <c r="A3652" s="90" t="s">
        <v>51</v>
      </c>
      <c r="B3652" s="87">
        <v>46148</v>
      </c>
      <c r="C3652" t="s">
        <v>4806</v>
      </c>
      <c r="D3652" t="s">
        <v>2688</v>
      </c>
      <c r="E3652" t="s">
        <v>3927</v>
      </c>
      <c r="F3652" t="s">
        <v>4615</v>
      </c>
      <c r="G3652" t="s">
        <v>2494</v>
      </c>
      <c r="H3652" t="s">
        <v>470</v>
      </c>
      <c r="I3652" t="s">
        <v>796</v>
      </c>
      <c r="J3652">
        <v>304.54000000000002</v>
      </c>
    </row>
    <row r="3653" spans="1:10">
      <c r="A3653" s="90" t="s">
        <v>51</v>
      </c>
      <c r="B3653" s="87">
        <v>46148</v>
      </c>
      <c r="C3653" t="s">
        <v>2275</v>
      </c>
      <c r="D3653" t="s">
        <v>2688</v>
      </c>
      <c r="E3653" t="s">
        <v>477</v>
      </c>
      <c r="F3653" t="s">
        <v>4647</v>
      </c>
      <c r="G3653" t="s">
        <v>74</v>
      </c>
      <c r="H3653" t="s">
        <v>470</v>
      </c>
      <c r="I3653" t="s">
        <v>471</v>
      </c>
      <c r="J3653">
        <v>215.9</v>
      </c>
    </row>
    <row r="3654" spans="1:10">
      <c r="A3654" s="90" t="s">
        <v>51</v>
      </c>
      <c r="B3654" s="87">
        <v>46149</v>
      </c>
      <c r="C3654" t="s">
        <v>4753</v>
      </c>
      <c r="D3654" t="s">
        <v>2688</v>
      </c>
      <c r="E3654" t="s">
        <v>3107</v>
      </c>
      <c r="F3654" t="s">
        <v>1259</v>
      </c>
      <c r="G3654" t="s">
        <v>60</v>
      </c>
      <c r="H3654" t="s">
        <v>2483</v>
      </c>
      <c r="I3654" t="s">
        <v>796</v>
      </c>
      <c r="J3654">
        <v>52.7</v>
      </c>
    </row>
    <row r="3655" spans="1:10">
      <c r="A3655" s="90" t="s">
        <v>51</v>
      </c>
      <c r="B3655" s="87">
        <v>46150</v>
      </c>
      <c r="C3655" t="s">
        <v>4778</v>
      </c>
      <c r="D3655" t="s">
        <v>2688</v>
      </c>
      <c r="E3655" t="s">
        <v>2702</v>
      </c>
      <c r="F3655" t="s">
        <v>4779</v>
      </c>
      <c r="G3655" t="s">
        <v>63</v>
      </c>
      <c r="H3655" t="s">
        <v>2613</v>
      </c>
      <c r="I3655" t="s">
        <v>796</v>
      </c>
      <c r="J3655">
        <v>133.5</v>
      </c>
    </row>
    <row r="3656" spans="1:10">
      <c r="A3656" s="90" t="s">
        <v>51</v>
      </c>
      <c r="B3656" s="87">
        <v>46153</v>
      </c>
      <c r="C3656" t="s">
        <v>4222</v>
      </c>
      <c r="D3656" t="s">
        <v>2688</v>
      </c>
      <c r="E3656" t="s">
        <v>477</v>
      </c>
      <c r="F3656" t="s">
        <v>1449</v>
      </c>
      <c r="G3656" t="s">
        <v>69</v>
      </c>
      <c r="H3656" t="s">
        <v>470</v>
      </c>
      <c r="I3656" t="s">
        <v>471</v>
      </c>
      <c r="J3656">
        <v>172.26</v>
      </c>
    </row>
    <row r="3657" spans="1:10">
      <c r="A3657" s="90" t="s">
        <v>51</v>
      </c>
      <c r="B3657" s="87">
        <v>46153</v>
      </c>
      <c r="C3657" t="s">
        <v>2275</v>
      </c>
      <c r="D3657" t="s">
        <v>2688</v>
      </c>
      <c r="E3657" t="s">
        <v>477</v>
      </c>
      <c r="F3657" t="s">
        <v>4647</v>
      </c>
      <c r="G3657" t="s">
        <v>74</v>
      </c>
      <c r="H3657" t="s">
        <v>470</v>
      </c>
      <c r="I3657" t="s">
        <v>471</v>
      </c>
      <c r="J3657">
        <v>95</v>
      </c>
    </row>
    <row r="3658" spans="1:10">
      <c r="A3658" s="90" t="s">
        <v>51</v>
      </c>
      <c r="B3658" s="87">
        <v>46153</v>
      </c>
      <c r="C3658" t="s">
        <v>2295</v>
      </c>
      <c r="D3658" t="s">
        <v>2688</v>
      </c>
      <c r="E3658" t="s">
        <v>477</v>
      </c>
      <c r="F3658" t="s">
        <v>4647</v>
      </c>
      <c r="G3658" t="s">
        <v>2295</v>
      </c>
      <c r="H3658" t="s">
        <v>470</v>
      </c>
      <c r="I3658" t="s">
        <v>471</v>
      </c>
      <c r="J3658">
        <v>702.84</v>
      </c>
    </row>
    <row r="3659" spans="1:10">
      <c r="A3659" s="90" t="s">
        <v>51</v>
      </c>
      <c r="B3659" s="87">
        <v>46155</v>
      </c>
      <c r="C3659" t="s">
        <v>4780</v>
      </c>
      <c r="D3659" t="s">
        <v>2688</v>
      </c>
      <c r="E3659" t="s">
        <v>4041</v>
      </c>
      <c r="F3659" t="s">
        <v>4647</v>
      </c>
      <c r="G3659" t="s">
        <v>71</v>
      </c>
      <c r="H3659" t="s">
        <v>470</v>
      </c>
      <c r="I3659" t="s">
        <v>482</v>
      </c>
      <c r="J3659">
        <v>3000</v>
      </c>
    </row>
    <row r="3660" spans="1:10">
      <c r="A3660" s="90" t="s">
        <v>51</v>
      </c>
      <c r="B3660" s="87">
        <v>46157</v>
      </c>
      <c r="C3660" t="s">
        <v>4807</v>
      </c>
      <c r="D3660" t="s">
        <v>2688</v>
      </c>
      <c r="E3660" t="s">
        <v>1881</v>
      </c>
      <c r="F3660" t="s">
        <v>4808</v>
      </c>
      <c r="G3660" t="s">
        <v>2112</v>
      </c>
      <c r="H3660" t="s">
        <v>470</v>
      </c>
      <c r="I3660" t="s">
        <v>475</v>
      </c>
      <c r="J3660">
        <v>140075</v>
      </c>
    </row>
    <row r="3661" spans="1:10">
      <c r="A3661" s="90" t="s">
        <v>51</v>
      </c>
      <c r="B3661" s="87">
        <v>46157</v>
      </c>
      <c r="C3661" t="s">
        <v>4809</v>
      </c>
      <c r="D3661" t="s">
        <v>2688</v>
      </c>
      <c r="E3661" t="s">
        <v>1881</v>
      </c>
      <c r="F3661" t="s">
        <v>4810</v>
      </c>
      <c r="G3661" t="s">
        <v>2112</v>
      </c>
      <c r="H3661" t="s">
        <v>470</v>
      </c>
      <c r="I3661" t="s">
        <v>475</v>
      </c>
      <c r="J3661">
        <v>41221.49</v>
      </c>
    </row>
    <row r="3662" spans="1:10">
      <c r="A3662" s="90" t="s">
        <v>51</v>
      </c>
      <c r="B3662" s="87">
        <v>46157</v>
      </c>
      <c r="C3662" t="s">
        <v>4811</v>
      </c>
      <c r="D3662" t="s">
        <v>2688</v>
      </c>
      <c r="E3662" t="s">
        <v>1881</v>
      </c>
      <c r="F3662" t="s">
        <v>4812</v>
      </c>
      <c r="G3662" t="s">
        <v>2112</v>
      </c>
      <c r="H3662" t="s">
        <v>470</v>
      </c>
      <c r="I3662" t="s">
        <v>475</v>
      </c>
      <c r="J3662">
        <v>11480</v>
      </c>
    </row>
    <row r="3663" spans="1:10">
      <c r="A3663" s="90" t="s">
        <v>51</v>
      </c>
      <c r="B3663" s="87">
        <v>46157</v>
      </c>
      <c r="C3663" t="s">
        <v>4813</v>
      </c>
      <c r="D3663" t="s">
        <v>2688</v>
      </c>
      <c r="E3663" t="s">
        <v>1881</v>
      </c>
      <c r="F3663" t="s">
        <v>4814</v>
      </c>
      <c r="G3663" t="s">
        <v>2112</v>
      </c>
      <c r="H3663" t="s">
        <v>470</v>
      </c>
      <c r="I3663" t="s">
        <v>475</v>
      </c>
      <c r="J3663">
        <v>6030.64</v>
      </c>
    </row>
    <row r="3664" spans="1:10">
      <c r="A3664" s="90" t="s">
        <v>51</v>
      </c>
      <c r="B3664" s="87">
        <v>46157</v>
      </c>
      <c r="C3664" t="s">
        <v>4813</v>
      </c>
      <c r="D3664" t="s">
        <v>2688</v>
      </c>
      <c r="E3664" t="s">
        <v>1881</v>
      </c>
      <c r="F3664" t="s">
        <v>4814</v>
      </c>
      <c r="G3664" t="s">
        <v>2112</v>
      </c>
      <c r="H3664" t="s">
        <v>470</v>
      </c>
      <c r="I3664" t="s">
        <v>475</v>
      </c>
      <c r="J3664">
        <v>628.22</v>
      </c>
    </row>
    <row r="3665" spans="1:10">
      <c r="A3665" s="90" t="s">
        <v>51</v>
      </c>
      <c r="B3665" s="87">
        <v>46157</v>
      </c>
      <c r="C3665" t="s">
        <v>4809</v>
      </c>
      <c r="D3665" t="s">
        <v>2688</v>
      </c>
      <c r="E3665" t="s">
        <v>1881</v>
      </c>
      <c r="F3665" t="s">
        <v>4810</v>
      </c>
      <c r="G3665" t="s">
        <v>2112</v>
      </c>
      <c r="H3665" t="s">
        <v>470</v>
      </c>
      <c r="I3665" t="s">
        <v>475</v>
      </c>
      <c r="J3665">
        <v>4927.76</v>
      </c>
    </row>
    <row r="3666" spans="1:10">
      <c r="A3666" s="90" t="s">
        <v>51</v>
      </c>
      <c r="B3666" s="87">
        <v>46157</v>
      </c>
      <c r="C3666" t="s">
        <v>4782</v>
      </c>
      <c r="D3666" t="s">
        <v>2688</v>
      </c>
      <c r="E3666" t="s">
        <v>773</v>
      </c>
      <c r="F3666" t="s">
        <v>4783</v>
      </c>
      <c r="G3666" t="s">
        <v>537</v>
      </c>
      <c r="H3666" t="s">
        <v>470</v>
      </c>
      <c r="I3666" t="s">
        <v>475</v>
      </c>
      <c r="J3666">
        <v>1000000</v>
      </c>
    </row>
    <row r="3667" spans="1:10">
      <c r="A3667" s="90" t="s">
        <v>51</v>
      </c>
      <c r="B3667" s="87">
        <v>46161</v>
      </c>
      <c r="C3667" t="s">
        <v>4781</v>
      </c>
      <c r="D3667" t="s">
        <v>2688</v>
      </c>
      <c r="E3667" t="s">
        <v>3107</v>
      </c>
      <c r="F3667" t="s">
        <v>4647</v>
      </c>
      <c r="G3667" t="s">
        <v>60</v>
      </c>
      <c r="H3667" t="s">
        <v>2613</v>
      </c>
      <c r="I3667" t="s">
        <v>796</v>
      </c>
      <c r="J3667">
        <v>134.51</v>
      </c>
    </row>
    <row r="3668" spans="1:10">
      <c r="A3668" s="90" t="s">
        <v>51</v>
      </c>
      <c r="B3668" s="87">
        <v>46161</v>
      </c>
      <c r="C3668" t="s">
        <v>4784</v>
      </c>
      <c r="D3668" t="s">
        <v>2688</v>
      </c>
      <c r="E3668" t="s">
        <v>2300</v>
      </c>
      <c r="F3668" t="s">
        <v>4647</v>
      </c>
      <c r="G3668" t="s">
        <v>70</v>
      </c>
      <c r="H3668" t="s">
        <v>470</v>
      </c>
      <c r="I3668" t="s">
        <v>796</v>
      </c>
      <c r="J3668">
        <v>52.02</v>
      </c>
    </row>
    <row r="3669" spans="1:10">
      <c r="A3669" s="90" t="s">
        <v>51</v>
      </c>
      <c r="B3669" s="87">
        <v>46162</v>
      </c>
      <c r="C3669" t="s">
        <v>4815</v>
      </c>
      <c r="D3669" t="s">
        <v>2688</v>
      </c>
      <c r="E3669" t="s">
        <v>3927</v>
      </c>
      <c r="F3669" t="s">
        <v>4622</v>
      </c>
      <c r="G3669" t="s">
        <v>2381</v>
      </c>
      <c r="H3669" t="s">
        <v>470</v>
      </c>
      <c r="I3669" t="s">
        <v>796</v>
      </c>
      <c r="J3669">
        <v>143.36000000000001</v>
      </c>
    </row>
    <row r="3670" spans="1:10">
      <c r="A3670" s="90" t="s">
        <v>51</v>
      </c>
      <c r="B3670" s="87">
        <v>46162</v>
      </c>
      <c r="C3670" t="s">
        <v>4816</v>
      </c>
      <c r="D3670" t="s">
        <v>2688</v>
      </c>
      <c r="E3670" t="s">
        <v>3927</v>
      </c>
      <c r="F3670" t="s">
        <v>4615</v>
      </c>
      <c r="G3670" t="s">
        <v>2381</v>
      </c>
      <c r="H3670" t="s">
        <v>470</v>
      </c>
      <c r="I3670" t="s">
        <v>796</v>
      </c>
      <c r="J3670">
        <v>344.61</v>
      </c>
    </row>
    <row r="3671" spans="1:10">
      <c r="A3671" s="90" t="s">
        <v>51</v>
      </c>
      <c r="B3671" s="87">
        <v>46162</v>
      </c>
      <c r="C3671" t="s">
        <v>4800</v>
      </c>
      <c r="D3671" t="s">
        <v>2688</v>
      </c>
      <c r="E3671" t="s">
        <v>3927</v>
      </c>
      <c r="F3671" t="s">
        <v>4620</v>
      </c>
      <c r="G3671" t="s">
        <v>2381</v>
      </c>
      <c r="H3671" t="s">
        <v>470</v>
      </c>
      <c r="I3671" t="s">
        <v>796</v>
      </c>
      <c r="J3671">
        <v>372.59</v>
      </c>
    </row>
    <row r="3672" spans="1:10">
      <c r="A3672" s="90" t="s">
        <v>51</v>
      </c>
      <c r="B3672" s="87">
        <v>46162</v>
      </c>
      <c r="C3672" t="s">
        <v>4753</v>
      </c>
      <c r="D3672" t="s">
        <v>2688</v>
      </c>
      <c r="E3672" t="s">
        <v>2318</v>
      </c>
      <c r="F3672" t="s">
        <v>1259</v>
      </c>
      <c r="G3672" t="s">
        <v>64</v>
      </c>
      <c r="H3672" t="s">
        <v>2483</v>
      </c>
      <c r="I3672" t="s">
        <v>796</v>
      </c>
      <c r="J3672">
        <v>806</v>
      </c>
    </row>
    <row r="3673" spans="1:10">
      <c r="A3673" s="90" t="s">
        <v>51</v>
      </c>
      <c r="B3673" s="87">
        <v>46169</v>
      </c>
      <c r="C3673" t="s">
        <v>4787</v>
      </c>
      <c r="D3673" t="s">
        <v>2688</v>
      </c>
      <c r="E3673" t="s">
        <v>4788</v>
      </c>
      <c r="F3673" t="s">
        <v>4789</v>
      </c>
      <c r="G3673" t="s">
        <v>4646</v>
      </c>
      <c r="H3673" t="s">
        <v>470</v>
      </c>
      <c r="I3673" t="s">
        <v>487</v>
      </c>
      <c r="J3673">
        <v>386</v>
      </c>
    </row>
    <row r="3674" spans="1:10">
      <c r="A3674" s="90" t="s">
        <v>51</v>
      </c>
      <c r="B3674" s="87">
        <v>46171</v>
      </c>
      <c r="C3674" t="s">
        <v>4785</v>
      </c>
      <c r="D3674" t="s">
        <v>2688</v>
      </c>
      <c r="E3674" t="s">
        <v>1137</v>
      </c>
      <c r="F3674" t="s">
        <v>4786</v>
      </c>
      <c r="G3674" t="s">
        <v>61</v>
      </c>
      <c r="H3674" t="s">
        <v>2613</v>
      </c>
      <c r="I3674" t="s">
        <v>487</v>
      </c>
      <c r="J3674">
        <v>1821</v>
      </c>
    </row>
    <row r="3675" spans="1:10">
      <c r="A3675" s="90" t="s">
        <v>51</v>
      </c>
      <c r="B3675" s="87">
        <v>46171</v>
      </c>
      <c r="C3675" t="s">
        <v>2784</v>
      </c>
      <c r="D3675" t="s">
        <v>2688</v>
      </c>
      <c r="E3675" t="s">
        <v>1667</v>
      </c>
      <c r="F3675" t="s">
        <v>4647</v>
      </c>
      <c r="G3675" t="s">
        <v>71</v>
      </c>
      <c r="H3675" t="s">
        <v>2613</v>
      </c>
      <c r="I3675" t="s">
        <v>475</v>
      </c>
      <c r="J3675">
        <v>2314</v>
      </c>
    </row>
    <row r="3676" spans="1:10">
      <c r="A3676" s="90" t="s">
        <v>51</v>
      </c>
      <c r="B3676" s="87">
        <v>46171</v>
      </c>
      <c r="C3676" t="s">
        <v>3633</v>
      </c>
      <c r="D3676" t="s">
        <v>2688</v>
      </c>
      <c r="E3676" t="s">
        <v>1667</v>
      </c>
      <c r="F3676" t="s">
        <v>4647</v>
      </c>
      <c r="G3676" t="s">
        <v>180</v>
      </c>
      <c r="H3676" t="s">
        <v>2613</v>
      </c>
      <c r="I3676" t="s">
        <v>475</v>
      </c>
      <c r="J3676">
        <v>2210.1999999999998</v>
      </c>
    </row>
    <row r="3677" spans="1:10">
      <c r="A3677" s="90" t="s">
        <v>51</v>
      </c>
      <c r="B3677" s="87">
        <v>46171</v>
      </c>
      <c r="C3677" t="s">
        <v>2347</v>
      </c>
      <c r="D3677" t="s">
        <v>2688</v>
      </c>
      <c r="E3677" t="s">
        <v>477</v>
      </c>
      <c r="F3677" t="s">
        <v>4647</v>
      </c>
      <c r="G3677" t="s">
        <v>68</v>
      </c>
      <c r="H3677" t="s">
        <v>470</v>
      </c>
      <c r="I3677" t="s">
        <v>471</v>
      </c>
      <c r="J3677">
        <v>8977.58</v>
      </c>
    </row>
    <row r="3678" spans="1:10">
      <c r="A3678" s="90" t="s">
        <v>51</v>
      </c>
      <c r="B3678" s="87">
        <v>46171</v>
      </c>
      <c r="C3678" t="s">
        <v>2347</v>
      </c>
      <c r="D3678" t="s">
        <v>2688</v>
      </c>
      <c r="E3678" t="s">
        <v>477</v>
      </c>
      <c r="F3678" t="s">
        <v>4647</v>
      </c>
      <c r="G3678" t="s">
        <v>68</v>
      </c>
      <c r="H3678" t="s">
        <v>470</v>
      </c>
      <c r="I3678" t="s">
        <v>471</v>
      </c>
      <c r="J3678">
        <v>231.77</v>
      </c>
    </row>
    <row r="3679" spans="1:10">
      <c r="A3679" s="90" t="s">
        <v>51</v>
      </c>
      <c r="B3679" s="87">
        <v>46171</v>
      </c>
      <c r="C3679" t="s">
        <v>2347</v>
      </c>
      <c r="D3679" t="s">
        <v>2688</v>
      </c>
      <c r="E3679" t="s">
        <v>477</v>
      </c>
      <c r="F3679" t="s">
        <v>4647</v>
      </c>
      <c r="G3679" t="s">
        <v>68</v>
      </c>
      <c r="H3679" t="s">
        <v>470</v>
      </c>
      <c r="I3679" t="s">
        <v>471</v>
      </c>
      <c r="J3679">
        <v>1225.27</v>
      </c>
    </row>
    <row r="3680" spans="1:10">
      <c r="A3680" s="90" t="s">
        <v>51</v>
      </c>
      <c r="B3680" s="87">
        <v>46171</v>
      </c>
      <c r="C3680" t="s">
        <v>2348</v>
      </c>
      <c r="D3680" t="s">
        <v>2688</v>
      </c>
      <c r="E3680" t="s">
        <v>477</v>
      </c>
      <c r="F3680" t="s">
        <v>4647</v>
      </c>
      <c r="G3680" t="s">
        <v>66</v>
      </c>
      <c r="H3680" t="s">
        <v>470</v>
      </c>
      <c r="I3680" t="s">
        <v>471</v>
      </c>
      <c r="J3680">
        <v>274.64999999999998</v>
      </c>
    </row>
    <row r="3681" spans="1:10">
      <c r="A3681" s="90" t="s">
        <v>51</v>
      </c>
      <c r="B3681" s="87">
        <v>46171</v>
      </c>
      <c r="C3681" t="s">
        <v>2347</v>
      </c>
      <c r="D3681" t="s">
        <v>2688</v>
      </c>
      <c r="E3681" t="s">
        <v>477</v>
      </c>
      <c r="F3681" t="s">
        <v>4647</v>
      </c>
      <c r="G3681" t="s">
        <v>68</v>
      </c>
      <c r="H3681" t="s">
        <v>470</v>
      </c>
      <c r="I3681" t="s">
        <v>471</v>
      </c>
      <c r="J3681">
        <v>49.77</v>
      </c>
    </row>
    <row r="3682" spans="1:10" ht="15.75">
      <c r="A3682" s="108" t="s">
        <v>54</v>
      </c>
      <c r="B3682"/>
      <c r="J3682" s="110">
        <f>SUBTOTAL(109,BD_DESP_COMPL[ValorPagoR])</f>
        <v>209940015.29999989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2"/>
  <sheetViews>
    <sheetView showGridLines="0" topLeftCell="A21" zoomScaleNormal="100" workbookViewId="0">
      <selection activeCell="E33" sqref="E33"/>
    </sheetView>
  </sheetViews>
  <sheetFormatPr defaultColWidth="8.625" defaultRowHeight="14.25"/>
  <cols>
    <col min="2" max="2" width="27.875" bestFit="1" customWidth="1"/>
    <col min="3" max="3" width="16" bestFit="1" customWidth="1"/>
    <col min="4" max="4" width="12.125" bestFit="1" customWidth="1"/>
    <col min="5" max="5" width="27.875" bestFit="1" customWidth="1"/>
    <col min="6" max="6" width="10.125" bestFit="1" customWidth="1"/>
    <col min="7" max="7" width="9.375" bestFit="1" customWidth="1"/>
    <col min="8" max="8" width="27.875" bestFit="1" customWidth="1"/>
    <col min="9" max="9" width="12.625" bestFit="1" customWidth="1"/>
    <col min="10" max="10" width="11.625" bestFit="1" customWidth="1"/>
    <col min="11" max="11" width="13.25" bestFit="1" customWidth="1"/>
    <col min="12" max="12" width="10.375" bestFit="1" customWidth="1"/>
    <col min="13" max="13" width="8.875" bestFit="1" customWidth="1"/>
    <col min="14" max="14" width="13.375" bestFit="1" customWidth="1"/>
    <col min="15" max="15" width="11.75" bestFit="1" customWidth="1"/>
  </cols>
  <sheetData>
    <row r="1" spans="2:15" ht="15" thickBot="1"/>
    <row r="2" spans="2:15" ht="15.75" thickBot="1">
      <c r="B2" s="127" t="s">
        <v>118</v>
      </c>
      <c r="C2" s="128"/>
      <c r="E2" s="129" t="s">
        <v>119</v>
      </c>
      <c r="F2" s="130"/>
      <c r="H2" s="131" t="s">
        <v>51</v>
      </c>
      <c r="I2" s="132"/>
    </row>
    <row r="3" spans="2:15" ht="15">
      <c r="B3" s="122" t="s">
        <v>122</v>
      </c>
      <c r="C3" s="122"/>
      <c r="E3" s="122" t="s">
        <v>122</v>
      </c>
      <c r="F3" s="122"/>
      <c r="H3" s="122" t="s">
        <v>122</v>
      </c>
      <c r="I3" s="122"/>
    </row>
    <row r="4" spans="2:15" ht="15">
      <c r="B4" s="43" t="s">
        <v>4</v>
      </c>
      <c r="C4" s="44">
        <f>BD_LUCRO[[#Totals],[Lucro Bruto]]</f>
        <v>8797015.3100000005</v>
      </c>
      <c r="E4" s="43" t="s">
        <v>4</v>
      </c>
      <c r="F4" s="44"/>
      <c r="H4" s="43" t="s">
        <v>4</v>
      </c>
      <c r="I4" s="44"/>
    </row>
    <row r="5" spans="2:15">
      <c r="B5" s="43" t="s">
        <v>5</v>
      </c>
      <c r="C5" s="45">
        <f>-BD_LUCRO[[#Totals],[Total Frete]]</f>
        <v>-3422858.7999999993</v>
      </c>
      <c r="E5" s="43" t="s">
        <v>5</v>
      </c>
      <c r="F5" s="45"/>
      <c r="H5" s="43" t="s">
        <v>5</v>
      </c>
      <c r="I5" s="45"/>
    </row>
    <row r="6" spans="2:15">
      <c r="B6" s="43" t="s">
        <v>79</v>
      </c>
      <c r="C6" s="45">
        <f>-BD_LUCRO[[#Totals],[Impostos]]</f>
        <v>-73243.419999999984</v>
      </c>
      <c r="E6" s="43" t="s">
        <v>79</v>
      </c>
      <c r="F6" s="45"/>
      <c r="H6" s="43" t="s">
        <v>79</v>
      </c>
      <c r="I6" s="45"/>
    </row>
    <row r="7" spans="2:15">
      <c r="B7" s="43" t="s">
        <v>7</v>
      </c>
      <c r="C7" s="45">
        <f>-BD_LUCRO[[#Totals],[Comissão]]</f>
        <v>-2018865.0299999996</v>
      </c>
      <c r="E7" s="43" t="s">
        <v>7</v>
      </c>
      <c r="F7" s="45"/>
      <c r="H7" s="43" t="s">
        <v>7</v>
      </c>
      <c r="I7" s="45"/>
    </row>
    <row r="8" spans="2:15" ht="15">
      <c r="B8" s="46" t="s">
        <v>8</v>
      </c>
      <c r="C8" s="47">
        <f>BD_LUCRO[[#Totals],[Lucro Líq.]]</f>
        <v>5627736.5999999978</v>
      </c>
      <c r="E8" s="46" t="s">
        <v>8</v>
      </c>
      <c r="F8" s="47"/>
      <c r="H8" s="46" t="s">
        <v>8</v>
      </c>
      <c r="I8" s="47"/>
    </row>
    <row r="9" spans="2:15">
      <c r="B9" s="43" t="s">
        <v>9</v>
      </c>
      <c r="C9" s="48">
        <f>-BD_DESP[[#Totals],[Valor]]</f>
        <v>-5011512.580000001</v>
      </c>
      <c r="E9" s="43" t="s">
        <v>9</v>
      </c>
      <c r="F9" s="48"/>
      <c r="H9" s="43" t="s">
        <v>9</v>
      </c>
      <c r="I9" s="48"/>
    </row>
    <row r="10" spans="2:15" ht="15">
      <c r="B10" s="46" t="s">
        <v>10</v>
      </c>
      <c r="C10" s="47">
        <f>C8+C9</f>
        <v>616224.01999999676</v>
      </c>
      <c r="E10" s="46" t="s">
        <v>10</v>
      </c>
      <c r="F10" s="47">
        <f>F8+F9</f>
        <v>0</v>
      </c>
      <c r="H10" s="46" t="s">
        <v>10</v>
      </c>
      <c r="I10" s="47">
        <f>I8+I9</f>
        <v>0</v>
      </c>
    </row>
    <row r="12" spans="2:15" ht="15.75">
      <c r="B12" s="125" t="s">
        <v>121</v>
      </c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</row>
    <row r="13" spans="2:15" ht="24">
      <c r="B13" s="49" t="s">
        <v>16</v>
      </c>
      <c r="C13" s="49" t="s">
        <v>80</v>
      </c>
      <c r="D13" s="49" t="s">
        <v>81</v>
      </c>
      <c r="E13" s="49" t="s">
        <v>42</v>
      </c>
      <c r="F13" s="49" t="s">
        <v>43</v>
      </c>
      <c r="G13" s="49" t="s">
        <v>82</v>
      </c>
      <c r="H13" s="49" t="s">
        <v>83</v>
      </c>
      <c r="I13" s="49" t="s">
        <v>84</v>
      </c>
      <c r="J13" s="49" t="s">
        <v>85</v>
      </c>
      <c r="K13" s="49" t="s">
        <v>86</v>
      </c>
      <c r="L13" s="49" t="s">
        <v>87</v>
      </c>
      <c r="M13" s="49" t="s">
        <v>88</v>
      </c>
      <c r="N13" s="49" t="s">
        <v>89</v>
      </c>
      <c r="O13" s="49" t="s">
        <v>90</v>
      </c>
    </row>
    <row r="14" spans="2:15">
      <c r="B14" s="50" t="s">
        <v>91</v>
      </c>
      <c r="C14" s="51">
        <f>COUNTIFS(BD_LUCRO[Mês],$B14)</f>
        <v>20</v>
      </c>
      <c r="D14" s="52">
        <f>SUMIFS(BD_LUCRO[Peso Kg],BD_LUCRO[Mês],$B14)</f>
        <v>1405762</v>
      </c>
      <c r="E14" s="52">
        <f>SUMIFS(BD_LUCRO[Lucro Bruto],BD_LUCRO[Mês],$B14)</f>
        <v>396032.24999999983</v>
      </c>
      <c r="F14" s="52">
        <f>SUMIFS(BD_LUCRO[Total Frete],BD_LUCRO[Mês],$B14)</f>
        <v>103059.8</v>
      </c>
      <c r="G14" s="52">
        <f>SUMIFS(BD_LUCRO[Impostos],BD_LUCRO[Mês],$B14)</f>
        <v>11250.02</v>
      </c>
      <c r="H14" s="52">
        <f>SUMIFS(BD_LUCRO[Comissão],BD_LUCRO[Mês],$B14)</f>
        <v>18245.080000000005</v>
      </c>
      <c r="I14" s="52">
        <f>SUMIFS(BD_LUCRO[Lucro Líq.],BD_LUCRO[Mês],$B14)</f>
        <v>259819.54</v>
      </c>
      <c r="J14" s="52">
        <f>SUMIFS(BD_DESP[Valor],BD_DESP[Mês],$B14)</f>
        <v>277928.94000000012</v>
      </c>
      <c r="K14" s="52">
        <f t="shared" ref="K14:K25" si="0">I14-J14</f>
        <v>-18109.400000000111</v>
      </c>
      <c r="L14" s="53">
        <f t="shared" ref="L14:L26" si="1">IF(E14&lt;&gt;0,(E14-F14-G14-H14)/E14,0)</f>
        <v>0.66529266240312479</v>
      </c>
      <c r="M14" s="53">
        <f t="shared" ref="M14:M26" si="2">IF(E14&lt;&gt;0,K14/E14,0)</f>
        <v>-4.5727084094793084E-2</v>
      </c>
      <c r="N14" s="54" t="str">
        <f>IF(COUNTIFS(BD_LUCRO[Mês],$B14)=0,"N/A",IF(K14&gt;=0,"✅ POSITIVO","❌ NEGATIVO"))</f>
        <v>❌ NEGATIVO</v>
      </c>
      <c r="O14" s="55" t="s">
        <v>92</v>
      </c>
    </row>
    <row r="15" spans="2:15">
      <c r="B15" s="56" t="s">
        <v>93</v>
      </c>
      <c r="C15" s="51">
        <f>COUNTIFS(BD_LUCRO[Mês],$B15)</f>
        <v>36</v>
      </c>
      <c r="D15" s="52">
        <f>SUMIFS(BD_LUCRO[Peso Kg],BD_LUCRO[Mês],$B15)</f>
        <v>3191522</v>
      </c>
      <c r="E15" s="52">
        <f>SUMIFS(BD_LUCRO[Lucro Bruto],BD_LUCRO[Mês],$B15)</f>
        <v>642712.95999999985</v>
      </c>
      <c r="F15" s="52">
        <f>SUMIFS(BD_LUCRO[Total Frete],BD_LUCRO[Mês],$B15)</f>
        <v>37740.199999999997</v>
      </c>
      <c r="G15" s="52">
        <f>SUMIFS(BD_LUCRO[Impostos],BD_LUCRO[Mês],$B15)</f>
        <v>48781.219999999994</v>
      </c>
      <c r="H15" s="52">
        <f>SUMIFS(BD_LUCRO[Comissão],BD_LUCRO[Mês],$B15)</f>
        <v>67458.530000000013</v>
      </c>
      <c r="I15" s="52">
        <f>SUMIFS(BD_LUCRO[Lucro Líq.],BD_LUCRO[Mês],$B15)</f>
        <v>487694.56000000011</v>
      </c>
      <c r="J15" s="52">
        <f>SUMIFS(BD_DESP[Valor],BD_DESP[Mês],$B15)</f>
        <v>190770.48000000004</v>
      </c>
      <c r="K15" s="52">
        <f t="shared" si="0"/>
        <v>296924.08000000007</v>
      </c>
      <c r="L15" s="53">
        <f t="shared" si="1"/>
        <v>0.76042189969220475</v>
      </c>
      <c r="M15" s="53">
        <f t="shared" si="2"/>
        <v>0.46198551838755536</v>
      </c>
      <c r="N15" s="54" t="str">
        <f>IF(COUNTIFS(BD_LUCRO[Mês],$B15)=0,"N/A",IF(K15&gt;=0,"✅ POSITIVO","❌ NEGATIVO"))</f>
        <v>✅ POSITIVO</v>
      </c>
      <c r="O15" s="57">
        <f t="shared" ref="O15:O25" si="3">IF(C15=0,0,IF(OR(C14=0,K14=0),0,(K15-K14)/ABS(K14)))</f>
        <v>17.396130186532865</v>
      </c>
    </row>
    <row r="16" spans="2:15">
      <c r="B16" s="50" t="s">
        <v>94</v>
      </c>
      <c r="C16" s="51">
        <f>COUNTIFS(BD_LUCRO[Mês],$B16)</f>
        <v>21</v>
      </c>
      <c r="D16" s="52">
        <f>SUMIFS(BD_LUCRO[Peso Kg],BD_LUCRO[Mês],$B16)</f>
        <v>4055398</v>
      </c>
      <c r="E16" s="52">
        <f>SUMIFS(BD_LUCRO[Lucro Bruto],BD_LUCRO[Mês],$B16)</f>
        <v>630446.4</v>
      </c>
      <c r="F16" s="52">
        <f>SUMIFS(BD_LUCRO[Total Frete],BD_LUCRO[Mês],$B16)</f>
        <v>17877</v>
      </c>
      <c r="G16" s="52">
        <f>SUMIFS(BD_LUCRO[Impostos],BD_LUCRO[Mês],$B16)</f>
        <v>5032.6099999999997</v>
      </c>
      <c r="H16" s="52">
        <f>SUMIFS(BD_LUCRO[Comissão],BD_LUCRO[Mês],$B16)</f>
        <v>69624.03</v>
      </c>
      <c r="I16" s="52">
        <f>SUMIFS(BD_LUCRO[Lucro Líq.],BD_LUCRO[Mês],$B16)</f>
        <v>561581.16999999993</v>
      </c>
      <c r="J16" s="52">
        <f>SUMIFS(BD_DESP[Valor],BD_DESP[Mês],$B16)</f>
        <v>258155.20000000004</v>
      </c>
      <c r="K16" s="52">
        <f t="shared" si="0"/>
        <v>303425.96999999986</v>
      </c>
      <c r="L16" s="53">
        <f t="shared" si="1"/>
        <v>0.85322520677412061</v>
      </c>
      <c r="M16" s="53">
        <f t="shared" si="2"/>
        <v>0.4812874972400506</v>
      </c>
      <c r="N16" s="54" t="str">
        <f>IF(COUNTIFS(BD_LUCRO[Mês],$B16)=0,"N/A",IF(K16&gt;=0,"✅ POSITIVO","❌ NEGATIVO"))</f>
        <v>✅ POSITIVO</v>
      </c>
      <c r="O16" s="57">
        <f t="shared" si="3"/>
        <v>2.189748301990118E-2</v>
      </c>
    </row>
    <row r="17" spans="2:15">
      <c r="B17" s="56" t="s">
        <v>95</v>
      </c>
      <c r="C17" s="51">
        <f>COUNTIFS(BD_LUCRO[Mês],$B17)</f>
        <v>8</v>
      </c>
      <c r="D17" s="52">
        <f>SUMIFS(BD_LUCRO[Peso Kg],BD_LUCRO[Mês],$B17)</f>
        <v>401939</v>
      </c>
      <c r="E17" s="52">
        <f>SUMIFS(BD_LUCRO[Lucro Bruto],BD_LUCRO[Mês],$B17)</f>
        <v>50857.63</v>
      </c>
      <c r="F17" s="52">
        <f>SUMIFS(BD_LUCRO[Total Frete],BD_LUCRO[Mês],$B17)</f>
        <v>5010</v>
      </c>
      <c r="G17" s="52">
        <f>SUMIFS(BD_LUCRO[Impostos],BD_LUCRO[Mês],$B17)</f>
        <v>897.6</v>
      </c>
      <c r="H17" s="52">
        <f>SUMIFS(BD_LUCRO[Comissão],BD_LUCRO[Mês],$B17)</f>
        <v>14541.85</v>
      </c>
      <c r="I17" s="52">
        <f>SUMIFS(BD_LUCRO[Lucro Líq.],BD_LUCRO[Mês],$B17)</f>
        <v>30408.190000000002</v>
      </c>
      <c r="J17" s="52">
        <f>SUMIFS(BD_DESP[Valor],BD_DESP[Mês],$B17)</f>
        <v>384352.01000000007</v>
      </c>
      <c r="K17" s="52">
        <f t="shared" si="0"/>
        <v>-353943.82000000007</v>
      </c>
      <c r="L17" s="53">
        <f t="shared" si="1"/>
        <v>0.59790792453364427</v>
      </c>
      <c r="M17" s="53">
        <f t="shared" si="2"/>
        <v>-6.9595028317284955</v>
      </c>
      <c r="N17" s="54" t="str">
        <f>IF(COUNTIFS(BD_LUCRO[Mês],$B17)=0,"N/A",IF(K17&gt;=0,"✅ POSITIVO","❌ NEGATIVO"))</f>
        <v>❌ NEGATIVO</v>
      </c>
      <c r="O17" s="57">
        <f t="shared" si="3"/>
        <v>-2.1664915168599452</v>
      </c>
    </row>
    <row r="18" spans="2:15">
      <c r="B18" s="50" t="s">
        <v>96</v>
      </c>
      <c r="C18" s="51">
        <f>COUNTIFS(BD_LUCRO[Mês],$B18)</f>
        <v>1</v>
      </c>
      <c r="D18" s="52">
        <f>SUMIFS(BD_LUCRO[Peso Kg],BD_LUCRO[Mês],$B18)</f>
        <v>1959060</v>
      </c>
      <c r="E18" s="52">
        <f>SUMIFS(BD_LUCRO[Lucro Bruto],BD_LUCRO[Mês],$B18)</f>
        <v>111013.4</v>
      </c>
      <c r="F18" s="52">
        <f>SUMIFS(BD_LUCRO[Total Frete],BD_LUCRO[Mês],$B18)</f>
        <v>0</v>
      </c>
      <c r="G18" s="52">
        <f>SUMIFS(BD_LUCRO[Impostos],BD_LUCRO[Mês],$B18)</f>
        <v>0</v>
      </c>
      <c r="H18" s="52">
        <f>SUMIFS(BD_LUCRO[Comissão],BD_LUCRO[Mês],$B18)</f>
        <v>22855.7</v>
      </c>
      <c r="I18" s="52">
        <f>SUMIFS(BD_LUCRO[Lucro Líq.],BD_LUCRO[Mês],$B18)</f>
        <v>88157.7</v>
      </c>
      <c r="J18" s="52">
        <f>SUMIFS(BD_DESP[Valor],BD_DESP[Mês],$B18)</f>
        <v>222799.21</v>
      </c>
      <c r="K18" s="52">
        <f t="shared" si="0"/>
        <v>-134641.51</v>
      </c>
      <c r="L18" s="53">
        <f t="shared" si="1"/>
        <v>0.79411764705882359</v>
      </c>
      <c r="M18" s="53">
        <f t="shared" si="2"/>
        <v>-1.2128401616381448</v>
      </c>
      <c r="N18" s="54" t="str">
        <f>IF(COUNTIFS(BD_LUCRO[Mês],$B18)=0,"N/A",IF(K18&gt;=0,"✅ POSITIVO","❌ NEGATIVO"))</f>
        <v>❌ NEGATIVO</v>
      </c>
      <c r="O18" s="57">
        <f t="shared" si="3"/>
        <v>0.61959638114319959</v>
      </c>
    </row>
    <row r="19" spans="2:15">
      <c r="B19" s="56" t="s">
        <v>97</v>
      </c>
      <c r="C19" s="51">
        <f>COUNTIFS(BD_LUCRO[Mês],$B19)</f>
        <v>0</v>
      </c>
      <c r="D19" s="52">
        <f>SUMIFS(BD_LUCRO[Peso Kg],BD_LUCRO[Mês],$B19)</f>
        <v>0</v>
      </c>
      <c r="E19" s="52">
        <f>SUMIFS(BD_LUCRO[Lucro Bruto],BD_LUCRO[Mês],$B19)</f>
        <v>0</v>
      </c>
      <c r="F19" s="52">
        <f>SUMIFS(BD_LUCRO[Total Frete],BD_LUCRO[Mês],$B19)</f>
        <v>0</v>
      </c>
      <c r="G19" s="52">
        <f>SUMIFS(BD_LUCRO[Impostos],BD_LUCRO[Mês],$B19)</f>
        <v>0</v>
      </c>
      <c r="H19" s="52">
        <f>SUMIFS(BD_LUCRO[Comissão],BD_LUCRO[Mês],$B19)</f>
        <v>0</v>
      </c>
      <c r="I19" s="52">
        <f>SUMIFS(BD_LUCRO[Lucro Líq.],BD_LUCRO[Mês],$B19)</f>
        <v>0</v>
      </c>
      <c r="J19" s="52">
        <f>SUMIFS(BD_DESP[Valor],BD_DESP[Mês],$B19)</f>
        <v>0</v>
      </c>
      <c r="K19" s="52">
        <f t="shared" si="0"/>
        <v>0</v>
      </c>
      <c r="L19" s="53">
        <f t="shared" si="1"/>
        <v>0</v>
      </c>
      <c r="M19" s="53">
        <f t="shared" si="2"/>
        <v>0</v>
      </c>
      <c r="N19" s="54" t="str">
        <f>IF(COUNTIFS(BD_LUCRO[Mês],$B19)=0,"N/A",IF(K19&gt;=0,"✅ POSITIVO","❌ NEGATIVO"))</f>
        <v>N/A</v>
      </c>
      <c r="O19" s="57">
        <f t="shared" si="3"/>
        <v>0</v>
      </c>
    </row>
    <row r="20" spans="2:15">
      <c r="B20" s="50" t="s">
        <v>98</v>
      </c>
      <c r="C20" s="51">
        <f>COUNTIFS(BD_LUCRO[Mês],$B20)</f>
        <v>0</v>
      </c>
      <c r="D20" s="52">
        <f>SUMIFS(BD_LUCRO[Peso Kg],BD_LUCRO[Mês],$B20)</f>
        <v>0</v>
      </c>
      <c r="E20" s="52">
        <f>SUMIFS(BD_LUCRO[Lucro Bruto],BD_LUCRO[Mês],$B20)</f>
        <v>0</v>
      </c>
      <c r="F20" s="52">
        <f>SUMIFS(BD_LUCRO[Total Frete],BD_LUCRO[Mês],$B20)</f>
        <v>0</v>
      </c>
      <c r="G20" s="52">
        <f>SUMIFS(BD_LUCRO[Impostos],BD_LUCRO[Mês],$B20)</f>
        <v>0</v>
      </c>
      <c r="H20" s="52">
        <f>SUMIFS(BD_LUCRO[Comissão],BD_LUCRO[Mês],$B20)</f>
        <v>0</v>
      </c>
      <c r="I20" s="52">
        <f>SUMIFS(BD_LUCRO[Lucro Líq.],BD_LUCRO[Mês],$B20)</f>
        <v>0</v>
      </c>
      <c r="J20" s="52">
        <f>SUMIFS(BD_DESP[Valor],BD_DESP[Mês],$B20)</f>
        <v>0</v>
      </c>
      <c r="K20" s="52">
        <f t="shared" si="0"/>
        <v>0</v>
      </c>
      <c r="L20" s="53">
        <f t="shared" si="1"/>
        <v>0</v>
      </c>
      <c r="M20" s="53">
        <f t="shared" si="2"/>
        <v>0</v>
      </c>
      <c r="N20" s="54" t="str">
        <f>IF(COUNTIFS(BD_LUCRO[Mês],$B20)=0,"N/A",IF(K20&gt;=0,"✅ POSITIVO","❌ NEGATIVO"))</f>
        <v>N/A</v>
      </c>
      <c r="O20" s="57">
        <f t="shared" si="3"/>
        <v>0</v>
      </c>
    </row>
    <row r="21" spans="2:15">
      <c r="B21" s="56" t="s">
        <v>99</v>
      </c>
      <c r="C21" s="51">
        <f>COUNTIFS(BD_LUCRO[Mês],$B21)</f>
        <v>0</v>
      </c>
      <c r="D21" s="52">
        <f>SUMIFS(BD_LUCRO[Peso Kg],BD_LUCRO[Mês],$B21)</f>
        <v>0</v>
      </c>
      <c r="E21" s="52">
        <f>SUMIFS(BD_LUCRO[Lucro Bruto],BD_LUCRO[Mês],$B21)</f>
        <v>0</v>
      </c>
      <c r="F21" s="52">
        <f>SUMIFS(BD_LUCRO[Total Frete],BD_LUCRO[Mês],$B21)</f>
        <v>0</v>
      </c>
      <c r="G21" s="52">
        <f>SUMIFS(BD_LUCRO[Impostos],BD_LUCRO[Mês],$B21)</f>
        <v>0</v>
      </c>
      <c r="H21" s="52">
        <f>SUMIFS(BD_LUCRO[Comissão],BD_LUCRO[Mês],$B21)</f>
        <v>0</v>
      </c>
      <c r="I21" s="52">
        <f>SUMIFS(BD_LUCRO[Lucro Líq.],BD_LUCRO[Mês],$B21)</f>
        <v>0</v>
      </c>
      <c r="J21" s="52">
        <f>SUMIFS(BD_DESP[Valor],BD_DESP[Mês],$B21)</f>
        <v>0</v>
      </c>
      <c r="K21" s="52">
        <f t="shared" si="0"/>
        <v>0</v>
      </c>
      <c r="L21" s="53">
        <f t="shared" si="1"/>
        <v>0</v>
      </c>
      <c r="M21" s="53">
        <f t="shared" si="2"/>
        <v>0</v>
      </c>
      <c r="N21" s="54" t="str">
        <f>IF(COUNTIFS(BD_LUCRO[Mês],$B21)=0,"N/A",IF(K21&gt;=0,"✅ POSITIVO","❌ NEGATIVO"))</f>
        <v>N/A</v>
      </c>
      <c r="O21" s="57">
        <f t="shared" si="3"/>
        <v>0</v>
      </c>
    </row>
    <row r="22" spans="2:15">
      <c r="B22" s="50" t="s">
        <v>100</v>
      </c>
      <c r="C22" s="51">
        <f>COUNTIFS(BD_LUCRO[Mês],$B22)</f>
        <v>0</v>
      </c>
      <c r="D22" s="52">
        <f>SUMIFS(BD_LUCRO[Peso Kg],BD_LUCRO[Mês],$B22)</f>
        <v>0</v>
      </c>
      <c r="E22" s="52">
        <f>SUMIFS(BD_LUCRO[Lucro Bruto],BD_LUCRO[Mês],$B22)</f>
        <v>0</v>
      </c>
      <c r="F22" s="52">
        <f>SUMIFS(BD_LUCRO[Total Frete],BD_LUCRO[Mês],$B22)</f>
        <v>0</v>
      </c>
      <c r="G22" s="52">
        <f>SUMIFS(BD_LUCRO[Impostos],BD_LUCRO[Mês],$B22)</f>
        <v>0</v>
      </c>
      <c r="H22" s="52">
        <f>SUMIFS(BD_LUCRO[Comissão],BD_LUCRO[Mês],$B22)</f>
        <v>0</v>
      </c>
      <c r="I22" s="52">
        <f>SUMIFS(BD_LUCRO[Lucro Líq.],BD_LUCRO[Mês],$B22)</f>
        <v>0</v>
      </c>
      <c r="J22" s="52">
        <f>SUMIFS(BD_DESP[Valor],BD_DESP[Mês],$B22)</f>
        <v>0</v>
      </c>
      <c r="K22" s="52">
        <f t="shared" si="0"/>
        <v>0</v>
      </c>
      <c r="L22" s="53">
        <f t="shared" si="1"/>
        <v>0</v>
      </c>
      <c r="M22" s="53">
        <f t="shared" si="2"/>
        <v>0</v>
      </c>
      <c r="N22" s="54" t="str">
        <f>IF(COUNTIFS(BD_LUCRO[Mês],$B22)=0,"N/A",IF(K22&gt;=0,"✅ POSITIVO","❌ NEGATIVO"))</f>
        <v>N/A</v>
      </c>
      <c r="O22" s="57">
        <f t="shared" si="3"/>
        <v>0</v>
      </c>
    </row>
    <row r="23" spans="2:15">
      <c r="B23" s="56" t="s">
        <v>101</v>
      </c>
      <c r="C23" s="51">
        <f>COUNTIFS(BD_LUCRO[Mês],$B23)</f>
        <v>0</v>
      </c>
      <c r="D23" s="52">
        <f>SUMIFS(BD_LUCRO[Peso Kg],BD_LUCRO[Mês],$B23)</f>
        <v>0</v>
      </c>
      <c r="E23" s="52">
        <f>SUMIFS(BD_LUCRO[Lucro Bruto],BD_LUCRO[Mês],$B23)</f>
        <v>0</v>
      </c>
      <c r="F23" s="52">
        <f>SUMIFS(BD_LUCRO[Total Frete],BD_LUCRO[Mês],$B23)</f>
        <v>0</v>
      </c>
      <c r="G23" s="52">
        <f>SUMIFS(BD_LUCRO[Impostos],BD_LUCRO[Mês],$B23)</f>
        <v>0</v>
      </c>
      <c r="H23" s="52">
        <f>SUMIFS(BD_LUCRO[Comissão],BD_LUCRO[Mês],$B23)</f>
        <v>0</v>
      </c>
      <c r="I23" s="52">
        <f>SUMIFS(BD_LUCRO[Lucro Líq.],BD_LUCRO[Mês],$B23)</f>
        <v>0</v>
      </c>
      <c r="J23" s="52">
        <f>SUMIFS(BD_DESP[Valor],BD_DESP[Mês],$B23)</f>
        <v>0</v>
      </c>
      <c r="K23" s="52">
        <f t="shared" si="0"/>
        <v>0</v>
      </c>
      <c r="L23" s="53">
        <f t="shared" si="1"/>
        <v>0</v>
      </c>
      <c r="M23" s="53">
        <f t="shared" si="2"/>
        <v>0</v>
      </c>
      <c r="N23" s="54" t="str">
        <f>IF(COUNTIFS(BD_LUCRO[Mês],$B23)=0,"N/A",IF(K23&gt;=0,"✅ POSITIVO","❌ NEGATIVO"))</f>
        <v>N/A</v>
      </c>
      <c r="O23" s="57">
        <f t="shared" si="3"/>
        <v>0</v>
      </c>
    </row>
    <row r="24" spans="2:15">
      <c r="B24" s="50" t="s">
        <v>102</v>
      </c>
      <c r="C24" s="51">
        <f>COUNTIFS(BD_LUCRO[Mês],$B24)</f>
        <v>0</v>
      </c>
      <c r="D24" s="52">
        <f>SUMIFS(BD_LUCRO[Peso Kg],BD_LUCRO[Mês],$B24)</f>
        <v>0</v>
      </c>
      <c r="E24" s="52">
        <f>SUMIFS(BD_LUCRO[Lucro Bruto],BD_LUCRO[Mês],$B24)</f>
        <v>0</v>
      </c>
      <c r="F24" s="52">
        <f>SUMIFS(BD_LUCRO[Total Frete],BD_LUCRO[Mês],$B24)</f>
        <v>0</v>
      </c>
      <c r="G24" s="52">
        <f>SUMIFS(BD_LUCRO[Impostos],BD_LUCRO[Mês],$B24)</f>
        <v>0</v>
      </c>
      <c r="H24" s="52">
        <f>SUMIFS(BD_LUCRO[Comissão],BD_LUCRO[Mês],$B24)</f>
        <v>0</v>
      </c>
      <c r="I24" s="52">
        <f>SUMIFS(BD_LUCRO[Lucro Líq.],BD_LUCRO[Mês],$B24)</f>
        <v>0</v>
      </c>
      <c r="J24" s="52">
        <f>SUMIFS(BD_DESP[Valor],BD_DESP[Mês],$B24)</f>
        <v>0</v>
      </c>
      <c r="K24" s="52">
        <f t="shared" si="0"/>
        <v>0</v>
      </c>
      <c r="L24" s="53">
        <f t="shared" si="1"/>
        <v>0</v>
      </c>
      <c r="M24" s="53">
        <f t="shared" si="2"/>
        <v>0</v>
      </c>
      <c r="N24" s="54" t="str">
        <f>IF(COUNTIFS(BD_LUCRO[Mês],$B24)=0,"N/A",IF(K24&gt;=0,"✅ POSITIVO","❌ NEGATIVO"))</f>
        <v>N/A</v>
      </c>
      <c r="O24" s="57">
        <f t="shared" si="3"/>
        <v>0</v>
      </c>
    </row>
    <row r="25" spans="2:15">
      <c r="B25" s="56" t="s">
        <v>103</v>
      </c>
      <c r="C25" s="51">
        <f>COUNTIFS(BD_LUCRO[Mês],$B25)</f>
        <v>0</v>
      </c>
      <c r="D25" s="52">
        <f>SUMIFS(BD_LUCRO[Peso Kg],BD_LUCRO[Mês],$B25)</f>
        <v>0</v>
      </c>
      <c r="E25" s="52">
        <f>SUMIFS(BD_LUCRO[Lucro Bruto],BD_LUCRO[Mês],$B25)</f>
        <v>0</v>
      </c>
      <c r="F25" s="52">
        <f>SUMIFS(BD_LUCRO[Total Frete],BD_LUCRO[Mês],$B25)</f>
        <v>0</v>
      </c>
      <c r="G25" s="52">
        <f>SUMIFS(BD_LUCRO[Impostos],BD_LUCRO[Mês],$B25)</f>
        <v>0</v>
      </c>
      <c r="H25" s="52">
        <f>SUMIFS(BD_LUCRO[Comissão],BD_LUCRO[Mês],$B25)</f>
        <v>0</v>
      </c>
      <c r="I25" s="52">
        <f>SUMIFS(BD_LUCRO[Lucro Líq.],BD_LUCRO[Mês],$B25)</f>
        <v>0</v>
      </c>
      <c r="J25" s="52">
        <f>SUMIFS(BD_DESP[Valor],BD_DESP[Mês],$B25)</f>
        <v>0</v>
      </c>
      <c r="K25" s="52">
        <f t="shared" si="0"/>
        <v>0</v>
      </c>
      <c r="L25" s="53">
        <f t="shared" si="1"/>
        <v>0</v>
      </c>
      <c r="M25" s="53">
        <f t="shared" si="2"/>
        <v>0</v>
      </c>
      <c r="N25" s="54" t="str">
        <f>IF(COUNTIFS(BD_LUCRO[Mês],$B25)=0,"N/A",IF(K25&gt;=0,"✅ POSITIVO","❌ NEGATIVO"))</f>
        <v>N/A</v>
      </c>
      <c r="O25" s="57">
        <f t="shared" si="3"/>
        <v>0</v>
      </c>
    </row>
    <row r="26" spans="2:15">
      <c r="B26" s="58" t="s">
        <v>104</v>
      </c>
      <c r="C26" s="59">
        <f t="shared" ref="C26:K26" si="4">SUM(C14:C25)</f>
        <v>86</v>
      </c>
      <c r="D26" s="59">
        <f t="shared" si="4"/>
        <v>11013681</v>
      </c>
      <c r="E26" s="60">
        <f t="shared" si="4"/>
        <v>1831062.6399999997</v>
      </c>
      <c r="F26" s="60">
        <f t="shared" si="4"/>
        <v>163687</v>
      </c>
      <c r="G26" s="60">
        <f t="shared" si="4"/>
        <v>65961.45</v>
      </c>
      <c r="H26" s="60">
        <f t="shared" si="4"/>
        <v>192725.19000000003</v>
      </c>
      <c r="I26" s="60">
        <f t="shared" si="4"/>
        <v>1427661.16</v>
      </c>
      <c r="J26" s="60">
        <f t="shared" si="4"/>
        <v>1334005.8400000003</v>
      </c>
      <c r="K26" s="60">
        <f t="shared" si="4"/>
        <v>93655.319999999716</v>
      </c>
      <c r="L26" s="61">
        <f t="shared" si="1"/>
        <v>0.76932867790912929</v>
      </c>
      <c r="M26" s="61">
        <f t="shared" si="2"/>
        <v>5.1148069953521488E-2</v>
      </c>
      <c r="N26" s="66" t="str">
        <f>IF(K26&gt;=0,"✅ POSITIVO","❌ NEGATIVO")</f>
        <v>✅ POSITIVO</v>
      </c>
      <c r="O26" s="61" t="s">
        <v>92</v>
      </c>
    </row>
    <row r="28" spans="2:15" ht="15.75">
      <c r="B28" s="123" t="s">
        <v>120</v>
      </c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</row>
    <row r="29" spans="2:15" ht="24">
      <c r="B29" s="62" t="s">
        <v>16</v>
      </c>
      <c r="C29" s="62" t="s">
        <v>80</v>
      </c>
      <c r="D29" s="62" t="s">
        <v>81</v>
      </c>
      <c r="E29" s="62" t="s">
        <v>42</v>
      </c>
      <c r="F29" s="62" t="s">
        <v>43</v>
      </c>
      <c r="G29" s="62" t="s">
        <v>82</v>
      </c>
      <c r="H29" s="62" t="s">
        <v>83</v>
      </c>
      <c r="I29" s="62" t="s">
        <v>84</v>
      </c>
      <c r="J29" s="62" t="s">
        <v>85</v>
      </c>
      <c r="K29" s="62" t="s">
        <v>86</v>
      </c>
      <c r="L29" s="62" t="s">
        <v>87</v>
      </c>
      <c r="M29" s="62" t="s">
        <v>88</v>
      </c>
      <c r="N29" s="62" t="s">
        <v>89</v>
      </c>
      <c r="O29" s="62" t="s">
        <v>90</v>
      </c>
    </row>
    <row r="30" spans="2:15">
      <c r="B30" s="63" t="s">
        <v>105</v>
      </c>
      <c r="C30" s="51">
        <f>COUNTIFS(BD_LUCRO[Mês],$B30)</f>
        <v>5</v>
      </c>
      <c r="D30" s="52">
        <f>SUMIFS(BD_LUCRO[Peso Kg],BD_LUCRO[Mês],$B30)</f>
        <v>1446450</v>
      </c>
      <c r="E30" s="52">
        <f>SUMIFS(BD_LUCRO[Lucro Bruto],BD_LUCRO[Mês],$B30)</f>
        <v>347078.94000000006</v>
      </c>
      <c r="F30" s="52">
        <f>SUMIFS(BD_LUCRO[Total Frete],BD_LUCRO[Mês],$B30)</f>
        <v>212796.84</v>
      </c>
      <c r="G30" s="52">
        <f>SUMIFS(BD_LUCRO[Impostos],BD_LUCRO[Mês],$B30)</f>
        <v>3518.06</v>
      </c>
      <c r="H30" s="52">
        <f>SUMIFS(BD_LUCRO[Comissão],BD_LUCRO[Mês],$B30)</f>
        <v>11539.869999999999</v>
      </c>
      <c r="I30" s="52">
        <f>SUMIFS(BD_LUCRO[Lucro Líq.],BD_LUCRO[Mês],$B30)</f>
        <v>106231.70000000001</v>
      </c>
      <c r="J30" s="52">
        <f>SUMIFS(BD_DESP[Valor],BD_DESP[Mês],$B30)</f>
        <v>267317.76999999996</v>
      </c>
      <c r="K30" s="52">
        <f t="shared" ref="K30" si="5">I30-J30</f>
        <v>-161086.06999999995</v>
      </c>
      <c r="L30" s="53">
        <f t="shared" ref="L30" si="6">IF(E30&lt;&gt;0,(E30-F30-G30-H30)/E30,0)</f>
        <v>0.3435073588734599</v>
      </c>
      <c r="M30" s="53">
        <f t="shared" ref="M30" si="7">IF(E30&lt;&gt;0,K30/E30,0)</f>
        <v>-0.46411940177067479</v>
      </c>
      <c r="N30" s="54" t="str">
        <f>IF(COUNTIFS(BD_LUCRO[Mês],$B30)=0,"N/A",IF(K30&gt;=0,"✅ POSITIVO","❌ NEGATIVO"))</f>
        <v>❌ NEGATIVO</v>
      </c>
      <c r="O30" s="55" t="s">
        <v>92</v>
      </c>
    </row>
    <row r="31" spans="2:15">
      <c r="B31" s="64" t="s">
        <v>106</v>
      </c>
      <c r="C31" s="51">
        <f>COUNTIFS(BD_LUCRO[Mês],$B31)</f>
        <v>13</v>
      </c>
      <c r="D31" s="52">
        <f>SUMIFS(BD_LUCRO[Peso Kg],BD_LUCRO[Mês],$B31)</f>
        <v>1787495</v>
      </c>
      <c r="E31" s="52">
        <f>SUMIFS(BD_LUCRO[Lucro Bruto],BD_LUCRO[Mês],$B31)</f>
        <v>781745.28000000026</v>
      </c>
      <c r="F31" s="52">
        <f>SUMIFS(BD_LUCRO[Total Frete],BD_LUCRO[Mês],$B31)</f>
        <v>0</v>
      </c>
      <c r="G31" s="52">
        <f>SUMIFS(BD_LUCRO[Impostos],BD_LUCRO[Mês],$B31)</f>
        <v>1064.5999999999999</v>
      </c>
      <c r="H31" s="52">
        <f>SUMIFS(BD_LUCRO[Comissão],BD_LUCRO[Mês],$B31)</f>
        <v>13556.839999999998</v>
      </c>
      <c r="I31" s="52">
        <f>SUMIFS(BD_LUCRO[Lucro Líq.],BD_LUCRO[Mês],$B31)</f>
        <v>716883.39999999991</v>
      </c>
      <c r="J31" s="52">
        <f>SUMIFS(BD_DESP[Valor],BD_DESP[Mês],$B31)</f>
        <v>142974.87</v>
      </c>
      <c r="K31" s="52">
        <f t="shared" ref="K31:K41" si="8">I31-J31</f>
        <v>573908.52999999991</v>
      </c>
      <c r="L31" s="53">
        <f t="shared" ref="L31:L42" si="9">IF(E31&lt;&gt;0,(E31-F31-G31-H31)/E31,0)</f>
        <v>0.98129641409539448</v>
      </c>
      <c r="M31" s="53">
        <f t="shared" ref="M31:M42" si="10">IF(E31&lt;&gt;0,K31/E31,0)</f>
        <v>0.73413750576146708</v>
      </c>
      <c r="N31" s="54" t="str">
        <f>IF(COUNTIFS(BD_LUCRO[Mês],$B31)=0,"N/A",IF(K31&gt;=0,"✅ POSITIVO","❌ NEGATIVO"))</f>
        <v>✅ POSITIVO</v>
      </c>
      <c r="O31" s="65">
        <f t="shared" ref="O31:O41" si="11">IF(K30&lt;&gt;0,(K31-K30)/ABS(K30),0)</f>
        <v>4.5627446246593522</v>
      </c>
    </row>
    <row r="32" spans="2:15">
      <c r="B32" s="63" t="s">
        <v>107</v>
      </c>
      <c r="C32" s="51">
        <f>COUNTIFS(BD_LUCRO[Mês],$B32)</f>
        <v>18</v>
      </c>
      <c r="D32" s="52">
        <f>SUMIFS(BD_LUCRO[Peso Kg],BD_LUCRO[Mês],$B32)</f>
        <v>3981807</v>
      </c>
      <c r="E32" s="52">
        <f>SUMIFS(BD_LUCRO[Lucro Bruto],BD_LUCRO[Mês],$B32)</f>
        <v>1689267.9600000004</v>
      </c>
      <c r="F32" s="52">
        <f>SUMIFS(BD_LUCRO[Total Frete],BD_LUCRO[Mês],$B32)</f>
        <v>432839.6</v>
      </c>
      <c r="G32" s="52">
        <f>SUMIFS(BD_LUCRO[Impostos],BD_LUCRO[Mês],$B32)</f>
        <v>0</v>
      </c>
      <c r="H32" s="52">
        <f>SUMIFS(BD_LUCRO[Comissão],BD_LUCRO[Mês],$B32)</f>
        <v>99575.07</v>
      </c>
      <c r="I32" s="52">
        <f>SUMIFS(BD_LUCRO[Lucro Líq.],BD_LUCRO[Mês],$B32)</f>
        <v>1154496.8399999999</v>
      </c>
      <c r="J32" s="52">
        <f>SUMIFS(BD_DESP[Valor],BD_DESP[Mês],$B32)</f>
        <v>180047.93000000005</v>
      </c>
      <c r="K32" s="52">
        <f t="shared" si="8"/>
        <v>974448.9099999998</v>
      </c>
      <c r="L32" s="53">
        <f t="shared" si="9"/>
        <v>0.68482521269153773</v>
      </c>
      <c r="M32" s="53">
        <f t="shared" si="10"/>
        <v>0.57684685501286581</v>
      </c>
      <c r="N32" s="54" t="str">
        <f>IF(COUNTIFS(BD_LUCRO[Mês],$B32)=0,"N/A",IF(K32&gt;=0,"✅ POSITIVO","❌ NEGATIVO"))</f>
        <v>✅ POSITIVO</v>
      </c>
      <c r="O32" s="27">
        <f t="shared" si="11"/>
        <v>0.69791675687413102</v>
      </c>
    </row>
    <row r="33" spans="2:15">
      <c r="B33" s="64" t="s">
        <v>108</v>
      </c>
      <c r="C33" s="51">
        <f>COUNTIFS(BD_LUCRO[Mês],$B33)</f>
        <v>13</v>
      </c>
      <c r="D33" s="52">
        <f>SUMIFS(BD_LUCRO[Peso Kg],BD_LUCRO[Mês],$B33)</f>
        <v>4701587</v>
      </c>
      <c r="E33" s="52">
        <f>SUMIFS(BD_LUCRO[Lucro Bruto],BD_LUCRO[Mês],$B33)</f>
        <v>1264396.5700000003</v>
      </c>
      <c r="F33" s="52">
        <f>SUMIFS(BD_LUCRO[Total Frete],BD_LUCRO[Mês],$B33)</f>
        <v>623905.37999999989</v>
      </c>
      <c r="G33" s="52">
        <f>SUMIFS(BD_LUCRO[Impostos],BD_LUCRO[Mês],$B33)</f>
        <v>0</v>
      </c>
      <c r="H33" s="52">
        <f>SUMIFS(BD_LUCRO[Comissão],BD_LUCRO[Mês],$B33)</f>
        <v>140516.20999999996</v>
      </c>
      <c r="I33" s="52">
        <f>SUMIFS(BD_LUCRO[Lucro Líq.],BD_LUCRO[Mês],$B33)</f>
        <v>499270.09</v>
      </c>
      <c r="J33" s="52">
        <f>SUMIFS(BD_DESP[Valor],BD_DESP[Mês],$B33)</f>
        <v>354429.39</v>
      </c>
      <c r="K33" s="52">
        <f t="shared" si="8"/>
        <v>144840.70000000001</v>
      </c>
      <c r="L33" s="53">
        <f t="shared" si="9"/>
        <v>0.39542576424420411</v>
      </c>
      <c r="M33" s="53">
        <f t="shared" si="10"/>
        <v>0.11455322122552103</v>
      </c>
      <c r="N33" s="54" t="str">
        <f>IF(COUNTIFS(BD_LUCRO[Mês],$B33)=0,"N/A",IF(K33&gt;=0,"✅ POSITIVO","❌ NEGATIVO"))</f>
        <v>✅ POSITIVO</v>
      </c>
      <c r="O33" s="65">
        <f t="shared" si="11"/>
        <v>-0.85136142232433709</v>
      </c>
    </row>
    <row r="34" spans="2:15">
      <c r="B34" s="63" t="s">
        <v>109</v>
      </c>
      <c r="C34" s="51">
        <f>COUNTIFS(BD_LUCRO[Mês],$B34)</f>
        <v>10</v>
      </c>
      <c r="D34" s="52">
        <f>SUMIFS(BD_LUCRO[Peso Kg],BD_LUCRO[Mês],$B34)</f>
        <v>2738898</v>
      </c>
      <c r="E34" s="52">
        <f>SUMIFS(BD_LUCRO[Lucro Bruto],BD_LUCRO[Mês],$B34)</f>
        <v>713587.7</v>
      </c>
      <c r="F34" s="52">
        <f>SUMIFS(BD_LUCRO[Total Frete],BD_LUCRO[Mês],$B34)</f>
        <v>181454.78999999998</v>
      </c>
      <c r="G34" s="52">
        <f>SUMIFS(BD_LUCRO[Impostos],BD_LUCRO[Mês],$B34)</f>
        <v>637.16</v>
      </c>
      <c r="H34" s="52">
        <f>SUMIFS(BD_LUCRO[Comissão],BD_LUCRO[Mês],$B34)</f>
        <v>19763.060000000001</v>
      </c>
      <c r="I34" s="52">
        <f>SUMIFS(BD_LUCRO[Lucro Líq.],BD_LUCRO[Mês],$B34)</f>
        <v>520095.42</v>
      </c>
      <c r="J34" s="52">
        <f>SUMIFS(BD_DESP[Valor],BD_DESP[Mês],$B34)</f>
        <v>137831.58000000002</v>
      </c>
      <c r="K34" s="52">
        <f t="shared" si="8"/>
        <v>382263.83999999997</v>
      </c>
      <c r="L34" s="53">
        <f t="shared" si="9"/>
        <v>0.71712655641345824</v>
      </c>
      <c r="M34" s="53">
        <f t="shared" si="10"/>
        <v>0.5356928657822998</v>
      </c>
      <c r="N34" s="54" t="str">
        <f>IF(COUNTIFS(BD_LUCRO[Mês],$B34)=0,"N/A",IF(K34&gt;=0,"✅ POSITIVO","❌ NEGATIVO"))</f>
        <v>✅ POSITIVO</v>
      </c>
      <c r="O34" s="27">
        <f t="shared" si="11"/>
        <v>1.6392018265584185</v>
      </c>
    </row>
    <row r="35" spans="2:15">
      <c r="B35" s="64" t="s">
        <v>110</v>
      </c>
      <c r="C35" s="51">
        <f>COUNTIFS(BD_LUCRO[Mês],$B35)</f>
        <v>8</v>
      </c>
      <c r="D35" s="52">
        <f>SUMIFS(BD_LUCRO[Peso Kg],BD_LUCRO[Mês],$B35)</f>
        <v>1853380</v>
      </c>
      <c r="E35" s="52">
        <f>SUMIFS(BD_LUCRO[Lucro Bruto],BD_LUCRO[Mês],$B35)</f>
        <v>92136.99</v>
      </c>
      <c r="F35" s="52">
        <f>SUMIFS(BD_LUCRO[Total Frete],BD_LUCRO[Mês],$B35)</f>
        <v>351139.42</v>
      </c>
      <c r="G35" s="52">
        <f>SUMIFS(BD_LUCRO[Impostos],BD_LUCRO[Mês],$B35)</f>
        <v>15779.23</v>
      </c>
      <c r="H35" s="52">
        <f>SUMIFS(BD_LUCRO[Comissão],BD_LUCRO[Mês],$B35)</f>
        <v>197665.77</v>
      </c>
      <c r="I35" s="52">
        <f>SUMIFS(BD_LUCRO[Lucro Líq.],BD_LUCRO[Mês],$B35)</f>
        <v>60153.780000000006</v>
      </c>
      <c r="J35" s="52">
        <f>SUMIFS(BD_DESP[Valor],BD_DESP[Mês],$B35)</f>
        <v>259224.64</v>
      </c>
      <c r="K35" s="52">
        <f t="shared" si="8"/>
        <v>-199070.86000000002</v>
      </c>
      <c r="L35" s="53">
        <f t="shared" si="9"/>
        <v>-5.1276629505695803</v>
      </c>
      <c r="M35" s="53">
        <f t="shared" si="10"/>
        <v>-2.1605965204637139</v>
      </c>
      <c r="N35" s="54" t="str">
        <f>IF(COUNTIFS(BD_LUCRO[Mês],$B35)=0,"N/A",IF(K35&gt;=0,"✅ POSITIVO","❌ NEGATIVO"))</f>
        <v>❌ NEGATIVO</v>
      </c>
      <c r="O35" s="65">
        <f t="shared" si="11"/>
        <v>-1.5207682212369342</v>
      </c>
    </row>
    <row r="36" spans="2:15">
      <c r="B36" s="63" t="s">
        <v>111</v>
      </c>
      <c r="C36" s="51">
        <f>COUNTIFS(BD_LUCRO[Mês],$B36)</f>
        <v>5</v>
      </c>
      <c r="D36" s="52">
        <f>SUMIFS(BD_LUCRO[Peso Kg],BD_LUCRO[Mês],$B36)</f>
        <v>754300</v>
      </c>
      <c r="E36" s="52">
        <f>SUMIFS(BD_LUCRO[Lucro Bruto],BD_LUCRO[Mês],$B36)</f>
        <v>0</v>
      </c>
      <c r="F36" s="52">
        <f>SUMIFS(BD_LUCRO[Total Frete],BD_LUCRO[Mês],$B36)</f>
        <v>242622.44999999998</v>
      </c>
      <c r="G36" s="52">
        <f>SUMIFS(BD_LUCRO[Impostos],BD_LUCRO[Mês],$B36)</f>
        <v>-69880.179999999993</v>
      </c>
      <c r="H36" s="52">
        <f>SUMIFS(BD_LUCRO[Comissão],BD_LUCRO[Mês],$B36)</f>
        <v>393437.97</v>
      </c>
      <c r="I36" s="52">
        <f>SUMIFS(BD_LUCRO[Lucro Líq.],BD_LUCRO[Mês],$B36)</f>
        <v>93877.56</v>
      </c>
      <c r="J36" s="52">
        <f>SUMIFS(BD_DESP[Valor],BD_DESP[Mês],$B36)</f>
        <v>713342.73999999987</v>
      </c>
      <c r="K36" s="52">
        <f t="shared" si="8"/>
        <v>-619465.17999999993</v>
      </c>
      <c r="L36" s="53">
        <f t="shared" si="9"/>
        <v>0</v>
      </c>
      <c r="M36" s="53">
        <f t="shared" si="10"/>
        <v>0</v>
      </c>
      <c r="N36" s="54" t="str">
        <f>IF(COUNTIFS(BD_LUCRO[Mês],$B36)=0,"N/A",IF(K36&gt;=0,"✅ POSITIVO","❌ NEGATIVO"))</f>
        <v>❌ NEGATIVO</v>
      </c>
      <c r="O36" s="27">
        <f t="shared" si="11"/>
        <v>-2.1117823070639266</v>
      </c>
    </row>
    <row r="37" spans="2:15">
      <c r="B37" s="64" t="s">
        <v>112</v>
      </c>
      <c r="C37" s="51">
        <f>COUNTIFS(BD_LUCRO[Mês],$B37)</f>
        <v>11</v>
      </c>
      <c r="D37" s="52">
        <f>SUMIFS(BD_LUCRO[Peso Kg],BD_LUCRO[Mês],$B37)</f>
        <v>1484382</v>
      </c>
      <c r="E37" s="52">
        <f>SUMIFS(BD_LUCRO[Lucro Bruto],BD_LUCRO[Mês],$B37)</f>
        <v>847503.9</v>
      </c>
      <c r="F37" s="52">
        <f>SUMIFS(BD_LUCRO[Total Frete],BD_LUCRO[Mês],$B37)</f>
        <v>306565.3</v>
      </c>
      <c r="G37" s="52">
        <f>SUMIFS(BD_LUCRO[Impostos],BD_LUCRO[Mês],$B37)</f>
        <v>6852.62</v>
      </c>
      <c r="H37" s="52">
        <f>SUMIFS(BD_LUCRO[Comissão],BD_LUCRO[Mês],$B37)</f>
        <v>397616.86000000004</v>
      </c>
      <c r="I37" s="52">
        <f>SUMIFS(BD_LUCRO[Lucro Líq.],BD_LUCRO[Mês],$B37)</f>
        <v>357771.60000000009</v>
      </c>
      <c r="J37" s="52">
        <f>SUMIFS(BD_DESP[Valor],BD_DESP[Mês],$B37)</f>
        <v>480656.74000000017</v>
      </c>
      <c r="K37" s="52">
        <f t="shared" si="8"/>
        <v>-122885.14000000007</v>
      </c>
      <c r="L37" s="53">
        <f t="shared" si="9"/>
        <v>0.16102476932554535</v>
      </c>
      <c r="M37" s="53">
        <f t="shared" si="10"/>
        <v>-0.14499654809848081</v>
      </c>
      <c r="N37" s="54" t="str">
        <f>IF(COUNTIFS(BD_LUCRO[Mês],$B37)=0,"N/A",IF(K37&gt;=0,"✅ POSITIVO","❌ NEGATIVO"))</f>
        <v>❌ NEGATIVO</v>
      </c>
      <c r="O37" s="65">
        <f t="shared" si="11"/>
        <v>0.80162704221728798</v>
      </c>
    </row>
    <row r="38" spans="2:15">
      <c r="B38" s="63" t="s">
        <v>113</v>
      </c>
      <c r="C38" s="51">
        <f>COUNTIFS(BD_LUCRO[Mês],$B38)</f>
        <v>12</v>
      </c>
      <c r="D38" s="52">
        <f>SUMIFS(BD_LUCRO[Peso Kg],BD_LUCRO[Mês],$B38)</f>
        <v>2623460</v>
      </c>
      <c r="E38" s="52">
        <f>SUMIFS(BD_LUCRO[Lucro Bruto],BD_LUCRO[Mês],$B38)</f>
        <v>432526.47</v>
      </c>
      <c r="F38" s="52">
        <f>SUMIFS(BD_LUCRO[Total Frete],BD_LUCRO[Mês],$B38)</f>
        <v>205826.1</v>
      </c>
      <c r="G38" s="52">
        <f>SUMIFS(BD_LUCRO[Impostos],BD_LUCRO[Mês],$B38)</f>
        <v>14225.53</v>
      </c>
      <c r="H38" s="52">
        <f>SUMIFS(BD_LUCRO[Comissão],BD_LUCRO[Mês],$B38)</f>
        <v>464.8</v>
      </c>
      <c r="I38" s="52">
        <f>SUMIFS(BD_LUCRO[Lucro Líq.],BD_LUCRO[Mês],$B38)</f>
        <v>207587.74</v>
      </c>
      <c r="J38" s="52">
        <f>SUMIFS(BD_DESP[Valor],BD_DESP[Mês],$B38)</f>
        <v>331951.65000000002</v>
      </c>
      <c r="K38" s="52">
        <f t="shared" si="8"/>
        <v>-124363.91000000003</v>
      </c>
      <c r="L38" s="53">
        <f t="shared" si="9"/>
        <v>0.49016662494667668</v>
      </c>
      <c r="M38" s="53">
        <f t="shared" si="10"/>
        <v>-0.28752901527622121</v>
      </c>
      <c r="N38" s="54" t="str">
        <f>IF(COUNTIFS(BD_LUCRO[Mês],$B38)=0,"N/A",IF(K38&gt;=0,"✅ POSITIVO","❌ NEGATIVO"))</f>
        <v>❌ NEGATIVO</v>
      </c>
      <c r="O38" s="27">
        <f t="shared" si="11"/>
        <v>-1.2033757702517649E-2</v>
      </c>
    </row>
    <row r="39" spans="2:15">
      <c r="B39" s="64" t="s">
        <v>114</v>
      </c>
      <c r="C39" s="51">
        <f>COUNTIFS(BD_LUCRO[Mês],$B39)</f>
        <v>12</v>
      </c>
      <c r="D39" s="52">
        <f>SUMIFS(BD_LUCRO[Peso Kg],BD_LUCRO[Mês],$B39)</f>
        <v>1559400</v>
      </c>
      <c r="E39" s="52">
        <f>SUMIFS(BD_LUCRO[Lucro Bruto],BD_LUCRO[Mês],$B39)</f>
        <v>193668.13</v>
      </c>
      <c r="F39" s="52">
        <f>SUMIFS(BD_LUCRO[Total Frete],BD_LUCRO[Mês],$B39)</f>
        <v>279111.15000000002</v>
      </c>
      <c r="G39" s="52">
        <f>SUMIFS(BD_LUCRO[Impostos],BD_LUCRO[Mês],$B39)</f>
        <v>6172.99</v>
      </c>
      <c r="H39" s="52">
        <f>SUMIFS(BD_LUCRO[Comissão],BD_LUCRO[Mês],$B39)</f>
        <v>541462.79</v>
      </c>
      <c r="I39" s="52">
        <f>SUMIFS(BD_LUCRO[Lucro Líq.],BD_LUCRO[Mês],$B39)</f>
        <v>233803.58000000002</v>
      </c>
      <c r="J39" s="52">
        <f>SUMIFS(BD_DESP[Valor],BD_DESP[Mês],$B39)</f>
        <v>178639.79</v>
      </c>
      <c r="K39" s="52">
        <f t="shared" si="8"/>
        <v>55163.790000000008</v>
      </c>
      <c r="L39" s="53">
        <f t="shared" si="9"/>
        <v>-3.2688847669464254</v>
      </c>
      <c r="M39" s="53">
        <f t="shared" si="10"/>
        <v>0.28483669460741945</v>
      </c>
      <c r="N39" s="54" t="str">
        <f>IF(COUNTIFS(BD_LUCRO[Mês],$B39)=0,"N/A",IF(K39&gt;=0,"✅ POSITIVO","❌ NEGATIVO"))</f>
        <v>✅ POSITIVO</v>
      </c>
      <c r="O39" s="65">
        <f t="shared" si="11"/>
        <v>1.4435675108638832</v>
      </c>
    </row>
    <row r="40" spans="2:15">
      <c r="B40" s="63" t="s">
        <v>115</v>
      </c>
      <c r="C40" s="51">
        <f>COUNTIFS(BD_LUCRO[Mês],$B40)</f>
        <v>13</v>
      </c>
      <c r="D40" s="52">
        <f>SUMIFS(BD_LUCRO[Peso Kg],BD_LUCRO[Mês],$B40)</f>
        <v>2024100</v>
      </c>
      <c r="E40" s="52">
        <f>SUMIFS(BD_LUCRO[Lucro Bruto],BD_LUCRO[Mês],$B40)</f>
        <v>288046.52999999997</v>
      </c>
      <c r="F40" s="52">
        <f>SUMIFS(BD_LUCRO[Total Frete],BD_LUCRO[Mês],$B40)</f>
        <v>216594.87</v>
      </c>
      <c r="G40" s="52">
        <f>SUMIFS(BD_LUCRO[Impostos],BD_LUCRO[Mês],$B40)</f>
        <v>14242.640000000001</v>
      </c>
      <c r="H40" s="52">
        <f>SUMIFS(BD_LUCRO[Comissão],BD_LUCRO[Mês],$B40)</f>
        <v>7019.6000000000013</v>
      </c>
      <c r="I40" s="52">
        <f>SUMIFS(BD_LUCRO[Lucro Líq.],BD_LUCRO[Mês],$B40)</f>
        <v>165851.95000000001</v>
      </c>
      <c r="J40" s="52">
        <f>SUMIFS(BD_DESP[Valor],BD_DESP[Mês],$B40)</f>
        <v>325465.06</v>
      </c>
      <c r="K40" s="52">
        <f t="shared" si="8"/>
        <v>-159613.10999999999</v>
      </c>
      <c r="L40" s="53">
        <f t="shared" si="9"/>
        <v>0.17424066868640972</v>
      </c>
      <c r="M40" s="53">
        <f t="shared" si="10"/>
        <v>-0.55412266205741134</v>
      </c>
      <c r="N40" s="54" t="str">
        <f>IF(COUNTIFS(BD_LUCRO[Mês],$B40)=0,"N/A",IF(K40&gt;=0,"✅ POSITIVO","❌ NEGATIVO"))</f>
        <v>❌ NEGATIVO</v>
      </c>
      <c r="O40" s="27">
        <f t="shared" si="11"/>
        <v>-3.8934398814874749</v>
      </c>
    </row>
    <row r="41" spans="2:15">
      <c r="B41" s="64" t="s">
        <v>116</v>
      </c>
      <c r="C41" s="51">
        <f>COUNTIFS(BD_LUCRO[Mês],$B41)</f>
        <v>4</v>
      </c>
      <c r="D41" s="52">
        <f>SUMIFS(BD_LUCRO[Peso Kg],BD_LUCRO[Mês],$B41)</f>
        <v>761240</v>
      </c>
      <c r="E41" s="52">
        <f>SUMIFS(BD_LUCRO[Lucro Bruto],BD_LUCRO[Mês],$B41)</f>
        <v>315994.19999999995</v>
      </c>
      <c r="F41" s="52">
        <f>SUMIFS(BD_LUCRO[Total Frete],BD_LUCRO[Mês],$B41)</f>
        <v>206315.89999999997</v>
      </c>
      <c r="G41" s="52">
        <f>SUMIFS(BD_LUCRO[Impostos],BD_LUCRO[Mês],$B41)</f>
        <v>14669.319999999998</v>
      </c>
      <c r="H41" s="52">
        <f>SUMIFS(BD_LUCRO[Comissão],BD_LUCRO[Mês],$B41)</f>
        <v>3521</v>
      </c>
      <c r="I41" s="52">
        <f>SUMIFS(BD_LUCRO[Lucro Líq.],BD_LUCRO[Mês],$B41)</f>
        <v>84051.78</v>
      </c>
      <c r="J41" s="52">
        <f>SUMIFS(BD_DESP[Valor],BD_DESP[Mês],$B41)</f>
        <v>305624.58</v>
      </c>
      <c r="K41" s="52">
        <f t="shared" si="8"/>
        <v>-221572.80000000002</v>
      </c>
      <c r="L41" s="53">
        <f t="shared" si="9"/>
        <v>0.28952423810310446</v>
      </c>
      <c r="M41" s="53">
        <f t="shared" si="10"/>
        <v>-0.70119261682651157</v>
      </c>
      <c r="N41" s="54" t="str">
        <f>IF(COUNTIFS(BD_LUCRO[Mês],$B41)=0,"N/A",IF(K41&gt;=0,"✅ POSITIVO","❌ NEGATIVO"))</f>
        <v>❌ NEGATIVO</v>
      </c>
      <c r="O41" s="65">
        <f t="shared" si="11"/>
        <v>-0.38818672225608558</v>
      </c>
    </row>
    <row r="42" spans="2:15">
      <c r="B42" s="2" t="s">
        <v>117</v>
      </c>
      <c r="C42" s="62">
        <f t="shared" ref="C42" si="12">SUM(C30:C41)</f>
        <v>124</v>
      </c>
      <c r="D42" s="62">
        <f t="shared" ref="D42" si="13">SUM(D30:D41)</f>
        <v>25716499</v>
      </c>
      <c r="E42" s="62">
        <f t="shared" ref="E42" si="14">SUM(E30:E41)</f>
        <v>6965952.6700000018</v>
      </c>
      <c r="F42" s="62">
        <f t="shared" ref="F42" si="15">SUM(F30:F41)</f>
        <v>3259171.8</v>
      </c>
      <c r="G42" s="62">
        <f t="shared" ref="G42" si="16">SUM(G30:G41)</f>
        <v>7281.9700000000084</v>
      </c>
      <c r="H42" s="62">
        <f t="shared" ref="H42" si="17">SUM(H30:H41)</f>
        <v>1826139.84</v>
      </c>
      <c r="I42" s="62">
        <f t="shared" ref="I42" si="18">SUM(I30:I41)</f>
        <v>4200075.4400000004</v>
      </c>
      <c r="J42" s="62">
        <f t="shared" ref="J42" si="19">SUM(J30:J41)</f>
        <v>3677506.74</v>
      </c>
      <c r="K42" s="62">
        <f t="shared" ref="K42" si="20">SUM(K30:K41)</f>
        <v>522568.69999999949</v>
      </c>
      <c r="L42" s="67">
        <f t="shared" si="9"/>
        <v>0.26893077641309915</v>
      </c>
      <c r="M42" s="67">
        <f t="shared" si="10"/>
        <v>7.5017549609621356E-2</v>
      </c>
      <c r="N42" s="62" t="str">
        <f>IF(K42&gt;=0,"✅ POSITIVO","❌ NEGATIVO")</f>
        <v>✅ POSITIVO</v>
      </c>
      <c r="O42" s="2" t="s">
        <v>92</v>
      </c>
    </row>
  </sheetData>
  <mergeCells count="8">
    <mergeCell ref="B3:C3"/>
    <mergeCell ref="B28:O28"/>
    <mergeCell ref="B12:O12"/>
    <mergeCell ref="B2:C2"/>
    <mergeCell ref="E2:F2"/>
    <mergeCell ref="E3:F3"/>
    <mergeCell ref="H2:I2"/>
    <mergeCell ref="H3:I3"/>
  </mergeCells>
  <conditionalFormatting sqref="M14:M25">
    <cfRule type="cellIs" dxfId="32" priority="12" operator="lessThan">
      <formula>0</formula>
    </cfRule>
    <cfRule type="cellIs" dxfId="31" priority="13" operator="greaterThan">
      <formula>0</formula>
    </cfRule>
  </conditionalFormatting>
  <conditionalFormatting sqref="M30:M41">
    <cfRule type="cellIs" dxfId="30" priority="6" operator="lessThan">
      <formula>0</formula>
    </cfRule>
    <cfRule type="cellIs" dxfId="29" priority="7" operator="greaterThan">
      <formula>0</formula>
    </cfRule>
  </conditionalFormatting>
  <conditionalFormatting sqref="N1:N1048576">
    <cfRule type="cellIs" dxfId="28" priority="1" operator="equal">
      <formula>"✅ POSITIVO"</formula>
    </cfRule>
    <cfRule type="cellIs" dxfId="27" priority="2" operator="equal">
      <formula>"❌ NEGATIVO"</formula>
    </cfRule>
  </conditionalFormatting>
  <conditionalFormatting sqref="N14:N25">
    <cfRule type="cellIs" dxfId="26" priority="9" operator="equal">
      <formula>"✅ POSITIVO"</formula>
    </cfRule>
    <cfRule type="duplicateValues" dxfId="25" priority="10"/>
    <cfRule type="cellIs" dxfId="24" priority="11" operator="equal">
      <formula>"❌ NEGATIVO"</formula>
    </cfRule>
  </conditionalFormatting>
  <conditionalFormatting sqref="N30:N41">
    <cfRule type="cellIs" dxfId="23" priority="3" operator="equal">
      <formula>"✅ POSITIVO"</formula>
    </cfRule>
    <cfRule type="duplicateValues" dxfId="22" priority="4"/>
    <cfRule type="cellIs" dxfId="21" priority="5" operator="equal">
      <formula>"❌ NEGATIVO"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1"/>
  <sheetViews>
    <sheetView showGridLines="0" workbookViewId="0"/>
  </sheetViews>
  <sheetFormatPr defaultColWidth="10.625" defaultRowHeight="14.25"/>
  <cols>
    <col min="1" max="1" width="12.625" bestFit="1" customWidth="1"/>
    <col min="2" max="2" width="8.875" style="118" bestFit="1" customWidth="1"/>
    <col min="3" max="3" width="22.25" bestFit="1" customWidth="1"/>
    <col min="4" max="4" width="10.125" bestFit="1" customWidth="1"/>
    <col min="5" max="5" width="27.875" style="133" bestFit="1" customWidth="1"/>
    <col min="6" max="6" width="9.375" style="140" bestFit="1" customWidth="1"/>
    <col min="7" max="7" width="15.375" style="137" bestFit="1" customWidth="1"/>
    <col min="8" max="8" width="16.75" style="119" bestFit="1" customWidth="1"/>
    <col min="9" max="9" width="9.625" style="137" bestFit="1" customWidth="1"/>
    <col min="10" max="10" width="12.875" style="137" bestFit="1" customWidth="1"/>
    <col min="11" max="11" width="17.875" style="137" bestFit="1" customWidth="1"/>
    <col min="12" max="12" width="18.375" style="137" bestFit="1" customWidth="1"/>
  </cols>
  <sheetData>
    <row r="1" spans="1:12">
      <c r="A1" s="134" t="s">
        <v>34</v>
      </c>
      <c r="B1" s="135" t="s">
        <v>4840</v>
      </c>
      <c r="C1" s="134" t="s">
        <v>4895</v>
      </c>
      <c r="D1" s="134" t="s">
        <v>4888</v>
      </c>
      <c r="E1" s="133" t="s">
        <v>4889</v>
      </c>
      <c r="F1" s="139" t="s">
        <v>4841</v>
      </c>
      <c r="G1" s="138" t="s">
        <v>4893</v>
      </c>
      <c r="H1" s="136" t="s">
        <v>4894</v>
      </c>
      <c r="I1" s="138" t="s">
        <v>4890</v>
      </c>
      <c r="J1" s="138" t="s">
        <v>44</v>
      </c>
      <c r="K1" s="138" t="s">
        <v>4891</v>
      </c>
      <c r="L1" s="138" t="s">
        <v>4892</v>
      </c>
    </row>
    <row r="2" spans="1:12">
      <c r="A2" s="142" t="s">
        <v>216</v>
      </c>
      <c r="B2" s="143">
        <v>46029</v>
      </c>
      <c r="C2" s="142">
        <v>2205</v>
      </c>
      <c r="D2" s="142" t="s">
        <v>4830</v>
      </c>
      <c r="E2" s="144">
        <v>1982</v>
      </c>
      <c r="F2" s="145">
        <v>51920</v>
      </c>
      <c r="G2" s="146">
        <v>57024</v>
      </c>
      <c r="H2" s="146">
        <v>38074.67</v>
      </c>
      <c r="I2" s="146">
        <v>12870</v>
      </c>
      <c r="J2" s="146">
        <v>1183.78</v>
      </c>
      <c r="K2" s="146">
        <v>689.2</v>
      </c>
      <c r="L2" s="146">
        <v>4206.3500000000004</v>
      </c>
    </row>
    <row r="3" spans="1:12">
      <c r="A3" s="142" t="s">
        <v>216</v>
      </c>
      <c r="B3" s="143">
        <v>46030</v>
      </c>
      <c r="C3" s="142">
        <v>2207</v>
      </c>
      <c r="D3" s="142" t="s">
        <v>4831</v>
      </c>
      <c r="E3" s="144">
        <v>1985</v>
      </c>
      <c r="F3" s="145">
        <v>51960</v>
      </c>
      <c r="G3" s="146">
        <v>56936</v>
      </c>
      <c r="H3" s="146">
        <v>38104</v>
      </c>
      <c r="I3" s="146">
        <v>12202.4</v>
      </c>
      <c r="J3" s="146">
        <v>1247.04</v>
      </c>
      <c r="K3" s="146">
        <v>689.6</v>
      </c>
      <c r="L3" s="146">
        <v>4692.96</v>
      </c>
    </row>
    <row r="4" spans="1:12">
      <c r="A4" s="142" t="s">
        <v>216</v>
      </c>
      <c r="B4" s="143">
        <v>46030</v>
      </c>
      <c r="C4" s="142">
        <v>2208</v>
      </c>
      <c r="D4" s="142" t="s">
        <v>4832</v>
      </c>
      <c r="E4" s="144">
        <v>1984</v>
      </c>
      <c r="F4" s="145">
        <v>52200</v>
      </c>
      <c r="G4" s="146">
        <v>57354</v>
      </c>
      <c r="H4" s="146">
        <v>38280</v>
      </c>
      <c r="I4" s="146">
        <v>12438</v>
      </c>
      <c r="J4" s="146">
        <v>1252.8</v>
      </c>
      <c r="K4" s="146">
        <v>692</v>
      </c>
      <c r="L4" s="146">
        <v>4691.2</v>
      </c>
    </row>
    <row r="5" spans="1:12">
      <c r="A5" s="142" t="s">
        <v>216</v>
      </c>
      <c r="B5" s="143">
        <v>46030</v>
      </c>
      <c r="C5" s="142">
        <v>2209</v>
      </c>
      <c r="D5" s="142" t="s">
        <v>4833</v>
      </c>
      <c r="E5" s="144">
        <v>1983</v>
      </c>
      <c r="F5" s="145">
        <v>50340</v>
      </c>
      <c r="G5" s="146">
        <v>55242</v>
      </c>
      <c r="H5" s="146">
        <v>36916</v>
      </c>
      <c r="I5" s="146">
        <v>11991.6</v>
      </c>
      <c r="J5" s="146">
        <v>1208.1600000000001</v>
      </c>
      <c r="K5" s="146">
        <v>673.4</v>
      </c>
      <c r="L5" s="146">
        <v>4452.84</v>
      </c>
    </row>
    <row r="6" spans="1:12">
      <c r="A6" s="142" t="s">
        <v>216</v>
      </c>
      <c r="B6" s="143">
        <v>46030</v>
      </c>
      <c r="C6" s="142">
        <v>2210</v>
      </c>
      <c r="D6" s="142" t="s">
        <v>4834</v>
      </c>
      <c r="E6" s="144">
        <v>1986</v>
      </c>
      <c r="F6" s="145">
        <v>50560</v>
      </c>
      <c r="G6" s="146">
        <v>55352</v>
      </c>
      <c r="H6" s="146">
        <v>37077.33</v>
      </c>
      <c r="I6" s="146">
        <v>11812.8</v>
      </c>
      <c r="J6" s="146">
        <v>1213.44</v>
      </c>
      <c r="K6" s="146">
        <v>675.6</v>
      </c>
      <c r="L6" s="146">
        <v>4572.83</v>
      </c>
    </row>
    <row r="7" spans="1:12">
      <c r="A7" s="142" t="s">
        <v>216</v>
      </c>
      <c r="B7" s="143">
        <v>46035</v>
      </c>
      <c r="C7" s="142">
        <v>2211</v>
      </c>
      <c r="D7" s="142" t="s">
        <v>4835</v>
      </c>
      <c r="E7" s="144">
        <v>1988</v>
      </c>
      <c r="F7" s="145">
        <v>39960</v>
      </c>
      <c r="G7" s="146">
        <v>53067</v>
      </c>
      <c r="H7" s="146">
        <v>37562.400000000001</v>
      </c>
      <c r="I7" s="146">
        <v>9885</v>
      </c>
      <c r="J7" s="146">
        <v>1352.25</v>
      </c>
      <c r="K7" s="146">
        <v>1169</v>
      </c>
      <c r="L7" s="146">
        <v>3098.35</v>
      </c>
    </row>
    <row r="8" spans="1:12">
      <c r="A8" s="142" t="s">
        <v>216</v>
      </c>
      <c r="B8" s="143">
        <v>46035</v>
      </c>
      <c r="C8" s="142">
        <v>2212</v>
      </c>
      <c r="D8" s="142" t="s">
        <v>4836</v>
      </c>
      <c r="E8" s="144">
        <v>1987</v>
      </c>
      <c r="F8" s="145">
        <v>41300</v>
      </c>
      <c r="G8" s="146">
        <v>54796</v>
      </c>
      <c r="H8" s="146">
        <v>38822</v>
      </c>
      <c r="I8" s="146">
        <v>10210</v>
      </c>
      <c r="J8" s="146">
        <v>1397.59</v>
      </c>
      <c r="K8" s="146">
        <v>1202.5</v>
      </c>
      <c r="L8" s="146">
        <v>3163.91</v>
      </c>
    </row>
    <row r="9" spans="1:12">
      <c r="A9" s="142" t="s">
        <v>216</v>
      </c>
      <c r="B9" s="143">
        <v>46037</v>
      </c>
      <c r="C9" s="142">
        <v>2213</v>
      </c>
      <c r="D9" s="142" t="s">
        <v>4837</v>
      </c>
      <c r="E9" s="144">
        <v>1989</v>
      </c>
      <c r="F9" s="145">
        <v>50720</v>
      </c>
      <c r="G9" s="146">
        <v>55902</v>
      </c>
      <c r="H9" s="146">
        <v>37194.67</v>
      </c>
      <c r="I9" s="146">
        <v>12590</v>
      </c>
      <c r="J9" s="146">
        <v>1156.42</v>
      </c>
      <c r="K9" s="146">
        <v>677.2</v>
      </c>
      <c r="L9" s="146">
        <v>4283.71</v>
      </c>
    </row>
    <row r="10" spans="1:12">
      <c r="A10" s="142" t="s">
        <v>216</v>
      </c>
      <c r="B10" s="143">
        <v>46038</v>
      </c>
      <c r="C10" s="142">
        <v>2214</v>
      </c>
      <c r="D10" s="142" t="s">
        <v>4838</v>
      </c>
      <c r="E10" s="144">
        <v>1990</v>
      </c>
      <c r="F10" s="145">
        <v>36600</v>
      </c>
      <c r="G10" s="146">
        <v>48678</v>
      </c>
      <c r="H10" s="146">
        <v>34404</v>
      </c>
      <c r="I10" s="146">
        <v>9060</v>
      </c>
      <c r="J10" s="146">
        <v>1238.54</v>
      </c>
      <c r="K10" s="146">
        <v>1085</v>
      </c>
      <c r="L10" s="146">
        <v>2890.46</v>
      </c>
    </row>
    <row r="11" spans="1:12">
      <c r="A11" s="142" t="s">
        <v>216</v>
      </c>
      <c r="B11" s="143">
        <v>46052</v>
      </c>
      <c r="C11" s="142">
        <v>2247</v>
      </c>
      <c r="D11" s="142" t="s">
        <v>4839</v>
      </c>
      <c r="E11" s="144">
        <v>1991</v>
      </c>
      <c r="F11" s="145">
        <v>43661</v>
      </c>
      <c r="G11" s="146">
        <v>80045.17</v>
      </c>
      <c r="H11" s="146">
        <v>60584.15</v>
      </c>
      <c r="I11" s="146">
        <v>0</v>
      </c>
      <c r="J11" s="146">
        <v>0</v>
      </c>
      <c r="K11" s="146">
        <v>727.68</v>
      </c>
      <c r="L11" s="146">
        <v>18733.330000000002</v>
      </c>
    </row>
    <row r="12" spans="1:12">
      <c r="A12" s="142" t="s">
        <v>216</v>
      </c>
      <c r="B12" s="143">
        <v>46053</v>
      </c>
      <c r="C12" s="142">
        <v>2246</v>
      </c>
      <c r="D12" s="142" t="s">
        <v>4839</v>
      </c>
      <c r="E12" s="144">
        <v>1993</v>
      </c>
      <c r="F12" s="145">
        <v>62088</v>
      </c>
      <c r="G12" s="146">
        <v>113828</v>
      </c>
      <c r="H12" s="146">
        <v>96546.84</v>
      </c>
      <c r="I12" s="146">
        <v>0</v>
      </c>
      <c r="J12" s="146">
        <v>0</v>
      </c>
      <c r="K12" s="146">
        <v>4139.2</v>
      </c>
      <c r="L12" s="146">
        <v>13141.96</v>
      </c>
    </row>
    <row r="13" spans="1:12">
      <c r="A13" s="142" t="s">
        <v>51</v>
      </c>
      <c r="B13" s="143">
        <v>46039</v>
      </c>
      <c r="C13" s="142">
        <v>2215</v>
      </c>
      <c r="D13" s="142" t="s">
        <v>4839</v>
      </c>
      <c r="E13" s="144">
        <v>1567</v>
      </c>
      <c r="F13" s="145">
        <v>62982</v>
      </c>
      <c r="G13" s="146">
        <v>113367.6</v>
      </c>
      <c r="H13" s="146">
        <v>82128.53</v>
      </c>
      <c r="I13" s="146">
        <v>0</v>
      </c>
      <c r="J13" s="146">
        <v>0</v>
      </c>
      <c r="K13" s="146">
        <v>0</v>
      </c>
      <c r="L13" s="146">
        <v>31239.07</v>
      </c>
    </row>
    <row r="14" spans="1:12">
      <c r="A14" s="142" t="s">
        <v>51</v>
      </c>
      <c r="B14" s="143">
        <v>46039</v>
      </c>
      <c r="C14" s="142">
        <v>2216</v>
      </c>
      <c r="D14" s="142" t="s">
        <v>4839</v>
      </c>
      <c r="E14" s="144">
        <v>1566</v>
      </c>
      <c r="F14" s="145">
        <v>53487</v>
      </c>
      <c r="G14" s="146">
        <v>96276.6</v>
      </c>
      <c r="H14" s="146">
        <v>69747.05</v>
      </c>
      <c r="I14" s="146">
        <v>0</v>
      </c>
      <c r="J14" s="146">
        <v>0</v>
      </c>
      <c r="K14" s="146">
        <v>0</v>
      </c>
      <c r="L14" s="146">
        <v>26529.55</v>
      </c>
    </row>
    <row r="15" spans="1:12">
      <c r="A15" s="142" t="s">
        <v>51</v>
      </c>
      <c r="B15" s="143">
        <v>46039</v>
      </c>
      <c r="C15" s="142">
        <v>2217</v>
      </c>
      <c r="D15" s="142" t="s">
        <v>4839</v>
      </c>
      <c r="E15" s="144">
        <v>1568</v>
      </c>
      <c r="F15" s="145">
        <v>53556</v>
      </c>
      <c r="G15" s="146">
        <v>96400.8</v>
      </c>
      <c r="H15" s="146">
        <v>69837.02</v>
      </c>
      <c r="I15" s="146">
        <v>0</v>
      </c>
      <c r="J15" s="146">
        <v>0</v>
      </c>
      <c r="K15" s="146">
        <v>0</v>
      </c>
      <c r="L15" s="146">
        <v>26563.78</v>
      </c>
    </row>
    <row r="16" spans="1:12">
      <c r="A16" s="142" t="s">
        <v>51</v>
      </c>
      <c r="B16" s="143">
        <v>46039</v>
      </c>
      <c r="C16" s="142">
        <v>2218</v>
      </c>
      <c r="D16" s="142" t="s">
        <v>4839</v>
      </c>
      <c r="E16" s="144">
        <v>1564</v>
      </c>
      <c r="F16" s="145">
        <v>51979</v>
      </c>
      <c r="G16" s="146">
        <v>93562.2</v>
      </c>
      <c r="H16" s="146">
        <v>67780.62</v>
      </c>
      <c r="I16" s="146">
        <v>0</v>
      </c>
      <c r="J16" s="146">
        <v>0</v>
      </c>
      <c r="K16" s="146">
        <v>0</v>
      </c>
      <c r="L16" s="146">
        <v>25781.58</v>
      </c>
    </row>
    <row r="17" spans="1:12">
      <c r="A17" s="142" t="s">
        <v>51</v>
      </c>
      <c r="B17" s="143">
        <v>46039</v>
      </c>
      <c r="C17" s="142">
        <v>2219</v>
      </c>
      <c r="D17" s="142" t="s">
        <v>4839</v>
      </c>
      <c r="E17" s="144">
        <v>1565</v>
      </c>
      <c r="F17" s="145">
        <v>53587</v>
      </c>
      <c r="G17" s="146">
        <v>96456.6</v>
      </c>
      <c r="H17" s="146">
        <v>69877.45</v>
      </c>
      <c r="I17" s="146">
        <v>0</v>
      </c>
      <c r="J17" s="146">
        <v>0</v>
      </c>
      <c r="K17" s="146">
        <v>0</v>
      </c>
      <c r="L17" s="146">
        <v>26579.15</v>
      </c>
    </row>
    <row r="18" spans="1:12">
      <c r="A18" s="142" t="s">
        <v>51</v>
      </c>
      <c r="B18" s="143">
        <v>46039</v>
      </c>
      <c r="C18" s="142">
        <v>2220</v>
      </c>
      <c r="D18" s="142" t="s">
        <v>4839</v>
      </c>
      <c r="E18" s="144">
        <v>1569</v>
      </c>
      <c r="F18" s="145">
        <v>61076</v>
      </c>
      <c r="G18" s="146">
        <v>109936.8</v>
      </c>
      <c r="H18" s="146">
        <v>79643.100000000006</v>
      </c>
      <c r="I18" s="146">
        <v>0</v>
      </c>
      <c r="J18" s="146">
        <v>0</v>
      </c>
      <c r="K18" s="146">
        <v>0</v>
      </c>
      <c r="L18" s="146">
        <v>30293.7</v>
      </c>
    </row>
    <row r="19" spans="1:12">
      <c r="A19" s="142" t="s">
        <v>51</v>
      </c>
      <c r="B19" s="143">
        <v>46042</v>
      </c>
      <c r="C19" s="142">
        <v>2221</v>
      </c>
      <c r="D19" s="142" t="s">
        <v>4839</v>
      </c>
      <c r="E19" s="144">
        <v>1571</v>
      </c>
      <c r="F19" s="145">
        <v>44136</v>
      </c>
      <c r="G19" s="146">
        <v>79444.800000000003</v>
      </c>
      <c r="H19" s="146">
        <v>76723.08</v>
      </c>
      <c r="I19" s="146">
        <v>0</v>
      </c>
      <c r="J19" s="146">
        <v>0</v>
      </c>
      <c r="K19" s="146">
        <v>809.16</v>
      </c>
      <c r="L19" s="146">
        <v>1912.56</v>
      </c>
    </row>
    <row r="20" spans="1:12">
      <c r="A20" s="142" t="s">
        <v>51</v>
      </c>
      <c r="B20" s="143">
        <v>46042</v>
      </c>
      <c r="C20" s="142">
        <v>2225</v>
      </c>
      <c r="D20" s="142" t="s">
        <v>4839</v>
      </c>
      <c r="E20" s="144">
        <v>1572</v>
      </c>
      <c r="F20" s="145">
        <v>37860</v>
      </c>
      <c r="G20" s="146">
        <v>67517</v>
      </c>
      <c r="H20" s="146">
        <v>65182.3</v>
      </c>
      <c r="I20" s="146">
        <v>0</v>
      </c>
      <c r="J20" s="146">
        <v>0</v>
      </c>
      <c r="K20" s="146">
        <v>532.30999999999995</v>
      </c>
      <c r="L20" s="146">
        <v>1802.39</v>
      </c>
    </row>
    <row r="21" spans="1:12">
      <c r="A21" s="142" t="s">
        <v>51</v>
      </c>
      <c r="B21" s="143">
        <v>46043</v>
      </c>
      <c r="C21" s="142">
        <v>2232</v>
      </c>
      <c r="D21" s="142" t="s">
        <v>4839</v>
      </c>
      <c r="E21" s="144">
        <v>1570</v>
      </c>
      <c r="F21" s="145">
        <v>6564</v>
      </c>
      <c r="G21" s="146">
        <v>11705.8</v>
      </c>
      <c r="H21" s="146">
        <v>11301.02</v>
      </c>
      <c r="I21" s="146">
        <v>0</v>
      </c>
      <c r="J21" s="146">
        <v>0</v>
      </c>
      <c r="K21" s="146">
        <v>92.29</v>
      </c>
      <c r="L21" s="146">
        <v>312.49</v>
      </c>
    </row>
    <row r="22" spans="1:12">
      <c r="A22" s="142" t="s">
        <v>51</v>
      </c>
      <c r="B22" s="143">
        <v>46043</v>
      </c>
      <c r="C22" s="142">
        <v>2233</v>
      </c>
      <c r="D22" s="142" t="s">
        <v>4839</v>
      </c>
      <c r="E22" s="144" t="s">
        <v>4842</v>
      </c>
      <c r="F22" s="145">
        <v>6030</v>
      </c>
      <c r="G22" s="146">
        <v>10753.5</v>
      </c>
      <c r="H22" s="146">
        <v>10482.15</v>
      </c>
      <c r="I22" s="146">
        <v>0</v>
      </c>
      <c r="J22" s="146">
        <v>0</v>
      </c>
      <c r="K22" s="146">
        <v>84.78</v>
      </c>
      <c r="L22" s="146">
        <v>186.57</v>
      </c>
    </row>
    <row r="23" spans="1:12">
      <c r="A23" s="142" t="s">
        <v>51</v>
      </c>
      <c r="B23" s="143">
        <v>46043</v>
      </c>
      <c r="C23" s="142">
        <v>2235</v>
      </c>
      <c r="D23" s="142" t="s">
        <v>4839</v>
      </c>
      <c r="E23" s="144">
        <v>1570</v>
      </c>
      <c r="F23" s="145">
        <v>27035</v>
      </c>
      <c r="G23" s="146">
        <v>47761.83</v>
      </c>
      <c r="H23" s="146">
        <v>46995.839999999997</v>
      </c>
      <c r="I23" s="146">
        <v>0</v>
      </c>
      <c r="J23" s="146">
        <v>0</v>
      </c>
      <c r="K23" s="146">
        <v>380.11</v>
      </c>
      <c r="L23" s="146">
        <v>385.88</v>
      </c>
    </row>
    <row r="24" spans="1:12">
      <c r="A24" s="142" t="s">
        <v>51</v>
      </c>
      <c r="B24" s="143">
        <v>46045</v>
      </c>
      <c r="C24" s="142">
        <v>2226</v>
      </c>
      <c r="D24" s="142" t="s">
        <v>4839</v>
      </c>
      <c r="E24" s="144">
        <v>1573</v>
      </c>
      <c r="F24" s="145">
        <v>56322</v>
      </c>
      <c r="G24" s="146">
        <v>100440.9</v>
      </c>
      <c r="H24" s="146">
        <v>96967.71</v>
      </c>
      <c r="I24" s="146">
        <v>0</v>
      </c>
      <c r="J24" s="146">
        <v>0</v>
      </c>
      <c r="K24" s="146">
        <v>1032.57</v>
      </c>
      <c r="L24" s="146">
        <v>2440.62</v>
      </c>
    </row>
    <row r="25" spans="1:12">
      <c r="A25" s="142" t="s">
        <v>51</v>
      </c>
      <c r="B25" s="143">
        <v>46045</v>
      </c>
      <c r="C25" s="142">
        <v>2229</v>
      </c>
      <c r="D25" s="142" t="s">
        <v>4839</v>
      </c>
      <c r="E25" s="144">
        <v>1574</v>
      </c>
      <c r="F25" s="145">
        <v>3678</v>
      </c>
      <c r="G25" s="146">
        <v>6559.1</v>
      </c>
      <c r="H25" s="146">
        <v>6332.29</v>
      </c>
      <c r="I25" s="146">
        <v>0</v>
      </c>
      <c r="J25" s="146">
        <v>0</v>
      </c>
      <c r="K25" s="146">
        <v>67.430000000000007</v>
      </c>
      <c r="L25" s="146">
        <v>159.38</v>
      </c>
    </row>
    <row r="26" spans="1:12">
      <c r="A26" s="142" t="s">
        <v>51</v>
      </c>
      <c r="B26" s="143">
        <v>46045</v>
      </c>
      <c r="C26" s="142">
        <v>2230</v>
      </c>
      <c r="D26" s="142" t="s">
        <v>4839</v>
      </c>
      <c r="E26" s="144">
        <v>1574</v>
      </c>
      <c r="F26" s="145">
        <v>33167</v>
      </c>
      <c r="G26" s="146">
        <v>59147.82</v>
      </c>
      <c r="H26" s="146">
        <v>54338.6</v>
      </c>
      <c r="I26" s="146">
        <v>0</v>
      </c>
      <c r="J26" s="146">
        <v>0</v>
      </c>
      <c r="K26" s="146">
        <v>630.16999999999996</v>
      </c>
      <c r="L26" s="146">
        <v>4179.04</v>
      </c>
    </row>
    <row r="27" spans="1:12">
      <c r="A27" s="142" t="s">
        <v>51</v>
      </c>
      <c r="B27" s="143">
        <v>46046</v>
      </c>
      <c r="C27" s="142">
        <v>2231</v>
      </c>
      <c r="D27" s="142" t="s">
        <v>4839</v>
      </c>
      <c r="E27" s="144">
        <v>1577</v>
      </c>
      <c r="F27" s="145">
        <v>36379</v>
      </c>
      <c r="G27" s="146">
        <v>64875.88</v>
      </c>
      <c r="H27" s="146">
        <v>62632.51</v>
      </c>
      <c r="I27" s="146">
        <v>0</v>
      </c>
      <c r="J27" s="146">
        <v>0</v>
      </c>
      <c r="K27" s="146">
        <v>511.49</v>
      </c>
      <c r="L27" s="146">
        <v>1731.88</v>
      </c>
    </row>
    <row r="28" spans="1:12">
      <c r="A28" s="142" t="s">
        <v>51</v>
      </c>
      <c r="B28" s="143">
        <v>46046</v>
      </c>
      <c r="C28" s="142">
        <v>2236</v>
      </c>
      <c r="D28" s="142" t="s">
        <v>4839</v>
      </c>
      <c r="E28" s="144">
        <v>1576</v>
      </c>
      <c r="F28" s="145">
        <v>26935</v>
      </c>
      <c r="G28" s="146">
        <v>47585.17</v>
      </c>
      <c r="H28" s="146">
        <v>46822.01</v>
      </c>
      <c r="I28" s="146">
        <v>0</v>
      </c>
      <c r="J28" s="146">
        <v>0</v>
      </c>
      <c r="K28" s="146">
        <v>378.71</v>
      </c>
      <c r="L28" s="146">
        <v>384.45</v>
      </c>
    </row>
    <row r="29" spans="1:12">
      <c r="A29" s="142" t="s">
        <v>51</v>
      </c>
      <c r="B29" s="143">
        <v>46046</v>
      </c>
      <c r="C29" s="142">
        <v>2237</v>
      </c>
      <c r="D29" s="142" t="s">
        <v>4839</v>
      </c>
      <c r="E29" s="144">
        <v>1576</v>
      </c>
      <c r="F29" s="145">
        <v>11087</v>
      </c>
      <c r="G29" s="146">
        <v>19587.03</v>
      </c>
      <c r="H29" s="146">
        <v>19272.900000000001</v>
      </c>
      <c r="I29" s="146">
        <v>0</v>
      </c>
      <c r="J29" s="146">
        <v>0</v>
      </c>
      <c r="K29" s="146">
        <v>203.26</v>
      </c>
      <c r="L29" s="146">
        <v>110.87</v>
      </c>
    </row>
    <row r="30" spans="1:12">
      <c r="A30" s="142" t="s">
        <v>51</v>
      </c>
      <c r="B30" s="143">
        <v>46047</v>
      </c>
      <c r="C30" s="142">
        <v>2238</v>
      </c>
      <c r="D30" s="142" t="s">
        <v>4839</v>
      </c>
      <c r="E30" s="144">
        <v>1579</v>
      </c>
      <c r="F30" s="145">
        <v>4777</v>
      </c>
      <c r="G30" s="146">
        <v>8439.3700000000008</v>
      </c>
      <c r="H30" s="146">
        <v>8304.02</v>
      </c>
      <c r="I30" s="146">
        <v>0</v>
      </c>
      <c r="J30" s="146">
        <v>0</v>
      </c>
      <c r="K30" s="146">
        <v>87.58</v>
      </c>
      <c r="L30" s="146">
        <v>47.77</v>
      </c>
    </row>
    <row r="31" spans="1:12">
      <c r="A31" s="142" t="s">
        <v>51</v>
      </c>
      <c r="B31" s="143">
        <v>46047</v>
      </c>
      <c r="C31" s="142">
        <v>2239</v>
      </c>
      <c r="D31" s="142" t="s">
        <v>4839</v>
      </c>
      <c r="E31" s="144">
        <v>1579</v>
      </c>
      <c r="F31" s="145">
        <v>33944</v>
      </c>
      <c r="G31" s="146">
        <v>59967.73</v>
      </c>
      <c r="H31" s="146">
        <v>56573.33</v>
      </c>
      <c r="I31" s="146">
        <v>0</v>
      </c>
      <c r="J31" s="146">
        <v>0</v>
      </c>
      <c r="K31" s="146">
        <v>1114.44</v>
      </c>
      <c r="L31" s="146">
        <v>2279.96</v>
      </c>
    </row>
    <row r="32" spans="1:12">
      <c r="A32" s="142" t="s">
        <v>51</v>
      </c>
      <c r="B32" s="143">
        <v>46048</v>
      </c>
      <c r="C32" s="142">
        <v>2240</v>
      </c>
      <c r="D32" s="142" t="s">
        <v>4839</v>
      </c>
      <c r="E32" s="144" t="s">
        <v>4843</v>
      </c>
      <c r="F32" s="145">
        <v>16222</v>
      </c>
      <c r="G32" s="146">
        <v>28658.87</v>
      </c>
      <c r="H32" s="146">
        <v>27036.67</v>
      </c>
      <c r="I32" s="146">
        <v>0</v>
      </c>
      <c r="J32" s="146">
        <v>0</v>
      </c>
      <c r="K32" s="146">
        <v>300.11</v>
      </c>
      <c r="L32" s="146">
        <v>1322.09</v>
      </c>
    </row>
    <row r="33" spans="1:12">
      <c r="A33" s="142" t="s">
        <v>51</v>
      </c>
      <c r="B33" s="143">
        <v>46048</v>
      </c>
      <c r="C33" s="142">
        <v>2241</v>
      </c>
      <c r="D33" s="142" t="s">
        <v>4839</v>
      </c>
      <c r="E33" s="144">
        <v>1580</v>
      </c>
      <c r="F33" s="145">
        <v>21718</v>
      </c>
      <c r="G33" s="146">
        <v>36956.800000000003</v>
      </c>
      <c r="H33" s="146">
        <v>36196.67</v>
      </c>
      <c r="I33" s="146">
        <v>0</v>
      </c>
      <c r="J33" s="146">
        <v>0</v>
      </c>
      <c r="K33" s="146">
        <v>401.78</v>
      </c>
      <c r="L33" s="146">
        <v>358.35</v>
      </c>
    </row>
    <row r="34" spans="1:12">
      <c r="A34" s="142" t="s">
        <v>51</v>
      </c>
      <c r="B34" s="143">
        <v>46049</v>
      </c>
      <c r="C34" s="142">
        <v>2242</v>
      </c>
      <c r="D34" s="142" t="s">
        <v>4839</v>
      </c>
      <c r="E34" s="144">
        <v>1581</v>
      </c>
      <c r="F34" s="145">
        <v>26833</v>
      </c>
      <c r="G34" s="146">
        <v>45660.82</v>
      </c>
      <c r="H34" s="146">
        <v>43961.4</v>
      </c>
      <c r="I34" s="146">
        <v>0</v>
      </c>
      <c r="J34" s="146">
        <v>0</v>
      </c>
      <c r="K34" s="146">
        <v>509.83</v>
      </c>
      <c r="L34" s="146">
        <v>1189.5999999999999</v>
      </c>
    </row>
    <row r="35" spans="1:12">
      <c r="A35" s="142" t="s">
        <v>51</v>
      </c>
      <c r="B35" s="143">
        <v>46049</v>
      </c>
      <c r="C35" s="142">
        <v>2243</v>
      </c>
      <c r="D35" s="142" t="s">
        <v>4839</v>
      </c>
      <c r="E35" s="144" t="s">
        <v>4844</v>
      </c>
      <c r="F35" s="145">
        <v>11449</v>
      </c>
      <c r="G35" s="146">
        <v>19482.38</v>
      </c>
      <c r="H35" s="146">
        <v>18375.650000000001</v>
      </c>
      <c r="I35" s="146">
        <v>0</v>
      </c>
      <c r="J35" s="146">
        <v>0</v>
      </c>
      <c r="K35" s="146">
        <v>183.18</v>
      </c>
      <c r="L35" s="146">
        <v>923.55</v>
      </c>
    </row>
    <row r="36" spans="1:12">
      <c r="A36" s="142" t="s">
        <v>51</v>
      </c>
      <c r="B36" s="143">
        <v>46052</v>
      </c>
      <c r="C36" s="142">
        <v>2227</v>
      </c>
      <c r="D36" s="142" t="s">
        <v>4839</v>
      </c>
      <c r="E36" s="144">
        <v>1575</v>
      </c>
      <c r="F36" s="145">
        <v>38399</v>
      </c>
      <c r="G36" s="146">
        <v>69118.2</v>
      </c>
      <c r="H36" s="146">
        <v>66110.28</v>
      </c>
      <c r="I36" s="146">
        <v>0</v>
      </c>
      <c r="J36" s="146">
        <v>0</v>
      </c>
      <c r="K36" s="146">
        <v>539.89</v>
      </c>
      <c r="L36" s="146">
        <v>2468.0300000000002</v>
      </c>
    </row>
    <row r="37" spans="1:12">
      <c r="A37" s="142" t="s">
        <v>51</v>
      </c>
      <c r="B37" s="143">
        <v>46052</v>
      </c>
      <c r="C37" s="142">
        <v>2228</v>
      </c>
      <c r="D37" s="142" t="s">
        <v>4839</v>
      </c>
      <c r="E37" s="144" t="s">
        <v>4845</v>
      </c>
      <c r="F37" s="145">
        <v>798</v>
      </c>
      <c r="G37" s="146">
        <v>1436.4</v>
      </c>
      <c r="H37" s="146">
        <v>1373.89</v>
      </c>
      <c r="I37" s="146">
        <v>0</v>
      </c>
      <c r="J37" s="146">
        <v>0</v>
      </c>
      <c r="K37" s="146">
        <v>11.22</v>
      </c>
      <c r="L37" s="146">
        <v>51.29</v>
      </c>
    </row>
    <row r="38" spans="1:12">
      <c r="A38" s="142" t="s">
        <v>51</v>
      </c>
      <c r="B38" s="143">
        <v>46052</v>
      </c>
      <c r="C38" s="142">
        <v>2244</v>
      </c>
      <c r="D38" s="142" t="s">
        <v>4839</v>
      </c>
      <c r="E38" s="144">
        <v>1581</v>
      </c>
      <c r="F38" s="145">
        <v>3736</v>
      </c>
      <c r="G38" s="146">
        <v>6195.53</v>
      </c>
      <c r="H38" s="146">
        <v>5996.28</v>
      </c>
      <c r="I38" s="146">
        <v>0</v>
      </c>
      <c r="J38" s="146">
        <v>0</v>
      </c>
      <c r="K38" s="146">
        <v>59.78</v>
      </c>
      <c r="L38" s="146">
        <v>139.47999999999999</v>
      </c>
    </row>
    <row r="39" spans="1:12">
      <c r="A39" s="142" t="s">
        <v>51</v>
      </c>
      <c r="B39" s="143">
        <v>46052</v>
      </c>
      <c r="C39" s="142">
        <v>2245</v>
      </c>
      <c r="D39" s="142" t="s">
        <v>4839</v>
      </c>
      <c r="E39" s="144">
        <v>1592</v>
      </c>
      <c r="F39" s="145">
        <v>50340</v>
      </c>
      <c r="G39" s="146">
        <v>83480.5</v>
      </c>
      <c r="H39" s="146">
        <v>80795.7</v>
      </c>
      <c r="I39" s="146">
        <v>0</v>
      </c>
      <c r="J39" s="146">
        <v>0</v>
      </c>
      <c r="K39" s="146">
        <v>805.44</v>
      </c>
      <c r="L39" s="146">
        <v>1879.36</v>
      </c>
    </row>
    <row r="40" spans="1:12">
      <c r="A40" s="142" t="s">
        <v>51</v>
      </c>
      <c r="B40" s="143">
        <v>46052</v>
      </c>
      <c r="C40" s="142">
        <v>2250</v>
      </c>
      <c r="D40" s="142" t="s">
        <v>4839</v>
      </c>
      <c r="E40" s="144">
        <v>1578</v>
      </c>
      <c r="F40" s="145">
        <v>5924</v>
      </c>
      <c r="G40" s="146">
        <v>9823.9699999999993</v>
      </c>
      <c r="H40" s="146">
        <v>9873.33</v>
      </c>
      <c r="I40" s="146">
        <v>0</v>
      </c>
      <c r="J40" s="146">
        <v>0</v>
      </c>
      <c r="K40" s="146">
        <v>109.59</v>
      </c>
      <c r="L40" s="146">
        <v>-158.96</v>
      </c>
    </row>
    <row r="41" spans="1:12">
      <c r="A41" s="142" t="s">
        <v>51</v>
      </c>
      <c r="B41" s="143">
        <v>46052</v>
      </c>
      <c r="C41" s="142">
        <v>2251</v>
      </c>
      <c r="D41" s="142" t="s">
        <v>4839</v>
      </c>
      <c r="E41" s="144">
        <v>1578</v>
      </c>
      <c r="F41" s="145">
        <v>34453</v>
      </c>
      <c r="G41" s="146">
        <v>58857.21</v>
      </c>
      <c r="H41" s="146">
        <v>57421.67</v>
      </c>
      <c r="I41" s="146">
        <v>0</v>
      </c>
      <c r="J41" s="146">
        <v>0</v>
      </c>
      <c r="K41" s="146">
        <v>637.38</v>
      </c>
      <c r="L41" s="146">
        <v>798.16</v>
      </c>
    </row>
    <row r="42" spans="1:12">
      <c r="A42" s="142" t="s">
        <v>51</v>
      </c>
      <c r="B42" s="143">
        <v>46062</v>
      </c>
      <c r="C42" s="142">
        <v>2255</v>
      </c>
      <c r="D42" s="142" t="s">
        <v>4839</v>
      </c>
      <c r="E42" s="144" t="s">
        <v>4846</v>
      </c>
      <c r="F42" s="145">
        <v>39195</v>
      </c>
      <c r="G42" s="146">
        <v>61029.69</v>
      </c>
      <c r="H42" s="146">
        <v>51110.28</v>
      </c>
      <c r="I42" s="146">
        <v>0</v>
      </c>
      <c r="J42" s="146">
        <v>0</v>
      </c>
      <c r="K42" s="146">
        <v>0</v>
      </c>
      <c r="L42" s="146">
        <v>9919.41</v>
      </c>
    </row>
    <row r="43" spans="1:12">
      <c r="A43" s="142" t="s">
        <v>51</v>
      </c>
      <c r="B43" s="143">
        <v>46062</v>
      </c>
      <c r="C43" s="142">
        <v>2256</v>
      </c>
      <c r="D43" s="142" t="s">
        <v>4839</v>
      </c>
      <c r="E43" s="144" t="s">
        <v>4847</v>
      </c>
      <c r="F43" s="145">
        <v>51446</v>
      </c>
      <c r="G43" s="146">
        <v>80105.45</v>
      </c>
      <c r="H43" s="146">
        <v>67085.58</v>
      </c>
      <c r="I43" s="146">
        <v>0</v>
      </c>
      <c r="J43" s="146">
        <v>0</v>
      </c>
      <c r="K43" s="146">
        <v>0</v>
      </c>
      <c r="L43" s="146">
        <v>13019.87</v>
      </c>
    </row>
    <row r="44" spans="1:12">
      <c r="A44" s="142" t="s">
        <v>51</v>
      </c>
      <c r="B44" s="143">
        <v>46062</v>
      </c>
      <c r="C44" s="142">
        <v>2257</v>
      </c>
      <c r="D44" s="142" t="s">
        <v>4839</v>
      </c>
      <c r="E44" s="144" t="s">
        <v>4848</v>
      </c>
      <c r="F44" s="145">
        <v>50922</v>
      </c>
      <c r="G44" s="146">
        <v>79289.539999999994</v>
      </c>
      <c r="H44" s="146">
        <v>66402.289999999994</v>
      </c>
      <c r="I44" s="146">
        <v>0</v>
      </c>
      <c r="J44" s="146">
        <v>0</v>
      </c>
      <c r="K44" s="146">
        <v>0</v>
      </c>
      <c r="L44" s="146">
        <v>12887.25</v>
      </c>
    </row>
    <row r="45" spans="1:12">
      <c r="A45" s="142" t="s">
        <v>51</v>
      </c>
      <c r="B45" s="143">
        <v>46062</v>
      </c>
      <c r="C45" s="142">
        <v>2258</v>
      </c>
      <c r="D45" s="142" t="s">
        <v>4839</v>
      </c>
      <c r="E45" s="144" t="s">
        <v>4849</v>
      </c>
      <c r="F45" s="145">
        <v>60454</v>
      </c>
      <c r="G45" s="146">
        <v>94131.61</v>
      </c>
      <c r="H45" s="146">
        <v>78832.02</v>
      </c>
      <c r="I45" s="146">
        <v>0</v>
      </c>
      <c r="J45" s="146">
        <v>0</v>
      </c>
      <c r="K45" s="146">
        <v>0</v>
      </c>
      <c r="L45" s="146">
        <v>15299.6</v>
      </c>
    </row>
    <row r="46" spans="1:12">
      <c r="A46" s="142" t="s">
        <v>51</v>
      </c>
      <c r="B46" s="143">
        <v>46062</v>
      </c>
      <c r="C46" s="142">
        <v>2259</v>
      </c>
      <c r="D46" s="142" t="s">
        <v>4839</v>
      </c>
      <c r="E46" s="144" t="s">
        <v>4850</v>
      </c>
      <c r="F46" s="145">
        <v>41454</v>
      </c>
      <c r="G46" s="146">
        <v>64547.13</v>
      </c>
      <c r="H46" s="146">
        <v>54056.02</v>
      </c>
      <c r="I46" s="146">
        <v>0</v>
      </c>
      <c r="J46" s="146">
        <v>0</v>
      </c>
      <c r="K46" s="146">
        <v>0</v>
      </c>
      <c r="L46" s="146">
        <v>10491.11</v>
      </c>
    </row>
    <row r="47" spans="1:12">
      <c r="A47" s="142" t="s">
        <v>51</v>
      </c>
      <c r="B47" s="143">
        <v>46062</v>
      </c>
      <c r="C47" s="142">
        <v>2260</v>
      </c>
      <c r="D47" s="142" t="s">
        <v>4839</v>
      </c>
      <c r="E47" s="144">
        <v>1604</v>
      </c>
      <c r="F47" s="145">
        <v>48878</v>
      </c>
      <c r="G47" s="146">
        <v>76106.87</v>
      </c>
      <c r="H47" s="146">
        <v>63736.91</v>
      </c>
      <c r="I47" s="146">
        <v>0</v>
      </c>
      <c r="J47" s="146">
        <v>0</v>
      </c>
      <c r="K47" s="146">
        <v>0</v>
      </c>
      <c r="L47" s="146">
        <v>12369.96</v>
      </c>
    </row>
    <row r="48" spans="1:12">
      <c r="A48" s="142" t="s">
        <v>51</v>
      </c>
      <c r="B48" s="143">
        <v>46062</v>
      </c>
      <c r="C48" s="142">
        <v>2261</v>
      </c>
      <c r="D48" s="142" t="s">
        <v>4839</v>
      </c>
      <c r="E48" s="144" t="s">
        <v>4851</v>
      </c>
      <c r="F48" s="145">
        <v>49516</v>
      </c>
      <c r="G48" s="146">
        <v>77100.289999999994</v>
      </c>
      <c r="H48" s="146">
        <v>64568.86</v>
      </c>
      <c r="I48" s="146">
        <v>0</v>
      </c>
      <c r="J48" s="146">
        <v>0</v>
      </c>
      <c r="K48" s="146">
        <v>0</v>
      </c>
      <c r="L48" s="146">
        <v>12531.43</v>
      </c>
    </row>
    <row r="49" spans="1:12">
      <c r="A49" s="142" t="s">
        <v>51</v>
      </c>
      <c r="B49" s="143">
        <v>46062</v>
      </c>
      <c r="C49" s="142">
        <v>2262</v>
      </c>
      <c r="D49" s="142" t="s">
        <v>4839</v>
      </c>
      <c r="E49" s="144" t="s">
        <v>4852</v>
      </c>
      <c r="F49" s="145">
        <v>53759</v>
      </c>
      <c r="G49" s="146">
        <v>83706.97</v>
      </c>
      <c r="H49" s="146">
        <v>70101.740000000005</v>
      </c>
      <c r="I49" s="146">
        <v>0</v>
      </c>
      <c r="J49" s="146">
        <v>0</v>
      </c>
      <c r="K49" s="146">
        <v>0</v>
      </c>
      <c r="L49" s="146">
        <v>13605.24</v>
      </c>
    </row>
    <row r="50" spans="1:12">
      <c r="A50" s="142" t="s">
        <v>51</v>
      </c>
      <c r="B50" s="143">
        <v>46062</v>
      </c>
      <c r="C50" s="142">
        <v>2263</v>
      </c>
      <c r="D50" s="142" t="s">
        <v>4839</v>
      </c>
      <c r="E50" s="144" t="s">
        <v>4853</v>
      </c>
      <c r="F50" s="145">
        <v>52073</v>
      </c>
      <c r="G50" s="146">
        <v>81081.740000000005</v>
      </c>
      <c r="H50" s="146">
        <v>67903.19</v>
      </c>
      <c r="I50" s="146">
        <v>0</v>
      </c>
      <c r="J50" s="146">
        <v>0</v>
      </c>
      <c r="K50" s="146">
        <v>0</v>
      </c>
      <c r="L50" s="146">
        <v>13178.55</v>
      </c>
    </row>
    <row r="51" spans="1:12">
      <c r="A51" s="142" t="s">
        <v>51</v>
      </c>
      <c r="B51" s="143">
        <v>46062</v>
      </c>
      <c r="C51" s="142">
        <v>2264</v>
      </c>
      <c r="D51" s="142" t="s">
        <v>4839</v>
      </c>
      <c r="E51" s="144" t="s">
        <v>4854</v>
      </c>
      <c r="F51" s="145">
        <v>58512</v>
      </c>
      <c r="G51" s="146">
        <v>91107.77</v>
      </c>
      <c r="H51" s="146">
        <v>76299.649999999994</v>
      </c>
      <c r="I51" s="146">
        <v>0</v>
      </c>
      <c r="J51" s="146">
        <v>0</v>
      </c>
      <c r="K51" s="146">
        <v>0</v>
      </c>
      <c r="L51" s="146">
        <v>14808.12</v>
      </c>
    </row>
    <row r="52" spans="1:12">
      <c r="A52" s="142" t="s">
        <v>51</v>
      </c>
      <c r="B52" s="143">
        <v>46062</v>
      </c>
      <c r="C52" s="142">
        <v>2265</v>
      </c>
      <c r="D52" s="142" t="s">
        <v>4839</v>
      </c>
      <c r="E52" s="144" t="s">
        <v>4855</v>
      </c>
      <c r="F52" s="145">
        <v>59262</v>
      </c>
      <c r="G52" s="146">
        <v>92275.58</v>
      </c>
      <c r="H52" s="146">
        <v>77277.649999999994</v>
      </c>
      <c r="I52" s="146">
        <v>0</v>
      </c>
      <c r="J52" s="146">
        <v>0</v>
      </c>
      <c r="K52" s="146">
        <v>0</v>
      </c>
      <c r="L52" s="146">
        <v>14997.93</v>
      </c>
    </row>
    <row r="53" spans="1:12">
      <c r="A53" s="142" t="s">
        <v>51</v>
      </c>
      <c r="B53" s="143">
        <v>46079</v>
      </c>
      <c r="C53" s="142">
        <v>2320</v>
      </c>
      <c r="D53" s="142" t="s">
        <v>4839</v>
      </c>
      <c r="E53" s="144" t="s">
        <v>4856</v>
      </c>
      <c r="F53" s="145">
        <v>40661</v>
      </c>
      <c r="G53" s="146">
        <v>63312.36</v>
      </c>
      <c r="H53" s="146">
        <v>53021.94</v>
      </c>
      <c r="I53" s="146">
        <v>0</v>
      </c>
      <c r="J53" s="146">
        <v>0</v>
      </c>
      <c r="K53" s="146">
        <v>0</v>
      </c>
      <c r="L53" s="146">
        <v>10290.42</v>
      </c>
    </row>
    <row r="54" spans="1:12">
      <c r="A54" s="142" t="s">
        <v>51</v>
      </c>
      <c r="B54" s="143">
        <v>46079</v>
      </c>
      <c r="C54" s="142">
        <v>2322</v>
      </c>
      <c r="D54" s="142" t="s">
        <v>4839</v>
      </c>
      <c r="E54" s="144" t="s">
        <v>4857</v>
      </c>
      <c r="F54" s="145">
        <v>48426</v>
      </c>
      <c r="G54" s="146">
        <v>75403.08</v>
      </c>
      <c r="H54" s="146">
        <v>63147.5</v>
      </c>
      <c r="I54" s="146">
        <v>0</v>
      </c>
      <c r="J54" s="146">
        <v>0</v>
      </c>
      <c r="K54" s="146">
        <v>0</v>
      </c>
      <c r="L54" s="146">
        <v>12255.57</v>
      </c>
    </row>
    <row r="55" spans="1:12">
      <c r="A55" s="142" t="s">
        <v>51</v>
      </c>
      <c r="B55" s="143">
        <v>46079</v>
      </c>
      <c r="C55" s="142">
        <v>2323</v>
      </c>
      <c r="D55" s="142" t="s">
        <v>4839</v>
      </c>
      <c r="E55" s="144" t="s">
        <v>4858</v>
      </c>
      <c r="F55" s="145">
        <v>47384</v>
      </c>
      <c r="G55" s="146">
        <v>73780.600000000006</v>
      </c>
      <c r="H55" s="146">
        <v>61788.74</v>
      </c>
      <c r="I55" s="146">
        <v>0</v>
      </c>
      <c r="J55" s="146">
        <v>0</v>
      </c>
      <c r="K55" s="146">
        <v>0</v>
      </c>
      <c r="L55" s="146">
        <v>11991.86</v>
      </c>
    </row>
    <row r="56" spans="1:12">
      <c r="A56" s="142" t="s">
        <v>51</v>
      </c>
      <c r="B56" s="143">
        <v>46079</v>
      </c>
      <c r="C56" s="142">
        <v>2324</v>
      </c>
      <c r="D56" s="142" t="s">
        <v>4839</v>
      </c>
      <c r="E56" s="144" t="s">
        <v>4859</v>
      </c>
      <c r="F56" s="145">
        <v>53462</v>
      </c>
      <c r="G56" s="146">
        <v>83244.52</v>
      </c>
      <c r="H56" s="146">
        <v>69714.45</v>
      </c>
      <c r="I56" s="146">
        <v>0</v>
      </c>
      <c r="J56" s="146">
        <v>0</v>
      </c>
      <c r="K56" s="146">
        <v>0</v>
      </c>
      <c r="L56" s="146">
        <v>13530.07</v>
      </c>
    </row>
    <row r="57" spans="1:12">
      <c r="A57" s="142" t="s">
        <v>51</v>
      </c>
      <c r="B57" s="143">
        <v>46079</v>
      </c>
      <c r="C57" s="142">
        <v>2325</v>
      </c>
      <c r="D57" s="142" t="s">
        <v>4839</v>
      </c>
      <c r="E57" s="144" t="s">
        <v>4860</v>
      </c>
      <c r="F57" s="145">
        <v>47517</v>
      </c>
      <c r="G57" s="146">
        <v>73987.69</v>
      </c>
      <c r="H57" s="146">
        <v>61962.17</v>
      </c>
      <c r="I57" s="146">
        <v>0</v>
      </c>
      <c r="J57" s="146">
        <v>0</v>
      </c>
      <c r="K57" s="146">
        <v>0</v>
      </c>
      <c r="L57" s="146">
        <v>12025.52</v>
      </c>
    </row>
    <row r="58" spans="1:12">
      <c r="A58" s="142" t="s">
        <v>51</v>
      </c>
      <c r="B58" s="143">
        <v>46079</v>
      </c>
      <c r="C58" s="142">
        <v>2326</v>
      </c>
      <c r="D58" s="142" t="s">
        <v>4839</v>
      </c>
      <c r="E58" s="144" t="s">
        <v>4861</v>
      </c>
      <c r="F58" s="145">
        <v>41743</v>
      </c>
      <c r="G58" s="146">
        <v>64997.120000000003</v>
      </c>
      <c r="H58" s="146">
        <v>54432.87</v>
      </c>
      <c r="I58" s="146">
        <v>0</v>
      </c>
      <c r="J58" s="146">
        <v>0</v>
      </c>
      <c r="K58" s="146">
        <v>0</v>
      </c>
      <c r="L58" s="146">
        <v>10564.25</v>
      </c>
    </row>
    <row r="59" spans="1:12">
      <c r="A59" s="142" t="s">
        <v>51</v>
      </c>
      <c r="B59" s="143">
        <v>46079</v>
      </c>
      <c r="C59" s="142">
        <v>2328</v>
      </c>
      <c r="D59" s="142" t="s">
        <v>4839</v>
      </c>
      <c r="E59" s="144" t="s">
        <v>4862</v>
      </c>
      <c r="F59" s="145">
        <v>46561</v>
      </c>
      <c r="G59" s="146">
        <v>72499.12</v>
      </c>
      <c r="H59" s="146">
        <v>60715.54</v>
      </c>
      <c r="I59" s="146">
        <v>0</v>
      </c>
      <c r="J59" s="146">
        <v>0</v>
      </c>
      <c r="K59" s="146">
        <v>0</v>
      </c>
      <c r="L59" s="146">
        <v>11783.58</v>
      </c>
    </row>
    <row r="60" spans="1:12">
      <c r="A60" s="142" t="s">
        <v>51</v>
      </c>
      <c r="B60" s="143">
        <v>46080</v>
      </c>
      <c r="C60" s="142">
        <v>2347</v>
      </c>
      <c r="D60" s="142" t="s">
        <v>4839</v>
      </c>
      <c r="E60" s="144"/>
      <c r="F60" s="145">
        <v>43100</v>
      </c>
      <c r="G60" s="146">
        <v>0</v>
      </c>
      <c r="H60" s="146">
        <v>140075</v>
      </c>
      <c r="I60" s="146">
        <v>0</v>
      </c>
      <c r="J60" s="146">
        <v>0</v>
      </c>
      <c r="K60" s="146">
        <v>0</v>
      </c>
      <c r="L60" s="146">
        <v>0</v>
      </c>
    </row>
    <row r="61" spans="1:12">
      <c r="A61" s="142" t="s">
        <v>216</v>
      </c>
      <c r="B61" s="143">
        <v>46055</v>
      </c>
      <c r="C61" s="142">
        <v>2248</v>
      </c>
      <c r="D61" s="142" t="s">
        <v>4839</v>
      </c>
      <c r="E61" s="144">
        <v>1992</v>
      </c>
      <c r="F61" s="145">
        <v>53399</v>
      </c>
      <c r="G61" s="146">
        <v>97898.17</v>
      </c>
      <c r="H61" s="146">
        <v>74096.63</v>
      </c>
      <c r="I61" s="146">
        <v>0</v>
      </c>
      <c r="J61" s="146">
        <v>0</v>
      </c>
      <c r="K61" s="146">
        <v>889.98</v>
      </c>
      <c r="L61" s="146">
        <v>22911.55</v>
      </c>
    </row>
    <row r="62" spans="1:12">
      <c r="A62" s="142" t="s">
        <v>216</v>
      </c>
      <c r="B62" s="143">
        <v>46055</v>
      </c>
      <c r="C62" s="142">
        <v>2249</v>
      </c>
      <c r="D62" s="142" t="s">
        <v>4839</v>
      </c>
      <c r="E62" s="144">
        <v>1994</v>
      </c>
      <c r="F62" s="145">
        <v>52940</v>
      </c>
      <c r="G62" s="146">
        <v>97056.67</v>
      </c>
      <c r="H62" s="146">
        <v>73459.72</v>
      </c>
      <c r="I62" s="146">
        <v>0</v>
      </c>
      <c r="J62" s="146">
        <v>0</v>
      </c>
      <c r="K62" s="146">
        <v>882.33</v>
      </c>
      <c r="L62" s="146">
        <v>22714.61</v>
      </c>
    </row>
    <row r="63" spans="1:12">
      <c r="A63" s="142" t="s">
        <v>216</v>
      </c>
      <c r="B63" s="143">
        <v>46056</v>
      </c>
      <c r="C63" s="142">
        <v>2252</v>
      </c>
      <c r="D63" s="142" t="s">
        <v>4863</v>
      </c>
      <c r="E63" s="144">
        <v>1998</v>
      </c>
      <c r="F63" s="145">
        <v>37240</v>
      </c>
      <c r="G63" s="146">
        <v>49502.6</v>
      </c>
      <c r="H63" s="146">
        <v>35005.599999999999</v>
      </c>
      <c r="I63" s="146">
        <v>9235</v>
      </c>
      <c r="J63" s="146">
        <v>1260.2</v>
      </c>
      <c r="K63" s="146">
        <v>1091</v>
      </c>
      <c r="L63" s="146">
        <v>2910.8</v>
      </c>
    </row>
    <row r="64" spans="1:12">
      <c r="A64" s="142" t="s">
        <v>216</v>
      </c>
      <c r="B64" s="143">
        <v>46057</v>
      </c>
      <c r="C64" s="142">
        <v>2253</v>
      </c>
      <c r="D64" s="142" t="s">
        <v>4839</v>
      </c>
      <c r="E64" s="144">
        <v>1997</v>
      </c>
      <c r="F64" s="145">
        <v>63543</v>
      </c>
      <c r="G64" s="146">
        <v>116495.5</v>
      </c>
      <c r="H64" s="146">
        <v>98809.37</v>
      </c>
      <c r="I64" s="146">
        <v>0</v>
      </c>
      <c r="J64" s="146">
        <v>0</v>
      </c>
      <c r="K64" s="146">
        <v>1175.55</v>
      </c>
      <c r="L64" s="146">
        <v>16510.59</v>
      </c>
    </row>
    <row r="65" spans="1:12">
      <c r="A65" s="142" t="s">
        <v>216</v>
      </c>
      <c r="B65" s="143">
        <v>46063</v>
      </c>
      <c r="C65" s="142">
        <v>2267</v>
      </c>
      <c r="D65" s="142" t="s">
        <v>4839</v>
      </c>
      <c r="E65" s="144">
        <v>2016</v>
      </c>
      <c r="F65" s="145">
        <v>17158</v>
      </c>
      <c r="G65" s="146">
        <v>31456.33</v>
      </c>
      <c r="H65" s="146">
        <v>26680.69</v>
      </c>
      <c r="I65" s="146">
        <v>0</v>
      </c>
      <c r="J65" s="146">
        <v>0</v>
      </c>
      <c r="K65" s="146">
        <v>285.97000000000003</v>
      </c>
      <c r="L65" s="146">
        <v>4489.68</v>
      </c>
    </row>
    <row r="66" spans="1:12">
      <c r="A66" s="142" t="s">
        <v>216</v>
      </c>
      <c r="B66" s="143">
        <v>46064</v>
      </c>
      <c r="C66" s="142">
        <v>2268</v>
      </c>
      <c r="D66" s="142" t="s">
        <v>4839</v>
      </c>
      <c r="E66" s="144">
        <v>2016</v>
      </c>
      <c r="F66" s="145">
        <v>38924</v>
      </c>
      <c r="G66" s="146">
        <v>63251.5</v>
      </c>
      <c r="H66" s="146">
        <v>60526.82</v>
      </c>
      <c r="I66" s="146">
        <v>0</v>
      </c>
      <c r="J66" s="146">
        <v>0</v>
      </c>
      <c r="K66" s="146">
        <v>648.73</v>
      </c>
      <c r="L66" s="146">
        <v>2075.9499999999998</v>
      </c>
    </row>
    <row r="67" spans="1:12">
      <c r="A67" s="142" t="s">
        <v>216</v>
      </c>
      <c r="B67" s="143">
        <v>46066</v>
      </c>
      <c r="C67" s="142">
        <v>2269</v>
      </c>
      <c r="D67" s="142" t="s">
        <v>4839</v>
      </c>
      <c r="E67" s="144">
        <v>1995</v>
      </c>
      <c r="F67" s="145">
        <v>18595</v>
      </c>
      <c r="G67" s="146">
        <v>31921.42</v>
      </c>
      <c r="H67" s="146">
        <v>25802.55</v>
      </c>
      <c r="I67" s="146">
        <v>0</v>
      </c>
      <c r="J67" s="146">
        <v>0</v>
      </c>
      <c r="K67" s="146">
        <v>619.83000000000004</v>
      </c>
      <c r="L67" s="146">
        <v>5499.04</v>
      </c>
    </row>
    <row r="68" spans="1:12">
      <c r="A68" s="142" t="s">
        <v>216</v>
      </c>
      <c r="B68" s="143">
        <v>46066</v>
      </c>
      <c r="C68" s="142">
        <v>2270</v>
      </c>
      <c r="D68" s="142" t="s">
        <v>4839</v>
      </c>
      <c r="E68" s="144">
        <v>1995</v>
      </c>
      <c r="F68" s="145">
        <v>25584</v>
      </c>
      <c r="G68" s="146">
        <v>43919.199999999997</v>
      </c>
      <c r="H68" s="146">
        <v>40508</v>
      </c>
      <c r="I68" s="146">
        <v>0</v>
      </c>
      <c r="J68" s="146">
        <v>0</v>
      </c>
      <c r="K68" s="146">
        <v>852.8</v>
      </c>
      <c r="L68" s="146">
        <v>2558.4</v>
      </c>
    </row>
    <row r="69" spans="1:12">
      <c r="A69" s="142" t="s">
        <v>216</v>
      </c>
      <c r="B69" s="143">
        <v>46066</v>
      </c>
      <c r="C69" s="142">
        <v>2271</v>
      </c>
      <c r="D69" s="142" t="s">
        <v>4839</v>
      </c>
      <c r="E69" s="144">
        <v>1996</v>
      </c>
      <c r="F69" s="145">
        <v>41405</v>
      </c>
      <c r="G69" s="146">
        <v>71078.58</v>
      </c>
      <c r="H69" s="146">
        <v>57453.85</v>
      </c>
      <c r="I69" s="146">
        <v>0</v>
      </c>
      <c r="J69" s="146">
        <v>0</v>
      </c>
      <c r="K69" s="146">
        <v>1380.17</v>
      </c>
      <c r="L69" s="146">
        <v>12244.56</v>
      </c>
    </row>
    <row r="70" spans="1:12">
      <c r="A70" s="142" t="s">
        <v>216</v>
      </c>
      <c r="B70" s="143">
        <v>46066</v>
      </c>
      <c r="C70" s="142">
        <v>2272</v>
      </c>
      <c r="D70" s="142" t="s">
        <v>4839</v>
      </c>
      <c r="E70" s="144">
        <v>2010</v>
      </c>
      <c r="F70" s="145">
        <v>34416</v>
      </c>
      <c r="G70" s="146">
        <v>59080.800000000003</v>
      </c>
      <c r="H70" s="146">
        <v>57360</v>
      </c>
      <c r="I70" s="146">
        <v>0</v>
      </c>
      <c r="J70" s="146">
        <v>0</v>
      </c>
      <c r="K70" s="146">
        <v>573.6</v>
      </c>
      <c r="L70" s="146">
        <v>1147.2</v>
      </c>
    </row>
    <row r="71" spans="1:12">
      <c r="A71" s="142" t="s">
        <v>216</v>
      </c>
      <c r="B71" s="143">
        <v>46066</v>
      </c>
      <c r="C71" s="142">
        <v>2273</v>
      </c>
      <c r="D71" s="142" t="s">
        <v>4839</v>
      </c>
      <c r="E71" s="144">
        <v>2003</v>
      </c>
      <c r="F71" s="145">
        <v>41425</v>
      </c>
      <c r="G71" s="146">
        <v>71112.92</v>
      </c>
      <c r="H71" s="146">
        <v>69041.67</v>
      </c>
      <c r="I71" s="146">
        <v>0</v>
      </c>
      <c r="J71" s="146">
        <v>0</v>
      </c>
      <c r="K71" s="146">
        <v>690.42</v>
      </c>
      <c r="L71" s="146">
        <v>1380.83</v>
      </c>
    </row>
    <row r="72" spans="1:12">
      <c r="A72" s="142" t="s">
        <v>216</v>
      </c>
      <c r="B72" s="143">
        <v>46066</v>
      </c>
      <c r="C72" s="142">
        <v>2274</v>
      </c>
      <c r="D72" s="142" t="s">
        <v>4839</v>
      </c>
      <c r="E72" s="144">
        <v>2004</v>
      </c>
      <c r="F72" s="145">
        <v>37807</v>
      </c>
      <c r="G72" s="146">
        <v>64902.02</v>
      </c>
      <c r="H72" s="146">
        <v>63011.67</v>
      </c>
      <c r="I72" s="146">
        <v>0</v>
      </c>
      <c r="J72" s="146">
        <v>0</v>
      </c>
      <c r="K72" s="146">
        <v>630.12</v>
      </c>
      <c r="L72" s="146">
        <v>1260.23</v>
      </c>
    </row>
    <row r="73" spans="1:12">
      <c r="A73" s="142" t="s">
        <v>216</v>
      </c>
      <c r="B73" s="143">
        <v>46066</v>
      </c>
      <c r="C73" s="142">
        <v>2275</v>
      </c>
      <c r="D73" s="142" t="s">
        <v>4839</v>
      </c>
      <c r="E73" s="144">
        <v>2005</v>
      </c>
      <c r="F73" s="145">
        <v>38869</v>
      </c>
      <c r="G73" s="146">
        <v>66725.119999999995</v>
      </c>
      <c r="H73" s="146">
        <v>64781.67</v>
      </c>
      <c r="I73" s="146">
        <v>0</v>
      </c>
      <c r="J73" s="146">
        <v>0</v>
      </c>
      <c r="K73" s="146">
        <v>647.82000000000005</v>
      </c>
      <c r="L73" s="146">
        <v>1295.6300000000001</v>
      </c>
    </row>
    <row r="74" spans="1:12">
      <c r="A74" s="142" t="s">
        <v>216</v>
      </c>
      <c r="B74" s="143">
        <v>46066</v>
      </c>
      <c r="C74" s="142">
        <v>2276</v>
      </c>
      <c r="D74" s="142" t="s">
        <v>4839</v>
      </c>
      <c r="E74" s="144">
        <v>2006</v>
      </c>
      <c r="F74" s="145">
        <v>36586</v>
      </c>
      <c r="G74" s="146">
        <v>62805.97</v>
      </c>
      <c r="H74" s="146">
        <v>60976.67</v>
      </c>
      <c r="I74" s="146">
        <v>0</v>
      </c>
      <c r="J74" s="146">
        <v>0</v>
      </c>
      <c r="K74" s="146">
        <v>609.77</v>
      </c>
      <c r="L74" s="146">
        <v>1219.53</v>
      </c>
    </row>
    <row r="75" spans="1:12">
      <c r="A75" s="142" t="s">
        <v>216</v>
      </c>
      <c r="B75" s="143">
        <v>46066</v>
      </c>
      <c r="C75" s="142">
        <v>2277</v>
      </c>
      <c r="D75" s="142" t="s">
        <v>4839</v>
      </c>
      <c r="E75" s="144">
        <v>2007</v>
      </c>
      <c r="F75" s="145">
        <v>33739</v>
      </c>
      <c r="G75" s="146">
        <v>57918.62</v>
      </c>
      <c r="H75" s="146">
        <v>56231.67</v>
      </c>
      <c r="I75" s="146">
        <v>0</v>
      </c>
      <c r="J75" s="146">
        <v>0</v>
      </c>
      <c r="K75" s="146">
        <v>562.32000000000005</v>
      </c>
      <c r="L75" s="146">
        <v>1124.6300000000001</v>
      </c>
    </row>
    <row r="76" spans="1:12">
      <c r="A76" s="142" t="s">
        <v>216</v>
      </c>
      <c r="B76" s="143">
        <v>46066</v>
      </c>
      <c r="C76" s="142">
        <v>2278</v>
      </c>
      <c r="D76" s="142" t="s">
        <v>4839</v>
      </c>
      <c r="E76" s="144">
        <v>2008</v>
      </c>
      <c r="F76" s="145">
        <v>36847</v>
      </c>
      <c r="G76" s="146">
        <v>63254.02</v>
      </c>
      <c r="H76" s="146">
        <v>61411.67</v>
      </c>
      <c r="I76" s="146">
        <v>0</v>
      </c>
      <c r="J76" s="146">
        <v>0</v>
      </c>
      <c r="K76" s="146">
        <v>614.12</v>
      </c>
      <c r="L76" s="146">
        <v>1228.23</v>
      </c>
    </row>
    <row r="77" spans="1:12">
      <c r="A77" s="142" t="s">
        <v>216</v>
      </c>
      <c r="B77" s="143">
        <v>46066</v>
      </c>
      <c r="C77" s="142">
        <v>2279</v>
      </c>
      <c r="D77" s="142" t="s">
        <v>4839</v>
      </c>
      <c r="E77" s="144">
        <v>2009</v>
      </c>
      <c r="F77" s="145">
        <v>40046</v>
      </c>
      <c r="G77" s="146">
        <v>68745.63</v>
      </c>
      <c r="H77" s="146">
        <v>66743.33</v>
      </c>
      <c r="I77" s="146">
        <v>0</v>
      </c>
      <c r="J77" s="146">
        <v>0</v>
      </c>
      <c r="K77" s="146">
        <v>667.43</v>
      </c>
      <c r="L77" s="146">
        <v>1334.87</v>
      </c>
    </row>
    <row r="78" spans="1:12">
      <c r="A78" s="142" t="s">
        <v>216</v>
      </c>
      <c r="B78" s="143">
        <v>46066</v>
      </c>
      <c r="C78" s="142">
        <v>2280</v>
      </c>
      <c r="D78" s="142" t="s">
        <v>4839</v>
      </c>
      <c r="E78" s="144">
        <v>2010</v>
      </c>
      <c r="F78" s="145">
        <v>4703</v>
      </c>
      <c r="G78" s="146">
        <v>8073.48</v>
      </c>
      <c r="H78" s="146">
        <v>7838.33</v>
      </c>
      <c r="I78" s="146">
        <v>0</v>
      </c>
      <c r="J78" s="146">
        <v>0</v>
      </c>
      <c r="K78" s="146">
        <v>78.38</v>
      </c>
      <c r="L78" s="146">
        <v>156.77000000000001</v>
      </c>
    </row>
    <row r="79" spans="1:12">
      <c r="A79" s="142" t="s">
        <v>216</v>
      </c>
      <c r="B79" s="143">
        <v>46066</v>
      </c>
      <c r="C79" s="142">
        <v>2281</v>
      </c>
      <c r="D79" s="142" t="s">
        <v>4839</v>
      </c>
      <c r="E79" s="144">
        <v>2011</v>
      </c>
      <c r="F79" s="145">
        <v>37347</v>
      </c>
      <c r="G79" s="146">
        <v>64112.35</v>
      </c>
      <c r="H79" s="146">
        <v>62245</v>
      </c>
      <c r="I79" s="146">
        <v>0</v>
      </c>
      <c r="J79" s="146">
        <v>0</v>
      </c>
      <c r="K79" s="146">
        <v>622.45000000000005</v>
      </c>
      <c r="L79" s="146">
        <v>1244.9000000000001</v>
      </c>
    </row>
    <row r="80" spans="1:12">
      <c r="A80" s="142" t="s">
        <v>216</v>
      </c>
      <c r="B80" s="143">
        <v>46066</v>
      </c>
      <c r="C80" s="142">
        <v>2282</v>
      </c>
      <c r="D80" s="142" t="s">
        <v>4839</v>
      </c>
      <c r="E80" s="144">
        <v>2012</v>
      </c>
      <c r="F80" s="145">
        <v>35048</v>
      </c>
      <c r="G80" s="146">
        <v>60165.73</v>
      </c>
      <c r="H80" s="146">
        <v>58413.33</v>
      </c>
      <c r="I80" s="146">
        <v>0</v>
      </c>
      <c r="J80" s="146">
        <v>0</v>
      </c>
      <c r="K80" s="146">
        <v>584.13</v>
      </c>
      <c r="L80" s="146">
        <v>1168.27</v>
      </c>
    </row>
    <row r="81" spans="1:12">
      <c r="A81" s="142" t="s">
        <v>216</v>
      </c>
      <c r="B81" s="143">
        <v>46066</v>
      </c>
      <c r="C81" s="142">
        <v>2283</v>
      </c>
      <c r="D81" s="142" t="s">
        <v>4839</v>
      </c>
      <c r="E81" s="144">
        <v>2013</v>
      </c>
      <c r="F81" s="145">
        <v>40971</v>
      </c>
      <c r="G81" s="146">
        <v>70333.55</v>
      </c>
      <c r="H81" s="146">
        <v>68285</v>
      </c>
      <c r="I81" s="146">
        <v>0</v>
      </c>
      <c r="J81" s="146">
        <v>0</v>
      </c>
      <c r="K81" s="146">
        <v>682.85</v>
      </c>
      <c r="L81" s="146">
        <v>1365.7</v>
      </c>
    </row>
    <row r="82" spans="1:12">
      <c r="A82" s="142" t="s">
        <v>216</v>
      </c>
      <c r="B82" s="143">
        <v>46066</v>
      </c>
      <c r="C82" s="142">
        <v>2284</v>
      </c>
      <c r="D82" s="142" t="s">
        <v>4839</v>
      </c>
      <c r="E82" s="144">
        <v>2014</v>
      </c>
      <c r="F82" s="145">
        <v>60263</v>
      </c>
      <c r="G82" s="146">
        <v>103451.48</v>
      </c>
      <c r="H82" s="146">
        <v>100438.33</v>
      </c>
      <c r="I82" s="146">
        <v>0</v>
      </c>
      <c r="J82" s="146">
        <v>0</v>
      </c>
      <c r="K82" s="146">
        <v>1004.38</v>
      </c>
      <c r="L82" s="146">
        <v>2008.77</v>
      </c>
    </row>
    <row r="83" spans="1:12">
      <c r="A83" s="142" t="s">
        <v>216</v>
      </c>
      <c r="B83" s="143">
        <v>46066</v>
      </c>
      <c r="C83" s="142">
        <v>2285</v>
      </c>
      <c r="D83" s="142" t="s">
        <v>4839</v>
      </c>
      <c r="E83" s="144">
        <v>2015</v>
      </c>
      <c r="F83" s="145">
        <v>49316</v>
      </c>
      <c r="G83" s="146">
        <v>84659.13</v>
      </c>
      <c r="H83" s="146">
        <v>82193.33</v>
      </c>
      <c r="I83" s="146">
        <v>0</v>
      </c>
      <c r="J83" s="146">
        <v>0</v>
      </c>
      <c r="K83" s="146">
        <v>821.93</v>
      </c>
      <c r="L83" s="146">
        <v>1643.87</v>
      </c>
    </row>
    <row r="84" spans="1:12">
      <c r="A84" s="142" t="s">
        <v>216</v>
      </c>
      <c r="B84" s="143">
        <v>46066</v>
      </c>
      <c r="C84" s="142">
        <v>2286</v>
      </c>
      <c r="D84" s="142" t="s">
        <v>4839</v>
      </c>
      <c r="E84" s="144">
        <v>2000</v>
      </c>
      <c r="F84" s="145">
        <v>44119</v>
      </c>
      <c r="G84" s="146">
        <v>75737.62</v>
      </c>
      <c r="H84" s="146">
        <v>72281.63</v>
      </c>
      <c r="I84" s="146">
        <v>0</v>
      </c>
      <c r="J84" s="146">
        <v>0</v>
      </c>
      <c r="K84" s="146">
        <v>882.38</v>
      </c>
      <c r="L84" s="146">
        <v>2573.61</v>
      </c>
    </row>
    <row r="85" spans="1:12">
      <c r="A85" s="142" t="s">
        <v>216</v>
      </c>
      <c r="B85" s="143">
        <v>46066</v>
      </c>
      <c r="C85" s="142">
        <v>2287</v>
      </c>
      <c r="D85" s="142" t="s">
        <v>4839</v>
      </c>
      <c r="E85" s="144">
        <v>1999</v>
      </c>
      <c r="F85" s="145">
        <v>62914</v>
      </c>
      <c r="G85" s="146">
        <v>108002.37</v>
      </c>
      <c r="H85" s="146">
        <v>87299.68</v>
      </c>
      <c r="I85" s="146">
        <v>0</v>
      </c>
      <c r="J85" s="146">
        <v>0</v>
      </c>
      <c r="K85" s="146">
        <v>10485.67</v>
      </c>
      <c r="L85" s="146">
        <v>10217.02</v>
      </c>
    </row>
    <row r="86" spans="1:12">
      <c r="A86" s="142" t="s">
        <v>216</v>
      </c>
      <c r="B86" s="143">
        <v>46070</v>
      </c>
      <c r="C86" s="142">
        <v>2290</v>
      </c>
      <c r="D86" s="142" t="s">
        <v>4864</v>
      </c>
      <c r="E86" s="144">
        <v>2036</v>
      </c>
      <c r="F86" s="145">
        <v>36480</v>
      </c>
      <c r="G86" s="146">
        <v>48624.800000000003</v>
      </c>
      <c r="H86" s="146">
        <v>34291.199999999997</v>
      </c>
      <c r="I86" s="146">
        <v>9779.6</v>
      </c>
      <c r="J86" s="146">
        <v>1146.93</v>
      </c>
      <c r="K86" s="146">
        <v>1082</v>
      </c>
      <c r="L86" s="146">
        <v>2325.0700000000002</v>
      </c>
    </row>
    <row r="87" spans="1:12">
      <c r="A87" s="142" t="s">
        <v>216</v>
      </c>
      <c r="B87" s="143">
        <v>46071</v>
      </c>
      <c r="C87" s="142">
        <v>2291</v>
      </c>
      <c r="D87" s="142" t="s">
        <v>4839</v>
      </c>
      <c r="E87" s="144">
        <v>2027</v>
      </c>
      <c r="F87" s="145">
        <v>24050</v>
      </c>
      <c r="G87" s="146">
        <v>40885</v>
      </c>
      <c r="H87" s="146">
        <v>38199.42</v>
      </c>
      <c r="I87" s="146">
        <v>0</v>
      </c>
      <c r="J87" s="146">
        <v>0</v>
      </c>
      <c r="K87" s="146">
        <v>801.67</v>
      </c>
      <c r="L87" s="146">
        <v>1883.92</v>
      </c>
    </row>
    <row r="88" spans="1:12">
      <c r="A88" s="142" t="s">
        <v>216</v>
      </c>
      <c r="B88" s="143">
        <v>46071</v>
      </c>
      <c r="C88" s="142">
        <v>2292</v>
      </c>
      <c r="D88" s="142" t="s">
        <v>4839</v>
      </c>
      <c r="E88" s="144">
        <v>2027</v>
      </c>
      <c r="F88" s="145">
        <v>30000</v>
      </c>
      <c r="G88" s="146">
        <v>51000</v>
      </c>
      <c r="H88" s="146">
        <v>41628.1</v>
      </c>
      <c r="I88" s="146">
        <v>0</v>
      </c>
      <c r="J88" s="146">
        <v>0</v>
      </c>
      <c r="K88" s="146">
        <v>2500</v>
      </c>
      <c r="L88" s="146">
        <v>6871.9</v>
      </c>
    </row>
    <row r="89" spans="1:12">
      <c r="A89" s="142" t="s">
        <v>216</v>
      </c>
      <c r="B89" s="143">
        <v>46071</v>
      </c>
      <c r="C89" s="142">
        <v>2293</v>
      </c>
      <c r="D89" s="142" t="s">
        <v>4839</v>
      </c>
      <c r="E89" s="144">
        <v>2026</v>
      </c>
      <c r="F89" s="145">
        <v>60000</v>
      </c>
      <c r="G89" s="146">
        <v>100000</v>
      </c>
      <c r="H89" s="146">
        <v>93300</v>
      </c>
      <c r="I89" s="146">
        <v>0</v>
      </c>
      <c r="J89" s="146">
        <v>0</v>
      </c>
      <c r="K89" s="146">
        <v>2000</v>
      </c>
      <c r="L89" s="146">
        <v>4700</v>
      </c>
    </row>
    <row r="90" spans="1:12">
      <c r="A90" s="142" t="s">
        <v>216</v>
      </c>
      <c r="B90" s="143">
        <v>46071</v>
      </c>
      <c r="C90" s="142">
        <v>2294</v>
      </c>
      <c r="D90" s="142" t="s">
        <v>4839</v>
      </c>
      <c r="E90" s="144">
        <v>2026</v>
      </c>
      <c r="F90" s="145">
        <v>8081</v>
      </c>
      <c r="G90" s="146">
        <v>13198.97</v>
      </c>
      <c r="H90" s="146">
        <v>12565.96</v>
      </c>
      <c r="I90" s="146">
        <v>0</v>
      </c>
      <c r="J90" s="146">
        <v>0</v>
      </c>
      <c r="K90" s="146">
        <v>269.37</v>
      </c>
      <c r="L90" s="146">
        <v>363.65</v>
      </c>
    </row>
    <row r="91" spans="1:12">
      <c r="A91" s="142" t="s">
        <v>216</v>
      </c>
      <c r="B91" s="143">
        <v>46071</v>
      </c>
      <c r="C91" s="142">
        <v>2295</v>
      </c>
      <c r="D91" s="142" t="s">
        <v>4839</v>
      </c>
      <c r="E91" s="144">
        <v>2017</v>
      </c>
      <c r="F91" s="145">
        <v>23499</v>
      </c>
      <c r="G91" s="146">
        <v>39948.300000000003</v>
      </c>
      <c r="H91" s="146">
        <v>38499.199999999997</v>
      </c>
      <c r="I91" s="146">
        <v>0</v>
      </c>
      <c r="J91" s="146">
        <v>0</v>
      </c>
      <c r="K91" s="146">
        <v>469.98</v>
      </c>
      <c r="L91" s="146">
        <v>979.13</v>
      </c>
    </row>
    <row r="92" spans="1:12">
      <c r="A92" s="142" t="s">
        <v>216</v>
      </c>
      <c r="B92" s="143">
        <v>46071</v>
      </c>
      <c r="C92" s="142">
        <v>2296</v>
      </c>
      <c r="D92" s="142" t="s">
        <v>4839</v>
      </c>
      <c r="E92" s="144">
        <v>2018</v>
      </c>
      <c r="F92" s="145">
        <v>42451</v>
      </c>
      <c r="G92" s="146">
        <v>72166.7</v>
      </c>
      <c r="H92" s="146">
        <v>69548.89</v>
      </c>
      <c r="I92" s="146">
        <v>0</v>
      </c>
      <c r="J92" s="146">
        <v>0</v>
      </c>
      <c r="K92" s="146">
        <v>849.02</v>
      </c>
      <c r="L92" s="146">
        <v>1768.79</v>
      </c>
    </row>
    <row r="93" spans="1:12">
      <c r="A93" s="142" t="s">
        <v>216</v>
      </c>
      <c r="B93" s="143">
        <v>46072</v>
      </c>
      <c r="C93" s="142">
        <v>2297</v>
      </c>
      <c r="D93" s="142" t="s">
        <v>4863</v>
      </c>
      <c r="E93" s="144">
        <v>2037</v>
      </c>
      <c r="F93" s="145">
        <v>35980</v>
      </c>
      <c r="G93" s="146">
        <v>47853.4</v>
      </c>
      <c r="H93" s="146">
        <v>33821.199999999997</v>
      </c>
      <c r="I93" s="146">
        <v>9674.6</v>
      </c>
      <c r="J93" s="146">
        <v>1131.21</v>
      </c>
      <c r="K93" s="146">
        <v>1059.5</v>
      </c>
      <c r="L93" s="146">
        <v>2166.89</v>
      </c>
    </row>
    <row r="94" spans="1:12">
      <c r="A94" s="142" t="s">
        <v>216</v>
      </c>
      <c r="B94" s="143">
        <v>46076</v>
      </c>
      <c r="C94" s="142">
        <v>2298</v>
      </c>
      <c r="D94" s="142" t="s">
        <v>4839</v>
      </c>
      <c r="E94" s="144">
        <v>2017</v>
      </c>
      <c r="F94" s="145">
        <v>708</v>
      </c>
      <c r="G94" s="146">
        <v>1227.2</v>
      </c>
      <c r="H94" s="146">
        <v>1159.94</v>
      </c>
      <c r="I94" s="146">
        <v>0</v>
      </c>
      <c r="J94" s="146">
        <v>0</v>
      </c>
      <c r="K94" s="146">
        <v>14.16</v>
      </c>
      <c r="L94" s="146">
        <v>53.1</v>
      </c>
    </row>
    <row r="95" spans="1:12">
      <c r="A95" s="142" t="s">
        <v>216</v>
      </c>
      <c r="B95" s="143">
        <v>46076</v>
      </c>
      <c r="C95" s="142">
        <v>2299</v>
      </c>
      <c r="D95" s="142" t="s">
        <v>4839</v>
      </c>
      <c r="E95" s="144">
        <v>1991</v>
      </c>
      <c r="F95" s="145">
        <v>7211</v>
      </c>
      <c r="G95" s="146">
        <v>13220.17</v>
      </c>
      <c r="H95" s="146">
        <v>11213.11</v>
      </c>
      <c r="I95" s="146">
        <v>0</v>
      </c>
      <c r="J95" s="146">
        <v>0</v>
      </c>
      <c r="K95" s="146">
        <v>600.91999999999996</v>
      </c>
      <c r="L95" s="146">
        <v>1406.15</v>
      </c>
    </row>
    <row r="96" spans="1:12">
      <c r="A96" s="142" t="s">
        <v>216</v>
      </c>
      <c r="B96" s="143">
        <v>46077</v>
      </c>
      <c r="C96" s="142">
        <v>2300</v>
      </c>
      <c r="D96" s="142" t="s">
        <v>4839</v>
      </c>
      <c r="E96" s="144">
        <v>2028</v>
      </c>
      <c r="F96" s="145">
        <v>36273</v>
      </c>
      <c r="G96" s="146">
        <v>62873.2</v>
      </c>
      <c r="H96" s="146">
        <v>60455</v>
      </c>
      <c r="I96" s="146">
        <v>0</v>
      </c>
      <c r="J96" s="146">
        <v>0</v>
      </c>
      <c r="K96" s="146">
        <v>604.54999999999995</v>
      </c>
      <c r="L96" s="146">
        <v>1813.65</v>
      </c>
    </row>
    <row r="97" spans="1:12">
      <c r="A97" s="142" t="s">
        <v>216</v>
      </c>
      <c r="B97" s="143">
        <v>46077</v>
      </c>
      <c r="C97" s="142">
        <v>2301</v>
      </c>
      <c r="D97" s="142" t="s">
        <v>4839</v>
      </c>
      <c r="E97" s="144">
        <v>2029</v>
      </c>
      <c r="F97" s="145">
        <v>32810</v>
      </c>
      <c r="G97" s="146">
        <v>56870.67</v>
      </c>
      <c r="H97" s="146">
        <v>54683.33</v>
      </c>
      <c r="I97" s="146">
        <v>0</v>
      </c>
      <c r="J97" s="146">
        <v>0</v>
      </c>
      <c r="K97" s="146">
        <v>546.83000000000004</v>
      </c>
      <c r="L97" s="146">
        <v>1640.5</v>
      </c>
    </row>
    <row r="98" spans="1:12">
      <c r="A98" s="142" t="s">
        <v>216</v>
      </c>
      <c r="B98" s="143">
        <v>46077</v>
      </c>
      <c r="C98" s="142">
        <v>2302</v>
      </c>
      <c r="D98" s="142" t="s">
        <v>4839</v>
      </c>
      <c r="E98" s="144">
        <v>2029</v>
      </c>
      <c r="F98" s="145">
        <v>1304</v>
      </c>
      <c r="G98" s="146">
        <v>2260.27</v>
      </c>
      <c r="H98" s="146">
        <v>2173.33</v>
      </c>
      <c r="I98" s="146">
        <v>0</v>
      </c>
      <c r="J98" s="146">
        <v>0</v>
      </c>
      <c r="K98" s="146">
        <v>47.81</v>
      </c>
      <c r="L98" s="146">
        <v>39.119999999999997</v>
      </c>
    </row>
    <row r="99" spans="1:12">
      <c r="A99" s="142" t="s">
        <v>216</v>
      </c>
      <c r="B99" s="143">
        <v>46077</v>
      </c>
      <c r="C99" s="142">
        <v>2303</v>
      </c>
      <c r="D99" s="142" t="s">
        <v>4839</v>
      </c>
      <c r="E99" s="144">
        <v>2001</v>
      </c>
      <c r="F99" s="145">
        <v>35735</v>
      </c>
      <c r="G99" s="146">
        <v>61940.67</v>
      </c>
      <c r="H99" s="146">
        <v>59558.33</v>
      </c>
      <c r="I99" s="146">
        <v>0</v>
      </c>
      <c r="J99" s="146">
        <v>0</v>
      </c>
      <c r="K99" s="146">
        <v>1310.28</v>
      </c>
      <c r="L99" s="146">
        <v>1072.05</v>
      </c>
    </row>
    <row r="100" spans="1:12">
      <c r="A100" s="142" t="s">
        <v>216</v>
      </c>
      <c r="B100" s="143">
        <v>46077</v>
      </c>
      <c r="C100" s="142">
        <v>2304</v>
      </c>
      <c r="D100" s="142" t="s">
        <v>4839</v>
      </c>
      <c r="E100" s="144">
        <v>2002</v>
      </c>
      <c r="F100" s="145">
        <v>38811</v>
      </c>
      <c r="G100" s="146">
        <v>67272.399999999994</v>
      </c>
      <c r="H100" s="146">
        <v>64685</v>
      </c>
      <c r="I100" s="146">
        <v>0</v>
      </c>
      <c r="J100" s="146">
        <v>0</v>
      </c>
      <c r="K100" s="146">
        <v>1423.07</v>
      </c>
      <c r="L100" s="146">
        <v>1164.33</v>
      </c>
    </row>
    <row r="101" spans="1:12">
      <c r="A101" s="142" t="s">
        <v>216</v>
      </c>
      <c r="B101" s="143">
        <v>46077</v>
      </c>
      <c r="C101" s="142">
        <v>2305</v>
      </c>
      <c r="D101" s="142" t="s">
        <v>4839</v>
      </c>
      <c r="E101" s="144">
        <v>2030</v>
      </c>
      <c r="F101" s="145">
        <v>47431</v>
      </c>
      <c r="G101" s="146">
        <v>82213.73</v>
      </c>
      <c r="H101" s="146">
        <v>77707.789999999994</v>
      </c>
      <c r="I101" s="146">
        <v>0</v>
      </c>
      <c r="J101" s="146">
        <v>0</v>
      </c>
      <c r="K101" s="146">
        <v>1185.78</v>
      </c>
      <c r="L101" s="146">
        <v>3320.17</v>
      </c>
    </row>
    <row r="102" spans="1:12">
      <c r="A102" s="142" t="s">
        <v>216</v>
      </c>
      <c r="B102" s="143">
        <v>46077</v>
      </c>
      <c r="C102" s="142">
        <v>2306</v>
      </c>
      <c r="D102" s="142" t="s">
        <v>4839</v>
      </c>
      <c r="E102" s="144">
        <v>2034</v>
      </c>
      <c r="F102" s="145">
        <v>41337</v>
      </c>
      <c r="G102" s="146">
        <v>71650.8</v>
      </c>
      <c r="H102" s="146">
        <v>67723.789999999994</v>
      </c>
      <c r="I102" s="146">
        <v>0</v>
      </c>
      <c r="J102" s="146">
        <v>0</v>
      </c>
      <c r="K102" s="146">
        <v>1033.43</v>
      </c>
      <c r="L102" s="146">
        <v>2893.59</v>
      </c>
    </row>
    <row r="103" spans="1:12">
      <c r="A103" s="142" t="s">
        <v>216</v>
      </c>
      <c r="B103" s="143">
        <v>46077</v>
      </c>
      <c r="C103" s="142">
        <v>2307</v>
      </c>
      <c r="D103" s="142" t="s">
        <v>4839</v>
      </c>
      <c r="E103" s="144">
        <v>2040</v>
      </c>
      <c r="F103" s="145">
        <v>45045</v>
      </c>
      <c r="G103" s="146">
        <v>78078</v>
      </c>
      <c r="H103" s="146">
        <v>73798.73</v>
      </c>
      <c r="I103" s="146">
        <v>0</v>
      </c>
      <c r="J103" s="146">
        <v>0</v>
      </c>
      <c r="K103" s="146">
        <v>1126.1300000000001</v>
      </c>
      <c r="L103" s="146">
        <v>3153.15</v>
      </c>
    </row>
    <row r="104" spans="1:12">
      <c r="A104" s="142" t="s">
        <v>216</v>
      </c>
      <c r="B104" s="143">
        <v>46077</v>
      </c>
      <c r="C104" s="142">
        <v>2308</v>
      </c>
      <c r="D104" s="142" t="s">
        <v>4839</v>
      </c>
      <c r="E104" s="144">
        <v>2041</v>
      </c>
      <c r="F104" s="145">
        <v>41961</v>
      </c>
      <c r="G104" s="146">
        <v>72732.399999999994</v>
      </c>
      <c r="H104" s="146">
        <v>68746.11</v>
      </c>
      <c r="I104" s="146">
        <v>0</v>
      </c>
      <c r="J104" s="146">
        <v>0</v>
      </c>
      <c r="K104" s="146">
        <v>1049.03</v>
      </c>
      <c r="L104" s="146">
        <v>2937.27</v>
      </c>
    </row>
    <row r="105" spans="1:12">
      <c r="A105" s="142" t="s">
        <v>216</v>
      </c>
      <c r="B105" s="143">
        <v>46077</v>
      </c>
      <c r="C105" s="142">
        <v>2309</v>
      </c>
      <c r="D105" s="142" t="s">
        <v>4839</v>
      </c>
      <c r="E105" s="144">
        <v>2042</v>
      </c>
      <c r="F105" s="145">
        <v>38585</v>
      </c>
      <c r="G105" s="146">
        <v>66880.67</v>
      </c>
      <c r="H105" s="146">
        <v>63215.09</v>
      </c>
      <c r="I105" s="146">
        <v>0</v>
      </c>
      <c r="J105" s="146">
        <v>0</v>
      </c>
      <c r="K105" s="146">
        <v>964.63</v>
      </c>
      <c r="L105" s="146">
        <v>2700.95</v>
      </c>
    </row>
    <row r="106" spans="1:12">
      <c r="A106" s="142" t="s">
        <v>216</v>
      </c>
      <c r="B106" s="143">
        <v>46077</v>
      </c>
      <c r="C106" s="142">
        <v>2310</v>
      </c>
      <c r="D106" s="142" t="s">
        <v>4839</v>
      </c>
      <c r="E106" s="144">
        <v>2038</v>
      </c>
      <c r="F106" s="145">
        <v>38538</v>
      </c>
      <c r="G106" s="146">
        <v>66478.05</v>
      </c>
      <c r="H106" s="146">
        <v>64230</v>
      </c>
      <c r="I106" s="146">
        <v>0</v>
      </c>
      <c r="J106" s="146">
        <v>0</v>
      </c>
      <c r="K106" s="146">
        <v>1413.06</v>
      </c>
      <c r="L106" s="146">
        <v>834.99</v>
      </c>
    </row>
    <row r="107" spans="1:12">
      <c r="A107" s="142" t="s">
        <v>216</v>
      </c>
      <c r="B107" s="143">
        <v>46077</v>
      </c>
      <c r="C107" s="142">
        <v>2311</v>
      </c>
      <c r="D107" s="142" t="s">
        <v>4839</v>
      </c>
      <c r="E107" s="144">
        <v>2039</v>
      </c>
      <c r="F107" s="145">
        <v>35483</v>
      </c>
      <c r="G107" s="146">
        <v>61208.18</v>
      </c>
      <c r="H107" s="146">
        <v>59138.33</v>
      </c>
      <c r="I107" s="146">
        <v>0</v>
      </c>
      <c r="J107" s="146">
        <v>0</v>
      </c>
      <c r="K107" s="146">
        <v>1301.04</v>
      </c>
      <c r="L107" s="146">
        <v>768.8</v>
      </c>
    </row>
    <row r="108" spans="1:12">
      <c r="A108" s="142" t="s">
        <v>216</v>
      </c>
      <c r="B108" s="143">
        <v>46077</v>
      </c>
      <c r="C108" s="142">
        <v>2312</v>
      </c>
      <c r="D108" s="142" t="s">
        <v>4839</v>
      </c>
      <c r="E108" s="144">
        <v>2045</v>
      </c>
      <c r="F108" s="145">
        <v>39471</v>
      </c>
      <c r="G108" s="146">
        <v>68087.48</v>
      </c>
      <c r="H108" s="146">
        <v>65785</v>
      </c>
      <c r="I108" s="146">
        <v>0</v>
      </c>
      <c r="J108" s="146">
        <v>0</v>
      </c>
      <c r="K108" s="146">
        <v>1447.27</v>
      </c>
      <c r="L108" s="146">
        <v>855.21</v>
      </c>
    </row>
    <row r="109" spans="1:12">
      <c r="A109" s="142" t="s">
        <v>216</v>
      </c>
      <c r="B109" s="143">
        <v>46077</v>
      </c>
      <c r="C109" s="142">
        <v>2313</v>
      </c>
      <c r="D109" s="142" t="s">
        <v>4839</v>
      </c>
      <c r="E109" s="144">
        <v>2048</v>
      </c>
      <c r="F109" s="145">
        <v>6508</v>
      </c>
      <c r="G109" s="146">
        <v>11226.3</v>
      </c>
      <c r="H109" s="146">
        <v>10846.67</v>
      </c>
      <c r="I109" s="146">
        <v>0</v>
      </c>
      <c r="J109" s="146">
        <v>0</v>
      </c>
      <c r="K109" s="146">
        <v>238.63</v>
      </c>
      <c r="L109" s="146">
        <v>141.01</v>
      </c>
    </row>
    <row r="110" spans="1:12">
      <c r="A110" s="142" t="s">
        <v>216</v>
      </c>
      <c r="B110" s="143">
        <v>46078</v>
      </c>
      <c r="C110" s="142">
        <v>2315</v>
      </c>
      <c r="D110" s="142" t="s">
        <v>4839</v>
      </c>
      <c r="E110" s="144">
        <v>2015</v>
      </c>
      <c r="F110" s="145">
        <v>3534</v>
      </c>
      <c r="G110" s="146">
        <v>6066.7</v>
      </c>
      <c r="H110" s="146">
        <v>5890</v>
      </c>
      <c r="I110" s="146">
        <v>0</v>
      </c>
      <c r="J110" s="146">
        <v>0</v>
      </c>
      <c r="K110" s="146">
        <v>58.9</v>
      </c>
      <c r="L110" s="146">
        <v>117.8</v>
      </c>
    </row>
    <row r="111" spans="1:12">
      <c r="A111" s="142" t="s">
        <v>216</v>
      </c>
      <c r="B111" s="143">
        <v>46078</v>
      </c>
      <c r="C111" s="142">
        <v>2316</v>
      </c>
      <c r="D111" s="142" t="s">
        <v>4839</v>
      </c>
      <c r="E111" s="144">
        <v>2017</v>
      </c>
      <c r="F111" s="145">
        <v>15611</v>
      </c>
      <c r="G111" s="146">
        <v>26798.880000000001</v>
      </c>
      <c r="H111" s="146">
        <v>25576.02</v>
      </c>
      <c r="I111" s="146">
        <v>0</v>
      </c>
      <c r="J111" s="146">
        <v>0</v>
      </c>
      <c r="K111" s="146">
        <v>312.22000000000003</v>
      </c>
      <c r="L111" s="146">
        <v>910.64</v>
      </c>
    </row>
    <row r="112" spans="1:12">
      <c r="A112" s="142" t="s">
        <v>216</v>
      </c>
      <c r="B112" s="143">
        <v>46078</v>
      </c>
      <c r="C112" s="142">
        <v>2317</v>
      </c>
      <c r="D112" s="142" t="s">
        <v>4839</v>
      </c>
      <c r="E112" s="144">
        <v>2043</v>
      </c>
      <c r="F112" s="145">
        <v>43069</v>
      </c>
      <c r="G112" s="146">
        <v>73935.12</v>
      </c>
      <c r="H112" s="146">
        <v>70561.38</v>
      </c>
      <c r="I112" s="146">
        <v>0</v>
      </c>
      <c r="J112" s="146">
        <v>0</v>
      </c>
      <c r="K112" s="146">
        <v>1076.73</v>
      </c>
      <c r="L112" s="146">
        <v>2297.0100000000002</v>
      </c>
    </row>
    <row r="113" spans="1:12">
      <c r="A113" s="142" t="s">
        <v>216</v>
      </c>
      <c r="B113" s="143">
        <v>46078</v>
      </c>
      <c r="C113" s="142">
        <v>2318</v>
      </c>
      <c r="D113" s="142" t="s">
        <v>4839</v>
      </c>
      <c r="E113" s="144">
        <v>2044</v>
      </c>
      <c r="F113" s="145">
        <v>36935</v>
      </c>
      <c r="G113" s="146">
        <v>63405.08</v>
      </c>
      <c r="H113" s="146">
        <v>61558.33</v>
      </c>
      <c r="I113" s="146">
        <v>0</v>
      </c>
      <c r="J113" s="146">
        <v>0</v>
      </c>
      <c r="K113" s="146">
        <v>1354.28</v>
      </c>
      <c r="L113" s="146">
        <v>492.47</v>
      </c>
    </row>
    <row r="114" spans="1:12">
      <c r="A114" s="142" t="s">
        <v>216</v>
      </c>
      <c r="B114" s="143">
        <v>46078</v>
      </c>
      <c r="C114" s="142">
        <v>2319</v>
      </c>
      <c r="D114" s="142" t="s">
        <v>4839</v>
      </c>
      <c r="E114" s="144">
        <v>2048</v>
      </c>
      <c r="F114" s="145">
        <v>31620</v>
      </c>
      <c r="G114" s="146">
        <v>54281</v>
      </c>
      <c r="H114" s="146">
        <v>52700</v>
      </c>
      <c r="I114" s="146">
        <v>0</v>
      </c>
      <c r="J114" s="146">
        <v>0</v>
      </c>
      <c r="K114" s="146">
        <v>1159.4000000000001</v>
      </c>
      <c r="L114" s="146">
        <v>421.6</v>
      </c>
    </row>
    <row r="115" spans="1:12">
      <c r="A115" s="142" t="s">
        <v>216</v>
      </c>
      <c r="B115" s="143">
        <v>46079</v>
      </c>
      <c r="C115" s="142">
        <v>2334</v>
      </c>
      <c r="D115" s="142" t="s">
        <v>4839</v>
      </c>
      <c r="E115" s="144">
        <v>2057</v>
      </c>
      <c r="F115" s="145">
        <v>49120</v>
      </c>
      <c r="G115" s="146">
        <v>74089.33</v>
      </c>
      <c r="H115" s="146">
        <v>68194.929999999993</v>
      </c>
      <c r="I115" s="146">
        <v>0</v>
      </c>
      <c r="J115" s="146">
        <v>0</v>
      </c>
      <c r="K115" s="146">
        <v>2046.67</v>
      </c>
      <c r="L115" s="146">
        <v>3847.73</v>
      </c>
    </row>
    <row r="116" spans="1:12">
      <c r="A116" s="142" t="s">
        <v>216</v>
      </c>
      <c r="B116" s="143">
        <v>46079</v>
      </c>
      <c r="C116" s="142">
        <v>2335</v>
      </c>
      <c r="D116" s="142" t="s">
        <v>4839</v>
      </c>
      <c r="E116" s="144">
        <v>2058</v>
      </c>
      <c r="F116" s="145">
        <v>47440</v>
      </c>
      <c r="G116" s="146">
        <v>71555.33</v>
      </c>
      <c r="H116" s="146">
        <v>65862.53</v>
      </c>
      <c r="I116" s="146">
        <v>0</v>
      </c>
      <c r="J116" s="146">
        <v>0</v>
      </c>
      <c r="K116" s="146">
        <v>1976.67</v>
      </c>
      <c r="L116" s="146">
        <v>3716.13</v>
      </c>
    </row>
    <row r="117" spans="1:12">
      <c r="A117" s="142" t="s">
        <v>216</v>
      </c>
      <c r="B117" s="143">
        <v>46080</v>
      </c>
      <c r="C117" s="142">
        <v>2337</v>
      </c>
      <c r="D117" s="142" t="s">
        <v>4839</v>
      </c>
      <c r="E117" s="144">
        <v>2046</v>
      </c>
      <c r="F117" s="145">
        <v>38882</v>
      </c>
      <c r="G117" s="146">
        <v>66747.429999999993</v>
      </c>
      <c r="H117" s="146">
        <v>64803.33</v>
      </c>
      <c r="I117" s="146">
        <v>0</v>
      </c>
      <c r="J117" s="146">
        <v>0</v>
      </c>
      <c r="K117" s="146">
        <v>1425.67</v>
      </c>
      <c r="L117" s="146">
        <v>518.42999999999995</v>
      </c>
    </row>
    <row r="118" spans="1:12">
      <c r="A118" s="142" t="s">
        <v>216</v>
      </c>
      <c r="B118" s="143">
        <v>46080</v>
      </c>
      <c r="C118" s="142">
        <v>2338</v>
      </c>
      <c r="D118" s="142" t="s">
        <v>4839</v>
      </c>
      <c r="E118" s="144">
        <v>2061</v>
      </c>
      <c r="F118" s="145">
        <v>38860</v>
      </c>
      <c r="G118" s="146">
        <v>58613.83</v>
      </c>
      <c r="H118" s="146">
        <v>53950.63</v>
      </c>
      <c r="I118" s="146">
        <v>0</v>
      </c>
      <c r="J118" s="146">
        <v>0</v>
      </c>
      <c r="K118" s="146">
        <v>1619.17</v>
      </c>
      <c r="L118" s="146">
        <v>3044.03</v>
      </c>
    </row>
    <row r="119" spans="1:12">
      <c r="A119" s="142" t="s">
        <v>216</v>
      </c>
      <c r="B119" s="143">
        <v>46080</v>
      </c>
      <c r="C119" s="142">
        <v>2339</v>
      </c>
      <c r="D119" s="142" t="s">
        <v>4839</v>
      </c>
      <c r="E119" s="144">
        <v>2047</v>
      </c>
      <c r="F119" s="145">
        <v>39710</v>
      </c>
      <c r="G119" s="146">
        <v>68168.83</v>
      </c>
      <c r="H119" s="146">
        <v>66183.33</v>
      </c>
      <c r="I119" s="146">
        <v>0</v>
      </c>
      <c r="J119" s="146">
        <v>0</v>
      </c>
      <c r="K119" s="146">
        <v>1456.03</v>
      </c>
      <c r="L119" s="146">
        <v>529.47</v>
      </c>
    </row>
    <row r="120" spans="1:12">
      <c r="A120" s="142" t="s">
        <v>216</v>
      </c>
      <c r="B120" s="143">
        <v>46080</v>
      </c>
      <c r="C120" s="142">
        <v>2340</v>
      </c>
      <c r="D120" s="142" t="s">
        <v>4839</v>
      </c>
      <c r="E120" s="144">
        <v>2062</v>
      </c>
      <c r="F120" s="145">
        <v>44580</v>
      </c>
      <c r="G120" s="146">
        <v>67241.5</v>
      </c>
      <c r="H120" s="146">
        <v>61891.9</v>
      </c>
      <c r="I120" s="146">
        <v>0</v>
      </c>
      <c r="J120" s="146">
        <v>0</v>
      </c>
      <c r="K120" s="146">
        <v>1857.5</v>
      </c>
      <c r="L120" s="146">
        <v>3492.1</v>
      </c>
    </row>
    <row r="121" spans="1:12">
      <c r="A121" s="142" t="s">
        <v>216</v>
      </c>
      <c r="B121" s="143">
        <v>46080</v>
      </c>
      <c r="C121" s="142">
        <v>2341</v>
      </c>
      <c r="D121" s="142" t="s">
        <v>4839</v>
      </c>
      <c r="E121" s="144">
        <v>2062</v>
      </c>
      <c r="F121" s="145">
        <v>4100</v>
      </c>
      <c r="G121" s="146">
        <v>6184.17</v>
      </c>
      <c r="H121" s="146">
        <v>5692.17</v>
      </c>
      <c r="I121" s="146">
        <v>0</v>
      </c>
      <c r="J121" s="146">
        <v>0</v>
      </c>
      <c r="K121" s="146">
        <v>170.83</v>
      </c>
      <c r="L121" s="146">
        <v>321.17</v>
      </c>
    </row>
    <row r="122" spans="1:12">
      <c r="A122" s="142" t="s">
        <v>216</v>
      </c>
      <c r="B122" s="143">
        <v>46081</v>
      </c>
      <c r="C122" s="142">
        <v>2342</v>
      </c>
      <c r="D122" s="142" t="s">
        <v>4839</v>
      </c>
      <c r="E122" s="144">
        <v>2063</v>
      </c>
      <c r="F122" s="145">
        <v>34760</v>
      </c>
      <c r="G122" s="146">
        <v>52429.67</v>
      </c>
      <c r="H122" s="146">
        <v>48258.47</v>
      </c>
      <c r="I122" s="146">
        <v>0</v>
      </c>
      <c r="J122" s="146">
        <v>0</v>
      </c>
      <c r="K122" s="146">
        <v>1448.33</v>
      </c>
      <c r="L122" s="146">
        <v>2722.87</v>
      </c>
    </row>
    <row r="123" spans="1:12">
      <c r="A123" s="142" t="s">
        <v>216</v>
      </c>
      <c r="B123" s="143">
        <v>46081</v>
      </c>
      <c r="C123" s="142">
        <v>2343</v>
      </c>
      <c r="D123" s="142" t="s">
        <v>4839</v>
      </c>
      <c r="E123" s="144">
        <v>2064</v>
      </c>
      <c r="F123" s="145">
        <v>15560</v>
      </c>
      <c r="G123" s="146">
        <v>23469.67</v>
      </c>
      <c r="H123" s="146">
        <v>21602.47</v>
      </c>
      <c r="I123" s="146">
        <v>0</v>
      </c>
      <c r="J123" s="146">
        <v>0</v>
      </c>
      <c r="K123" s="146">
        <v>648.33000000000004</v>
      </c>
      <c r="L123" s="146">
        <v>1218.8699999999999</v>
      </c>
    </row>
    <row r="124" spans="1:12">
      <c r="A124" s="142" t="s">
        <v>355</v>
      </c>
      <c r="B124" s="143">
        <v>46066</v>
      </c>
      <c r="C124" s="142">
        <v>2288</v>
      </c>
      <c r="D124" s="142" t="s">
        <v>4839</v>
      </c>
      <c r="E124" s="144">
        <v>122</v>
      </c>
      <c r="F124" s="145">
        <v>9360</v>
      </c>
      <c r="G124" s="146">
        <v>58500</v>
      </c>
      <c r="H124" s="146">
        <v>23697.43</v>
      </c>
      <c r="I124" s="146">
        <v>0</v>
      </c>
      <c r="J124" s="146">
        <v>7020</v>
      </c>
      <c r="K124" s="146">
        <v>39</v>
      </c>
      <c r="L124" s="146">
        <v>27743.57</v>
      </c>
    </row>
    <row r="125" spans="1:12">
      <c r="A125" s="142" t="s">
        <v>355</v>
      </c>
      <c r="B125" s="143">
        <v>46066</v>
      </c>
      <c r="C125" s="142">
        <v>2289</v>
      </c>
      <c r="D125" s="142" t="s">
        <v>4839</v>
      </c>
      <c r="E125" s="144">
        <v>121</v>
      </c>
      <c r="F125" s="145">
        <v>43100</v>
      </c>
      <c r="G125" s="146">
        <v>140075</v>
      </c>
      <c r="H125" s="146">
        <v>139832.56</v>
      </c>
      <c r="I125" s="146">
        <v>9051</v>
      </c>
      <c r="J125" s="146">
        <v>15722.88</v>
      </c>
      <c r="K125" s="146">
        <v>400</v>
      </c>
      <c r="L125" s="146">
        <v>-24931.439999999999</v>
      </c>
    </row>
    <row r="126" spans="1:12">
      <c r="A126" s="142" t="s">
        <v>355</v>
      </c>
      <c r="B126" s="143">
        <v>46077</v>
      </c>
      <c r="C126" s="142">
        <v>2314</v>
      </c>
      <c r="D126" s="142" t="s">
        <v>4839</v>
      </c>
      <c r="E126" s="144">
        <v>123</v>
      </c>
      <c r="F126" s="145">
        <v>30000</v>
      </c>
      <c r="G126" s="146">
        <v>187500</v>
      </c>
      <c r="H126" s="146">
        <v>97331.25</v>
      </c>
      <c r="I126" s="146">
        <v>0</v>
      </c>
      <c r="J126" s="146">
        <v>22500</v>
      </c>
      <c r="K126" s="146">
        <v>125</v>
      </c>
      <c r="L126" s="146">
        <v>67543.75</v>
      </c>
    </row>
    <row r="127" spans="1:12">
      <c r="A127" s="142" t="s">
        <v>355</v>
      </c>
      <c r="B127" s="143">
        <v>46106</v>
      </c>
      <c r="C127" s="142">
        <v>2410</v>
      </c>
      <c r="D127" s="142" t="s">
        <v>4865</v>
      </c>
      <c r="E127" s="144">
        <v>125</v>
      </c>
      <c r="F127" s="145">
        <v>2492</v>
      </c>
      <c r="G127" s="146">
        <v>6658.86</v>
      </c>
      <c r="H127" s="146">
        <v>6658.86</v>
      </c>
      <c r="I127" s="146">
        <v>912.56</v>
      </c>
      <c r="J127" s="146">
        <v>3.68</v>
      </c>
      <c r="K127" s="146">
        <v>0</v>
      </c>
      <c r="L127" s="146">
        <v>-916.24</v>
      </c>
    </row>
    <row r="128" spans="1:12">
      <c r="A128" s="142" t="s">
        <v>355</v>
      </c>
      <c r="B128" s="143">
        <v>46106</v>
      </c>
      <c r="C128" s="142">
        <v>2411</v>
      </c>
      <c r="D128" s="142" t="s">
        <v>4865</v>
      </c>
      <c r="E128" s="144">
        <v>126</v>
      </c>
      <c r="F128" s="145">
        <v>18808</v>
      </c>
      <c r="G128" s="146">
        <v>46149.25</v>
      </c>
      <c r="H128" s="146">
        <v>46148.56</v>
      </c>
      <c r="I128" s="146">
        <v>6887.44</v>
      </c>
      <c r="J128" s="146">
        <v>4226.58</v>
      </c>
      <c r="K128" s="146">
        <v>0</v>
      </c>
      <c r="L128" s="146">
        <v>-11113.33</v>
      </c>
    </row>
    <row r="129" spans="1:12">
      <c r="A129" s="142" t="s">
        <v>355</v>
      </c>
      <c r="B129" s="143">
        <v>46111</v>
      </c>
      <c r="C129" s="142">
        <v>2413</v>
      </c>
      <c r="D129" s="142" t="s">
        <v>4839</v>
      </c>
      <c r="E129" s="144"/>
      <c r="F129" s="145">
        <v>40812</v>
      </c>
      <c r="G129" s="146">
        <v>0</v>
      </c>
      <c r="H129" s="146">
        <v>100140.54</v>
      </c>
      <c r="I129" s="146">
        <v>0</v>
      </c>
      <c r="J129" s="146">
        <v>0</v>
      </c>
      <c r="K129" s="146">
        <v>0</v>
      </c>
      <c r="L129" s="146">
        <v>-100140.54</v>
      </c>
    </row>
    <row r="130" spans="1:12">
      <c r="A130" s="142" t="s">
        <v>355</v>
      </c>
      <c r="B130" s="143">
        <v>46111</v>
      </c>
      <c r="C130" s="142">
        <v>2414</v>
      </c>
      <c r="D130" s="142" t="s">
        <v>4839</v>
      </c>
      <c r="E130" s="144"/>
      <c r="F130" s="145">
        <v>8560</v>
      </c>
      <c r="G130" s="146">
        <v>0</v>
      </c>
      <c r="H130" s="146">
        <v>24621.81</v>
      </c>
      <c r="I130" s="146">
        <v>0</v>
      </c>
      <c r="J130" s="146">
        <v>0</v>
      </c>
      <c r="K130" s="146">
        <v>0</v>
      </c>
      <c r="L130" s="146">
        <v>-24621.81</v>
      </c>
    </row>
    <row r="131" spans="1:12">
      <c r="A131" s="142" t="s">
        <v>355</v>
      </c>
      <c r="B131" s="143">
        <v>46112</v>
      </c>
      <c r="C131" s="142">
        <v>2416</v>
      </c>
      <c r="D131" s="142" t="s">
        <v>4839</v>
      </c>
      <c r="E131" s="144"/>
      <c r="F131" s="145">
        <v>44292</v>
      </c>
      <c r="G131" s="146">
        <v>0</v>
      </c>
      <c r="H131" s="146">
        <v>0</v>
      </c>
      <c r="I131" s="146">
        <v>0</v>
      </c>
      <c r="J131" s="146">
        <v>0</v>
      </c>
      <c r="K131" s="146">
        <v>0</v>
      </c>
      <c r="L131" s="146">
        <v>0</v>
      </c>
    </row>
    <row r="132" spans="1:12">
      <c r="A132" s="142" t="s">
        <v>216</v>
      </c>
      <c r="B132" s="143">
        <v>46083</v>
      </c>
      <c r="C132" s="142">
        <v>2344</v>
      </c>
      <c r="D132" s="142" t="s">
        <v>4839</v>
      </c>
      <c r="E132" s="144" t="s">
        <v>4866</v>
      </c>
      <c r="F132" s="145">
        <v>40597</v>
      </c>
      <c r="G132" s="146">
        <v>69691.520000000004</v>
      </c>
      <c r="H132" s="146">
        <v>67661.67</v>
      </c>
      <c r="I132" s="146">
        <v>0</v>
      </c>
      <c r="J132" s="146">
        <v>0</v>
      </c>
      <c r="K132" s="146">
        <v>1488.56</v>
      </c>
      <c r="L132" s="146">
        <v>541.29</v>
      </c>
    </row>
    <row r="133" spans="1:12">
      <c r="A133" s="142" t="s">
        <v>216</v>
      </c>
      <c r="B133" s="143">
        <v>46084</v>
      </c>
      <c r="C133" s="142">
        <v>2345</v>
      </c>
      <c r="D133" s="142" t="s">
        <v>4867</v>
      </c>
      <c r="E133" s="144" t="s">
        <v>4868</v>
      </c>
      <c r="F133" s="145">
        <v>54080</v>
      </c>
      <c r="G133" s="146">
        <v>94189.33</v>
      </c>
      <c r="H133" s="146">
        <v>75041.59</v>
      </c>
      <c r="I133" s="146">
        <v>0</v>
      </c>
      <c r="J133" s="146">
        <v>0</v>
      </c>
      <c r="K133" s="146">
        <v>3154.67</v>
      </c>
      <c r="L133" s="146">
        <v>15993.08</v>
      </c>
    </row>
    <row r="134" spans="1:12">
      <c r="A134" s="142" t="s">
        <v>216</v>
      </c>
      <c r="B134" s="143">
        <v>46084</v>
      </c>
      <c r="C134" s="142">
        <v>2346</v>
      </c>
      <c r="D134" s="142" t="s">
        <v>4869</v>
      </c>
      <c r="E134" s="144" t="s">
        <v>4870</v>
      </c>
      <c r="F134" s="145">
        <v>47100</v>
      </c>
      <c r="G134" s="146">
        <v>82032.5</v>
      </c>
      <c r="H134" s="146">
        <v>65356.12</v>
      </c>
      <c r="I134" s="146">
        <v>0</v>
      </c>
      <c r="J134" s="146">
        <v>0</v>
      </c>
      <c r="K134" s="146">
        <v>2747.5</v>
      </c>
      <c r="L134" s="146">
        <v>13928.88</v>
      </c>
    </row>
    <row r="135" spans="1:12">
      <c r="A135" s="142" t="s">
        <v>216</v>
      </c>
      <c r="B135" s="143">
        <v>46087</v>
      </c>
      <c r="C135" s="142">
        <v>2348</v>
      </c>
      <c r="D135" s="142" t="s">
        <v>4839</v>
      </c>
      <c r="E135" s="144">
        <v>2067</v>
      </c>
      <c r="F135" s="145">
        <v>7472</v>
      </c>
      <c r="G135" s="146">
        <v>12826.93</v>
      </c>
      <c r="H135" s="146">
        <v>11208</v>
      </c>
      <c r="I135" s="146">
        <v>0</v>
      </c>
      <c r="J135" s="146">
        <v>0</v>
      </c>
      <c r="K135" s="146">
        <v>186.8</v>
      </c>
      <c r="L135" s="146">
        <v>1432.13</v>
      </c>
    </row>
    <row r="136" spans="1:12">
      <c r="A136" s="142" t="s">
        <v>216</v>
      </c>
      <c r="B136" s="143">
        <v>46087</v>
      </c>
      <c r="C136" s="142">
        <v>2349</v>
      </c>
      <c r="D136" s="142" t="s">
        <v>4839</v>
      </c>
      <c r="E136" s="144">
        <v>2067</v>
      </c>
      <c r="F136" s="145">
        <v>23288</v>
      </c>
      <c r="G136" s="146">
        <v>39783.67</v>
      </c>
      <c r="H136" s="146">
        <v>34932</v>
      </c>
      <c r="I136" s="146">
        <v>0</v>
      </c>
      <c r="J136" s="146">
        <v>0</v>
      </c>
      <c r="K136" s="146">
        <v>582.20000000000005</v>
      </c>
      <c r="L136" s="146">
        <v>4269.47</v>
      </c>
    </row>
    <row r="137" spans="1:12">
      <c r="A137" s="142" t="s">
        <v>216</v>
      </c>
      <c r="B137" s="143">
        <v>46093</v>
      </c>
      <c r="C137" s="142">
        <v>2352</v>
      </c>
      <c r="D137" s="142" t="s">
        <v>4871</v>
      </c>
      <c r="E137" s="144">
        <v>2074</v>
      </c>
      <c r="F137" s="145">
        <v>28820</v>
      </c>
      <c r="G137" s="146">
        <v>38197.599999999999</v>
      </c>
      <c r="H137" s="146">
        <v>27090.799999999999</v>
      </c>
      <c r="I137" s="146">
        <v>8413</v>
      </c>
      <c r="J137" s="146">
        <v>802.35</v>
      </c>
      <c r="K137" s="146">
        <v>890.5</v>
      </c>
      <c r="L137" s="146">
        <v>1000.95</v>
      </c>
    </row>
    <row r="138" spans="1:12">
      <c r="A138" s="142" t="s">
        <v>216</v>
      </c>
      <c r="B138" s="143">
        <v>46093</v>
      </c>
      <c r="C138" s="142">
        <v>2353</v>
      </c>
      <c r="D138" s="142" t="s">
        <v>4872</v>
      </c>
      <c r="E138" s="144" t="s">
        <v>4873</v>
      </c>
      <c r="F138" s="145">
        <v>43271</v>
      </c>
      <c r="G138" s="146">
        <v>75363.66</v>
      </c>
      <c r="H138" s="146">
        <v>60042.98</v>
      </c>
      <c r="I138" s="146">
        <v>0</v>
      </c>
      <c r="J138" s="146">
        <v>0</v>
      </c>
      <c r="K138" s="146">
        <v>2714.14</v>
      </c>
      <c r="L138" s="146">
        <v>12606.53</v>
      </c>
    </row>
    <row r="139" spans="1:12">
      <c r="A139" s="142" t="s">
        <v>216</v>
      </c>
      <c r="B139" s="143">
        <v>46094</v>
      </c>
      <c r="C139" s="142">
        <v>2354</v>
      </c>
      <c r="D139" s="142" t="s">
        <v>4874</v>
      </c>
      <c r="E139" s="144" t="s">
        <v>4875</v>
      </c>
      <c r="F139" s="145">
        <v>43180</v>
      </c>
      <c r="G139" s="146">
        <v>75205.17</v>
      </c>
      <c r="H139" s="146">
        <v>59916.71</v>
      </c>
      <c r="I139" s="146">
        <v>0</v>
      </c>
      <c r="J139" s="146">
        <v>0</v>
      </c>
      <c r="K139" s="146">
        <v>3598.33</v>
      </c>
      <c r="L139" s="146">
        <v>11690.12</v>
      </c>
    </row>
    <row r="140" spans="1:12">
      <c r="A140" s="142" t="s">
        <v>216</v>
      </c>
      <c r="B140" s="143">
        <v>46094</v>
      </c>
      <c r="C140" s="142">
        <v>2355</v>
      </c>
      <c r="D140" s="142" t="s">
        <v>4876</v>
      </c>
      <c r="E140" s="144" t="s">
        <v>4877</v>
      </c>
      <c r="F140" s="145">
        <v>50480</v>
      </c>
      <c r="G140" s="146">
        <v>87919.33</v>
      </c>
      <c r="H140" s="146">
        <v>70046.22</v>
      </c>
      <c r="I140" s="146">
        <v>0</v>
      </c>
      <c r="J140" s="146">
        <v>0</v>
      </c>
      <c r="K140" s="146">
        <v>2944.67</v>
      </c>
      <c r="L140" s="146">
        <v>14928.45</v>
      </c>
    </row>
    <row r="141" spans="1:12">
      <c r="A141" s="142" t="s">
        <v>216</v>
      </c>
      <c r="B141" s="143">
        <v>46100</v>
      </c>
      <c r="C141" s="142">
        <v>2396</v>
      </c>
      <c r="D141" s="142" t="s">
        <v>4839</v>
      </c>
      <c r="E141" s="144">
        <v>2072</v>
      </c>
      <c r="F141" s="145">
        <v>50203</v>
      </c>
      <c r="G141" s="146">
        <v>85763.46</v>
      </c>
      <c r="H141" s="146">
        <v>69661.850000000006</v>
      </c>
      <c r="I141" s="146">
        <v>0</v>
      </c>
      <c r="J141" s="146">
        <v>0</v>
      </c>
      <c r="K141" s="146">
        <v>3346.87</v>
      </c>
      <c r="L141" s="146">
        <v>12754.74</v>
      </c>
    </row>
    <row r="142" spans="1:12">
      <c r="A142" s="142" t="s">
        <v>216</v>
      </c>
      <c r="B142" s="143">
        <v>46100</v>
      </c>
      <c r="C142" s="142">
        <v>2397</v>
      </c>
      <c r="D142" s="142" t="s">
        <v>4839</v>
      </c>
      <c r="E142" s="144">
        <v>2073</v>
      </c>
      <c r="F142" s="145">
        <v>9797</v>
      </c>
      <c r="G142" s="146">
        <v>16736.54</v>
      </c>
      <c r="H142" s="146">
        <v>13594.35</v>
      </c>
      <c r="I142" s="146">
        <v>0</v>
      </c>
      <c r="J142" s="146">
        <v>0</v>
      </c>
      <c r="K142" s="146">
        <v>653.13</v>
      </c>
      <c r="L142" s="146">
        <v>2489.06</v>
      </c>
    </row>
    <row r="143" spans="1:12">
      <c r="A143" s="142" t="s">
        <v>216</v>
      </c>
      <c r="B143" s="143">
        <v>46100</v>
      </c>
      <c r="C143" s="142">
        <v>2398</v>
      </c>
      <c r="D143" s="142" t="s">
        <v>4839</v>
      </c>
      <c r="E143" s="144">
        <v>2073</v>
      </c>
      <c r="F143" s="145">
        <v>46510</v>
      </c>
      <c r="G143" s="146">
        <v>79454.58</v>
      </c>
      <c r="H143" s="146">
        <v>76198.880000000005</v>
      </c>
      <c r="I143" s="146">
        <v>0</v>
      </c>
      <c r="J143" s="146">
        <v>0</v>
      </c>
      <c r="K143" s="146">
        <v>232.55</v>
      </c>
      <c r="L143" s="146">
        <v>3023.15</v>
      </c>
    </row>
    <row r="144" spans="1:12">
      <c r="A144" s="142" t="s">
        <v>216</v>
      </c>
      <c r="B144" s="143">
        <v>46101</v>
      </c>
      <c r="C144" s="142">
        <v>2402</v>
      </c>
      <c r="D144" s="142" t="s">
        <v>4878</v>
      </c>
      <c r="E144" s="144">
        <v>2081</v>
      </c>
      <c r="F144" s="145">
        <v>58473</v>
      </c>
      <c r="G144" s="146">
        <v>101840.48</v>
      </c>
      <c r="H144" s="146">
        <v>81137.33</v>
      </c>
      <c r="I144" s="146">
        <v>0</v>
      </c>
      <c r="J144" s="146">
        <v>0</v>
      </c>
      <c r="K144" s="146">
        <v>3660.93</v>
      </c>
      <c r="L144" s="146">
        <v>17042.22</v>
      </c>
    </row>
    <row r="145" spans="1:12">
      <c r="A145" s="142" t="s">
        <v>216</v>
      </c>
      <c r="B145" s="143">
        <v>46103</v>
      </c>
      <c r="C145" s="142">
        <v>2407</v>
      </c>
      <c r="D145" s="142" t="s">
        <v>4879</v>
      </c>
      <c r="E145" s="144">
        <v>2082</v>
      </c>
      <c r="F145" s="145">
        <v>33416</v>
      </c>
      <c r="G145" s="146">
        <v>58199.53</v>
      </c>
      <c r="H145" s="146">
        <v>46368.15</v>
      </c>
      <c r="I145" s="146">
        <v>0</v>
      </c>
      <c r="J145" s="146">
        <v>0</v>
      </c>
      <c r="K145" s="146">
        <v>2149.27</v>
      </c>
      <c r="L145" s="146">
        <v>9682.11</v>
      </c>
    </row>
    <row r="146" spans="1:12">
      <c r="A146" s="142" t="s">
        <v>216</v>
      </c>
      <c r="B146" s="143">
        <v>46103</v>
      </c>
      <c r="C146" s="142">
        <v>2408</v>
      </c>
      <c r="D146" s="142" t="s">
        <v>4880</v>
      </c>
      <c r="E146" s="144">
        <v>2083</v>
      </c>
      <c r="F146" s="145">
        <v>10244</v>
      </c>
      <c r="G146" s="146">
        <v>17363.580000000002</v>
      </c>
      <c r="H146" s="146">
        <v>16783.09</v>
      </c>
      <c r="I146" s="146">
        <v>0</v>
      </c>
      <c r="J146" s="146">
        <v>0</v>
      </c>
      <c r="K146" s="146">
        <v>51.22</v>
      </c>
      <c r="L146" s="146">
        <v>529.27</v>
      </c>
    </row>
    <row r="147" spans="1:12">
      <c r="A147" s="142" t="s">
        <v>216</v>
      </c>
      <c r="B147" s="143">
        <v>46108</v>
      </c>
      <c r="C147" s="142">
        <v>2412</v>
      </c>
      <c r="D147" s="142" t="s">
        <v>4880</v>
      </c>
      <c r="E147" s="144">
        <v>2083</v>
      </c>
      <c r="F147" s="145">
        <v>35360</v>
      </c>
      <c r="G147" s="146">
        <v>59935.199999999997</v>
      </c>
      <c r="H147" s="146">
        <v>57931.47</v>
      </c>
      <c r="I147" s="146">
        <v>0</v>
      </c>
      <c r="J147" s="146">
        <v>0</v>
      </c>
      <c r="K147" s="146">
        <v>176.8</v>
      </c>
      <c r="L147" s="146">
        <v>1826.93</v>
      </c>
    </row>
    <row r="148" spans="1:12">
      <c r="A148" s="142" t="s">
        <v>51</v>
      </c>
      <c r="B148" s="143">
        <v>46083</v>
      </c>
      <c r="C148" s="142">
        <v>2321</v>
      </c>
      <c r="D148" s="142" t="s">
        <v>4839</v>
      </c>
      <c r="E148" s="144" t="s">
        <v>4881</v>
      </c>
      <c r="F148" s="145">
        <v>46140</v>
      </c>
      <c r="G148" s="146">
        <v>71843.59</v>
      </c>
      <c r="H148" s="146">
        <v>60166.559999999998</v>
      </c>
      <c r="I148" s="146">
        <v>0</v>
      </c>
      <c r="J148" s="146">
        <v>0</v>
      </c>
      <c r="K148" s="146">
        <v>0</v>
      </c>
      <c r="L148" s="146">
        <v>11677.03</v>
      </c>
    </row>
    <row r="149" spans="1:12">
      <c r="A149" s="142" t="s">
        <v>51</v>
      </c>
      <c r="B149" s="143">
        <v>46083</v>
      </c>
      <c r="C149" s="142">
        <v>2327</v>
      </c>
      <c r="D149" s="142" t="s">
        <v>4839</v>
      </c>
      <c r="E149" s="144" t="s">
        <v>4882</v>
      </c>
      <c r="F149" s="145">
        <v>40947</v>
      </c>
      <c r="G149" s="146">
        <v>63757.69</v>
      </c>
      <c r="H149" s="146">
        <v>53394.89</v>
      </c>
      <c r="I149" s="146">
        <v>0</v>
      </c>
      <c r="J149" s="146">
        <v>0</v>
      </c>
      <c r="K149" s="146">
        <v>0</v>
      </c>
      <c r="L149" s="146">
        <v>10362.799999999999</v>
      </c>
    </row>
    <row r="150" spans="1:12">
      <c r="A150" s="142" t="s">
        <v>51</v>
      </c>
      <c r="B150" s="143">
        <v>46083</v>
      </c>
      <c r="C150" s="142">
        <v>2329</v>
      </c>
      <c r="D150" s="142" t="s">
        <v>4839</v>
      </c>
      <c r="E150" s="144" t="s">
        <v>4883</v>
      </c>
      <c r="F150" s="145">
        <v>42087</v>
      </c>
      <c r="G150" s="146">
        <v>65532.76</v>
      </c>
      <c r="H150" s="146">
        <v>54881.45</v>
      </c>
      <c r="I150" s="146">
        <v>0</v>
      </c>
      <c r="J150" s="146">
        <v>0</v>
      </c>
      <c r="K150" s="146">
        <v>0</v>
      </c>
      <c r="L150" s="146">
        <v>10651.31</v>
      </c>
    </row>
    <row r="151" spans="1:12">
      <c r="A151" s="142" t="s">
        <v>51</v>
      </c>
      <c r="B151" s="143">
        <v>46083</v>
      </c>
      <c r="C151" s="142">
        <v>2331</v>
      </c>
      <c r="D151" s="142" t="s">
        <v>4839</v>
      </c>
      <c r="E151" s="144">
        <v>1625</v>
      </c>
      <c r="F151" s="145">
        <v>45000</v>
      </c>
      <c r="G151" s="146">
        <v>70068.53</v>
      </c>
      <c r="H151" s="146">
        <v>58680</v>
      </c>
      <c r="I151" s="146">
        <v>0</v>
      </c>
      <c r="J151" s="146">
        <v>0</v>
      </c>
      <c r="K151" s="146">
        <v>0</v>
      </c>
      <c r="L151" s="146">
        <v>11388.53</v>
      </c>
    </row>
    <row r="152" spans="1:12">
      <c r="A152" s="142" t="s">
        <v>51</v>
      </c>
      <c r="B152" s="143">
        <v>46083</v>
      </c>
      <c r="C152" s="142">
        <v>2332</v>
      </c>
      <c r="D152" s="142" t="s">
        <v>4839</v>
      </c>
      <c r="E152" s="144">
        <v>1626</v>
      </c>
      <c r="F152" s="145">
        <v>45000</v>
      </c>
      <c r="G152" s="146">
        <v>70068.53</v>
      </c>
      <c r="H152" s="146">
        <v>58680</v>
      </c>
      <c r="I152" s="146">
        <v>0</v>
      </c>
      <c r="J152" s="146">
        <v>0</v>
      </c>
      <c r="K152" s="146">
        <v>0</v>
      </c>
      <c r="L152" s="146">
        <v>11388.53</v>
      </c>
    </row>
    <row r="153" spans="1:12">
      <c r="A153" s="142" t="s">
        <v>51</v>
      </c>
      <c r="B153" s="143">
        <v>46083</v>
      </c>
      <c r="C153" s="142">
        <v>2333</v>
      </c>
      <c r="D153" s="142" t="s">
        <v>4839</v>
      </c>
      <c r="E153" s="144">
        <v>1627</v>
      </c>
      <c r="F153" s="145">
        <v>45000</v>
      </c>
      <c r="G153" s="146">
        <v>70068.53</v>
      </c>
      <c r="H153" s="146">
        <v>58680</v>
      </c>
      <c r="I153" s="146">
        <v>0</v>
      </c>
      <c r="J153" s="146">
        <v>0</v>
      </c>
      <c r="K153" s="146">
        <v>0</v>
      </c>
      <c r="L153" s="146">
        <v>11388.53</v>
      </c>
    </row>
    <row r="154" spans="1:12">
      <c r="A154" s="142" t="s">
        <v>51</v>
      </c>
      <c r="B154" s="143">
        <v>46083</v>
      </c>
      <c r="C154" s="142">
        <v>2336</v>
      </c>
      <c r="D154" s="142" t="s">
        <v>4839</v>
      </c>
      <c r="E154" s="144" t="s">
        <v>4884</v>
      </c>
      <c r="F154" s="145">
        <v>44601</v>
      </c>
      <c r="G154" s="146">
        <v>69447.25</v>
      </c>
      <c r="H154" s="146">
        <v>58159.7</v>
      </c>
      <c r="I154" s="146">
        <v>0</v>
      </c>
      <c r="J154" s="146">
        <v>0</v>
      </c>
      <c r="K154" s="146">
        <v>0</v>
      </c>
      <c r="L154" s="146">
        <v>11287.55</v>
      </c>
    </row>
    <row r="155" spans="1:12">
      <c r="A155" s="142" t="s">
        <v>51</v>
      </c>
      <c r="B155" s="143">
        <v>46084</v>
      </c>
      <c r="C155" s="142">
        <v>2330</v>
      </c>
      <c r="D155" s="142" t="s">
        <v>4839</v>
      </c>
      <c r="E155" s="144">
        <v>1667</v>
      </c>
      <c r="F155" s="145">
        <v>863340</v>
      </c>
      <c r="G155" s="146">
        <v>1438900</v>
      </c>
      <c r="H155" s="146">
        <v>1125795.3600000001</v>
      </c>
      <c r="I155" s="146">
        <v>0</v>
      </c>
      <c r="J155" s="146">
        <v>0</v>
      </c>
      <c r="K155" s="146">
        <v>0</v>
      </c>
      <c r="L155" s="146">
        <v>313104.64000000001</v>
      </c>
    </row>
    <row r="156" spans="1:12">
      <c r="A156" s="142" t="s">
        <v>51</v>
      </c>
      <c r="B156" s="143">
        <v>46091</v>
      </c>
      <c r="C156" s="142">
        <v>2350</v>
      </c>
      <c r="D156" s="142" t="s">
        <v>4885</v>
      </c>
      <c r="E156" s="144" t="s">
        <v>4886</v>
      </c>
      <c r="F156" s="145">
        <v>10000</v>
      </c>
      <c r="G156" s="146">
        <v>30790.400000000001</v>
      </c>
      <c r="H156" s="146">
        <v>29408.22</v>
      </c>
      <c r="I156" s="146">
        <v>0</v>
      </c>
      <c r="J156" s="146">
        <v>0</v>
      </c>
      <c r="K156" s="146">
        <v>0</v>
      </c>
      <c r="L156" s="146">
        <v>1382.19</v>
      </c>
    </row>
    <row r="157" spans="1:12">
      <c r="A157" s="142" t="s">
        <v>51</v>
      </c>
      <c r="B157" s="143">
        <v>46095</v>
      </c>
      <c r="C157" s="142">
        <v>2356</v>
      </c>
      <c r="D157" s="142" t="s">
        <v>4885</v>
      </c>
      <c r="E157" s="144" t="s">
        <v>4887</v>
      </c>
      <c r="F157" s="145">
        <v>14000</v>
      </c>
      <c r="G157" s="146">
        <v>40190.449999999997</v>
      </c>
      <c r="H157" s="146">
        <v>38644.67</v>
      </c>
      <c r="I157" s="146">
        <v>1664</v>
      </c>
      <c r="J157" s="146">
        <v>0</v>
      </c>
      <c r="K157" s="146">
        <v>0</v>
      </c>
      <c r="L157" s="146">
        <v>-118.21</v>
      </c>
    </row>
    <row r="158" spans="1:12">
      <c r="A158" s="142" t="s">
        <v>51</v>
      </c>
      <c r="B158" s="143">
        <v>46097</v>
      </c>
      <c r="C158" s="142">
        <v>2357</v>
      </c>
      <c r="D158" s="142" t="s">
        <v>4839</v>
      </c>
      <c r="E158" s="144">
        <v>1635</v>
      </c>
      <c r="F158" s="145">
        <v>50510</v>
      </c>
      <c r="G158" s="146">
        <v>87550.67</v>
      </c>
      <c r="H158" s="146">
        <v>82752.22</v>
      </c>
      <c r="I158" s="146">
        <v>0</v>
      </c>
      <c r="J158" s="146">
        <v>0</v>
      </c>
      <c r="K158" s="146">
        <v>1010.2</v>
      </c>
      <c r="L158" s="146">
        <v>3788.25</v>
      </c>
    </row>
    <row r="159" spans="1:12">
      <c r="A159" s="142" t="s">
        <v>51</v>
      </c>
      <c r="B159" s="143">
        <v>46097</v>
      </c>
      <c r="C159" s="142">
        <v>2358</v>
      </c>
      <c r="D159" s="142" t="s">
        <v>4839</v>
      </c>
      <c r="E159" s="144">
        <v>1636</v>
      </c>
      <c r="F159" s="145">
        <v>50590</v>
      </c>
      <c r="G159" s="146">
        <v>87689.33</v>
      </c>
      <c r="H159" s="146">
        <v>82883.28</v>
      </c>
      <c r="I159" s="146">
        <v>0</v>
      </c>
      <c r="J159" s="146">
        <v>0</v>
      </c>
      <c r="K159" s="146">
        <v>1011.8</v>
      </c>
      <c r="L159" s="146">
        <v>3794.25</v>
      </c>
    </row>
    <row r="160" spans="1:12">
      <c r="A160" s="142" t="s">
        <v>51</v>
      </c>
      <c r="B160" s="143">
        <v>46097</v>
      </c>
      <c r="C160" s="142">
        <v>2359</v>
      </c>
      <c r="D160" s="142" t="s">
        <v>4839</v>
      </c>
      <c r="E160" s="144">
        <v>1637</v>
      </c>
      <c r="F160" s="145">
        <v>48740</v>
      </c>
      <c r="G160" s="146">
        <v>84482.67</v>
      </c>
      <c r="H160" s="146">
        <v>79852.37</v>
      </c>
      <c r="I160" s="146">
        <v>0</v>
      </c>
      <c r="J160" s="146">
        <v>0</v>
      </c>
      <c r="K160" s="146">
        <v>974.8</v>
      </c>
      <c r="L160" s="146">
        <v>3655.5</v>
      </c>
    </row>
    <row r="161" spans="1:12">
      <c r="A161" s="142" t="s">
        <v>51</v>
      </c>
      <c r="B161" s="143">
        <v>46097</v>
      </c>
      <c r="C161" s="142">
        <v>2360</v>
      </c>
      <c r="D161" s="142" t="s">
        <v>4839</v>
      </c>
      <c r="E161" s="144">
        <v>1638</v>
      </c>
      <c r="F161" s="145">
        <v>48780</v>
      </c>
      <c r="G161" s="146">
        <v>84552</v>
      </c>
      <c r="H161" s="146">
        <v>79917.899999999994</v>
      </c>
      <c r="I161" s="146">
        <v>0</v>
      </c>
      <c r="J161" s="146">
        <v>0</v>
      </c>
      <c r="K161" s="146">
        <v>975.6</v>
      </c>
      <c r="L161" s="146">
        <v>3658.5</v>
      </c>
    </row>
    <row r="162" spans="1:12">
      <c r="A162" s="142" t="s">
        <v>51</v>
      </c>
      <c r="B162" s="143">
        <v>46097</v>
      </c>
      <c r="C162" s="142">
        <v>2361</v>
      </c>
      <c r="D162" s="142" t="s">
        <v>4839</v>
      </c>
      <c r="E162" s="144">
        <v>1639</v>
      </c>
      <c r="F162" s="145">
        <v>49740</v>
      </c>
      <c r="G162" s="146">
        <v>86216</v>
      </c>
      <c r="H162" s="146">
        <v>81490.7</v>
      </c>
      <c r="I162" s="146">
        <v>0</v>
      </c>
      <c r="J162" s="146">
        <v>0</v>
      </c>
      <c r="K162" s="146">
        <v>994.8</v>
      </c>
      <c r="L162" s="146">
        <v>3730.5</v>
      </c>
    </row>
    <row r="163" spans="1:12">
      <c r="A163" s="142" t="s">
        <v>51</v>
      </c>
      <c r="B163" s="143">
        <v>46097</v>
      </c>
      <c r="C163" s="142">
        <v>2362</v>
      </c>
      <c r="D163" s="142" t="s">
        <v>4839</v>
      </c>
      <c r="E163" s="144">
        <v>1640</v>
      </c>
      <c r="F163" s="145">
        <v>49180</v>
      </c>
      <c r="G163" s="146">
        <v>85245.33</v>
      </c>
      <c r="H163" s="146">
        <v>80573.23</v>
      </c>
      <c r="I163" s="146">
        <v>0</v>
      </c>
      <c r="J163" s="146">
        <v>0</v>
      </c>
      <c r="K163" s="146">
        <v>983.6</v>
      </c>
      <c r="L163" s="146">
        <v>3688.5</v>
      </c>
    </row>
    <row r="164" spans="1:12">
      <c r="A164" s="142" t="s">
        <v>51</v>
      </c>
      <c r="B164" s="143">
        <v>46097</v>
      </c>
      <c r="C164" s="142">
        <v>2363</v>
      </c>
      <c r="D164" s="142" t="s">
        <v>4839</v>
      </c>
      <c r="E164" s="144">
        <v>1641</v>
      </c>
      <c r="F164" s="145">
        <v>48870</v>
      </c>
      <c r="G164" s="146">
        <v>84708</v>
      </c>
      <c r="H164" s="146">
        <v>80065.350000000006</v>
      </c>
      <c r="I164" s="146">
        <v>0</v>
      </c>
      <c r="J164" s="146">
        <v>0</v>
      </c>
      <c r="K164" s="146">
        <v>977.4</v>
      </c>
      <c r="L164" s="146">
        <v>3665.25</v>
      </c>
    </row>
    <row r="165" spans="1:12">
      <c r="A165" s="142" t="s">
        <v>51</v>
      </c>
      <c r="B165" s="143">
        <v>46097</v>
      </c>
      <c r="C165" s="142">
        <v>2364</v>
      </c>
      <c r="D165" s="142" t="s">
        <v>4839</v>
      </c>
      <c r="E165" s="144">
        <v>1642</v>
      </c>
      <c r="F165" s="145">
        <v>49080</v>
      </c>
      <c r="G165" s="146">
        <v>85072</v>
      </c>
      <c r="H165" s="146">
        <v>80409.399999999994</v>
      </c>
      <c r="I165" s="146">
        <v>0</v>
      </c>
      <c r="J165" s="146">
        <v>0</v>
      </c>
      <c r="K165" s="146">
        <v>981.6</v>
      </c>
      <c r="L165" s="146">
        <v>3681</v>
      </c>
    </row>
    <row r="166" spans="1:12">
      <c r="A166" s="142" t="s">
        <v>51</v>
      </c>
      <c r="B166" s="143">
        <v>46097</v>
      </c>
      <c r="C166" s="142">
        <v>2365</v>
      </c>
      <c r="D166" s="142" t="s">
        <v>4839</v>
      </c>
      <c r="E166" s="144">
        <v>1643</v>
      </c>
      <c r="F166" s="145">
        <v>48120</v>
      </c>
      <c r="G166" s="146">
        <v>83408</v>
      </c>
      <c r="H166" s="146">
        <v>78836.600000000006</v>
      </c>
      <c r="I166" s="146">
        <v>0</v>
      </c>
      <c r="J166" s="146">
        <v>0</v>
      </c>
      <c r="K166" s="146">
        <v>962.4</v>
      </c>
      <c r="L166" s="146">
        <v>3609</v>
      </c>
    </row>
    <row r="167" spans="1:12">
      <c r="A167" s="142" t="s">
        <v>51</v>
      </c>
      <c r="B167" s="143">
        <v>46097</v>
      </c>
      <c r="C167" s="142">
        <v>2366</v>
      </c>
      <c r="D167" s="142" t="s">
        <v>4839</v>
      </c>
      <c r="E167" s="144">
        <v>1644</v>
      </c>
      <c r="F167" s="145">
        <v>50190</v>
      </c>
      <c r="G167" s="146">
        <v>86996</v>
      </c>
      <c r="H167" s="146">
        <v>82227.95</v>
      </c>
      <c r="I167" s="146">
        <v>0</v>
      </c>
      <c r="J167" s="146">
        <v>0</v>
      </c>
      <c r="K167" s="146">
        <v>1003.8</v>
      </c>
      <c r="L167" s="146">
        <v>3764.25</v>
      </c>
    </row>
    <row r="168" spans="1:12">
      <c r="A168" s="142" t="s">
        <v>51</v>
      </c>
      <c r="B168" s="143">
        <v>46097</v>
      </c>
      <c r="C168" s="142">
        <v>2367</v>
      </c>
      <c r="D168" s="142" t="s">
        <v>4839</v>
      </c>
      <c r="E168" s="144">
        <v>1645</v>
      </c>
      <c r="F168" s="145">
        <v>50190</v>
      </c>
      <c r="G168" s="146">
        <v>86996</v>
      </c>
      <c r="H168" s="146">
        <v>82227.95</v>
      </c>
      <c r="I168" s="146">
        <v>0</v>
      </c>
      <c r="J168" s="146">
        <v>0</v>
      </c>
      <c r="K168" s="146">
        <v>1003.8</v>
      </c>
      <c r="L168" s="146">
        <v>3764.25</v>
      </c>
    </row>
    <row r="169" spans="1:12">
      <c r="A169" s="142" t="s">
        <v>51</v>
      </c>
      <c r="B169" s="143">
        <v>46097</v>
      </c>
      <c r="C169" s="142">
        <v>2368</v>
      </c>
      <c r="D169" s="142" t="s">
        <v>4839</v>
      </c>
      <c r="E169" s="144">
        <v>1646</v>
      </c>
      <c r="F169" s="145">
        <v>47540</v>
      </c>
      <c r="G169" s="146">
        <v>82402.67</v>
      </c>
      <c r="H169" s="146">
        <v>77886.37</v>
      </c>
      <c r="I169" s="146">
        <v>0</v>
      </c>
      <c r="J169" s="146">
        <v>0</v>
      </c>
      <c r="K169" s="146">
        <v>950.8</v>
      </c>
      <c r="L169" s="146">
        <v>3565.5</v>
      </c>
    </row>
    <row r="170" spans="1:12">
      <c r="A170" s="142" t="s">
        <v>51</v>
      </c>
      <c r="B170" s="143">
        <v>46097</v>
      </c>
      <c r="C170" s="142">
        <v>2369</v>
      </c>
      <c r="D170" s="142" t="s">
        <v>4839</v>
      </c>
      <c r="E170" s="144">
        <v>1647</v>
      </c>
      <c r="F170" s="145">
        <v>47560</v>
      </c>
      <c r="G170" s="146">
        <v>82437.33</v>
      </c>
      <c r="H170" s="146">
        <v>77919.13</v>
      </c>
      <c r="I170" s="146">
        <v>0</v>
      </c>
      <c r="J170" s="146">
        <v>0</v>
      </c>
      <c r="K170" s="146">
        <v>951.2</v>
      </c>
      <c r="L170" s="146">
        <v>3567</v>
      </c>
    </row>
    <row r="171" spans="1:12">
      <c r="A171" s="142" t="s">
        <v>51</v>
      </c>
      <c r="B171" s="143">
        <v>46097</v>
      </c>
      <c r="C171" s="142">
        <v>2370</v>
      </c>
      <c r="D171" s="142" t="s">
        <v>4839</v>
      </c>
      <c r="E171" s="144">
        <v>1648</v>
      </c>
      <c r="F171" s="145">
        <v>47670</v>
      </c>
      <c r="G171" s="146">
        <v>82628</v>
      </c>
      <c r="H171" s="146">
        <v>78099.350000000006</v>
      </c>
      <c r="I171" s="146">
        <v>0</v>
      </c>
      <c r="J171" s="146">
        <v>0</v>
      </c>
      <c r="K171" s="146">
        <v>953.4</v>
      </c>
      <c r="L171" s="146">
        <v>3575.25</v>
      </c>
    </row>
    <row r="172" spans="1:12">
      <c r="A172" s="142" t="s">
        <v>51</v>
      </c>
      <c r="B172" s="143">
        <v>46097</v>
      </c>
      <c r="C172" s="142">
        <v>2371</v>
      </c>
      <c r="D172" s="142" t="s">
        <v>4839</v>
      </c>
      <c r="E172" s="144">
        <v>1649</v>
      </c>
      <c r="F172" s="145">
        <v>48990</v>
      </c>
      <c r="G172" s="146">
        <v>84916</v>
      </c>
      <c r="H172" s="146">
        <v>80261.95</v>
      </c>
      <c r="I172" s="146">
        <v>0</v>
      </c>
      <c r="J172" s="146">
        <v>0</v>
      </c>
      <c r="K172" s="146">
        <v>979.8</v>
      </c>
      <c r="L172" s="146">
        <v>3674.25</v>
      </c>
    </row>
    <row r="173" spans="1:12">
      <c r="A173" s="142" t="s">
        <v>51</v>
      </c>
      <c r="B173" s="143">
        <v>46097</v>
      </c>
      <c r="C173" s="142">
        <v>2372</v>
      </c>
      <c r="D173" s="142" t="s">
        <v>4839</v>
      </c>
      <c r="E173" s="144">
        <v>1650</v>
      </c>
      <c r="F173" s="145">
        <v>48640</v>
      </c>
      <c r="G173" s="146">
        <v>84309.33</v>
      </c>
      <c r="H173" s="146">
        <v>79688.53</v>
      </c>
      <c r="I173" s="146">
        <v>0</v>
      </c>
      <c r="J173" s="146">
        <v>0</v>
      </c>
      <c r="K173" s="146">
        <v>972.8</v>
      </c>
      <c r="L173" s="146">
        <v>3648</v>
      </c>
    </row>
    <row r="174" spans="1:12">
      <c r="A174" s="142" t="s">
        <v>51</v>
      </c>
      <c r="B174" s="143">
        <v>46097</v>
      </c>
      <c r="C174" s="142">
        <v>2373</v>
      </c>
      <c r="D174" s="142" t="s">
        <v>4839</v>
      </c>
      <c r="E174" s="144">
        <v>1651</v>
      </c>
      <c r="F174" s="145">
        <v>47270</v>
      </c>
      <c r="G174" s="146">
        <v>81934.67</v>
      </c>
      <c r="H174" s="146">
        <v>77444.02</v>
      </c>
      <c r="I174" s="146">
        <v>0</v>
      </c>
      <c r="J174" s="146">
        <v>0</v>
      </c>
      <c r="K174" s="146">
        <v>945.4</v>
      </c>
      <c r="L174" s="146">
        <v>3545.25</v>
      </c>
    </row>
    <row r="175" spans="1:12">
      <c r="A175" s="142" t="s">
        <v>51</v>
      </c>
      <c r="B175" s="143">
        <v>46097</v>
      </c>
      <c r="C175" s="142">
        <v>2374</v>
      </c>
      <c r="D175" s="142" t="s">
        <v>4839</v>
      </c>
      <c r="E175" s="144">
        <v>1652</v>
      </c>
      <c r="F175" s="145">
        <v>46520</v>
      </c>
      <c r="G175" s="146">
        <v>80634.67</v>
      </c>
      <c r="H175" s="146">
        <v>76215.27</v>
      </c>
      <c r="I175" s="146">
        <v>0</v>
      </c>
      <c r="J175" s="146">
        <v>0</v>
      </c>
      <c r="K175" s="146">
        <v>930.4</v>
      </c>
      <c r="L175" s="146">
        <v>3489</v>
      </c>
    </row>
    <row r="176" spans="1:12">
      <c r="A176" s="142" t="s">
        <v>51</v>
      </c>
      <c r="B176" s="143">
        <v>46097</v>
      </c>
      <c r="C176" s="142">
        <v>2375</v>
      </c>
      <c r="D176" s="142" t="s">
        <v>4839</v>
      </c>
      <c r="E176" s="144">
        <v>1653</v>
      </c>
      <c r="F176" s="145">
        <v>47770</v>
      </c>
      <c r="G176" s="146">
        <v>82801.33</v>
      </c>
      <c r="H176" s="146">
        <v>78263.179999999993</v>
      </c>
      <c r="I176" s="146">
        <v>0</v>
      </c>
      <c r="J176" s="146">
        <v>0</v>
      </c>
      <c r="K176" s="146">
        <v>955.4</v>
      </c>
      <c r="L176" s="146">
        <v>3582.75</v>
      </c>
    </row>
    <row r="177" spans="1:12">
      <c r="A177" s="142" t="s">
        <v>51</v>
      </c>
      <c r="B177" s="143">
        <v>46097</v>
      </c>
      <c r="C177" s="142">
        <v>2376</v>
      </c>
      <c r="D177" s="142" t="s">
        <v>4839</v>
      </c>
      <c r="E177" s="144">
        <v>1654</v>
      </c>
      <c r="F177" s="145">
        <v>48970</v>
      </c>
      <c r="G177" s="146">
        <v>84881.33</v>
      </c>
      <c r="H177" s="146">
        <v>80229.179999999993</v>
      </c>
      <c r="I177" s="146">
        <v>0</v>
      </c>
      <c r="J177" s="146">
        <v>0</v>
      </c>
      <c r="K177" s="146">
        <v>979.4</v>
      </c>
      <c r="L177" s="146">
        <v>3672.75</v>
      </c>
    </row>
    <row r="178" spans="1:12">
      <c r="A178" s="142" t="s">
        <v>51</v>
      </c>
      <c r="B178" s="143">
        <v>46098</v>
      </c>
      <c r="C178" s="142">
        <v>2377</v>
      </c>
      <c r="D178" s="142" t="s">
        <v>4839</v>
      </c>
      <c r="E178" s="144">
        <v>1655</v>
      </c>
      <c r="F178" s="145">
        <v>45940</v>
      </c>
      <c r="G178" s="146">
        <v>79629.33</v>
      </c>
      <c r="H178" s="146">
        <v>75265.03</v>
      </c>
      <c r="I178" s="146">
        <v>0</v>
      </c>
      <c r="J178" s="146">
        <v>0</v>
      </c>
      <c r="K178" s="146">
        <v>918.8</v>
      </c>
      <c r="L178" s="146">
        <v>3445.5</v>
      </c>
    </row>
    <row r="179" spans="1:12">
      <c r="A179" s="142" t="s">
        <v>51</v>
      </c>
      <c r="B179" s="143">
        <v>46098</v>
      </c>
      <c r="C179" s="142">
        <v>2378</v>
      </c>
      <c r="D179" s="142" t="s">
        <v>4839</v>
      </c>
      <c r="E179" s="144">
        <v>1656</v>
      </c>
      <c r="F179" s="145">
        <v>44550</v>
      </c>
      <c r="G179" s="146">
        <v>77220</v>
      </c>
      <c r="H179" s="146">
        <v>72987.75</v>
      </c>
      <c r="I179" s="146">
        <v>0</v>
      </c>
      <c r="J179" s="146">
        <v>0</v>
      </c>
      <c r="K179" s="146">
        <v>891</v>
      </c>
      <c r="L179" s="146">
        <v>3341.25</v>
      </c>
    </row>
    <row r="180" spans="1:12">
      <c r="A180" s="142" t="s">
        <v>51</v>
      </c>
      <c r="B180" s="143">
        <v>46098</v>
      </c>
      <c r="C180" s="142">
        <v>2379</v>
      </c>
      <c r="D180" s="142" t="s">
        <v>4839</v>
      </c>
      <c r="E180" s="144">
        <v>1664</v>
      </c>
      <c r="F180" s="145">
        <v>51970</v>
      </c>
      <c r="G180" s="146">
        <v>90081.33</v>
      </c>
      <c r="H180" s="146">
        <v>85144.18</v>
      </c>
      <c r="I180" s="146">
        <v>0</v>
      </c>
      <c r="J180" s="146">
        <v>0</v>
      </c>
      <c r="K180" s="146">
        <v>1039.4000000000001</v>
      </c>
      <c r="L180" s="146">
        <v>3897.75</v>
      </c>
    </row>
    <row r="181" spans="1:12">
      <c r="A181" s="142" t="s">
        <v>51</v>
      </c>
      <c r="B181" s="143">
        <v>46098</v>
      </c>
      <c r="C181" s="142">
        <v>2380</v>
      </c>
      <c r="D181" s="142" t="s">
        <v>4839</v>
      </c>
      <c r="E181" s="144">
        <v>1658</v>
      </c>
      <c r="F181" s="145">
        <v>47000</v>
      </c>
      <c r="G181" s="146">
        <v>81466.67</v>
      </c>
      <c r="H181" s="146">
        <v>77001.67</v>
      </c>
      <c r="I181" s="146">
        <v>0</v>
      </c>
      <c r="J181" s="146">
        <v>0</v>
      </c>
      <c r="K181" s="146">
        <v>940</v>
      </c>
      <c r="L181" s="146">
        <v>3525</v>
      </c>
    </row>
    <row r="182" spans="1:12">
      <c r="A182" s="142" t="s">
        <v>51</v>
      </c>
      <c r="B182" s="143">
        <v>46098</v>
      </c>
      <c r="C182" s="142">
        <v>2381</v>
      </c>
      <c r="D182" s="142" t="s">
        <v>4839</v>
      </c>
      <c r="E182" s="144">
        <v>1659</v>
      </c>
      <c r="F182" s="145">
        <v>47580</v>
      </c>
      <c r="G182" s="146">
        <v>82472</v>
      </c>
      <c r="H182" s="146">
        <v>77951.899999999994</v>
      </c>
      <c r="I182" s="146">
        <v>0</v>
      </c>
      <c r="J182" s="146">
        <v>0</v>
      </c>
      <c r="K182" s="146">
        <v>951.6</v>
      </c>
      <c r="L182" s="146">
        <v>3568.5</v>
      </c>
    </row>
    <row r="183" spans="1:12">
      <c r="A183" s="142" t="s">
        <v>51</v>
      </c>
      <c r="B183" s="143">
        <v>46098</v>
      </c>
      <c r="C183" s="142">
        <v>2382</v>
      </c>
      <c r="D183" s="142" t="s">
        <v>4839</v>
      </c>
      <c r="E183" s="144">
        <v>1669</v>
      </c>
      <c r="F183" s="145">
        <v>36930</v>
      </c>
      <c r="G183" s="146">
        <v>64012</v>
      </c>
      <c r="H183" s="146">
        <v>60503.65</v>
      </c>
      <c r="I183" s="146">
        <v>0</v>
      </c>
      <c r="J183" s="146">
        <v>0</v>
      </c>
      <c r="K183" s="146">
        <v>738.6</v>
      </c>
      <c r="L183" s="146">
        <v>2769.75</v>
      </c>
    </row>
    <row r="184" spans="1:12">
      <c r="A184" s="142" t="s">
        <v>51</v>
      </c>
      <c r="B184" s="143">
        <v>46098</v>
      </c>
      <c r="C184" s="142">
        <v>2383</v>
      </c>
      <c r="D184" s="142" t="s">
        <v>4839</v>
      </c>
      <c r="E184" s="144">
        <v>1661</v>
      </c>
      <c r="F184" s="145">
        <v>38850</v>
      </c>
      <c r="G184" s="146">
        <v>67340</v>
      </c>
      <c r="H184" s="146">
        <v>63649.25</v>
      </c>
      <c r="I184" s="146">
        <v>0</v>
      </c>
      <c r="J184" s="146">
        <v>0</v>
      </c>
      <c r="K184" s="146">
        <v>777</v>
      </c>
      <c r="L184" s="146">
        <v>2913.75</v>
      </c>
    </row>
    <row r="185" spans="1:12">
      <c r="A185" s="142" t="s">
        <v>51</v>
      </c>
      <c r="B185" s="143">
        <v>46098</v>
      </c>
      <c r="C185" s="142">
        <v>2384</v>
      </c>
      <c r="D185" s="142" t="s">
        <v>4839</v>
      </c>
      <c r="E185" s="144">
        <v>1662</v>
      </c>
      <c r="F185" s="145">
        <v>49370</v>
      </c>
      <c r="G185" s="146">
        <v>85574.67</v>
      </c>
      <c r="H185" s="146">
        <v>80884.52</v>
      </c>
      <c r="I185" s="146">
        <v>0</v>
      </c>
      <c r="J185" s="146">
        <v>0</v>
      </c>
      <c r="K185" s="146">
        <v>987.4</v>
      </c>
      <c r="L185" s="146">
        <v>3702.75</v>
      </c>
    </row>
    <row r="186" spans="1:12">
      <c r="A186" s="142" t="s">
        <v>51</v>
      </c>
      <c r="B186" s="143">
        <v>46098</v>
      </c>
      <c r="C186" s="142">
        <v>2385</v>
      </c>
      <c r="D186" s="142" t="s">
        <v>4839</v>
      </c>
      <c r="E186" s="144">
        <v>1663</v>
      </c>
      <c r="F186" s="145">
        <v>49650</v>
      </c>
      <c r="G186" s="146">
        <v>86060</v>
      </c>
      <c r="H186" s="146">
        <v>81343.25</v>
      </c>
      <c r="I186" s="146">
        <v>0</v>
      </c>
      <c r="J186" s="146">
        <v>0</v>
      </c>
      <c r="K186" s="146">
        <v>993</v>
      </c>
      <c r="L186" s="146">
        <v>3723.75</v>
      </c>
    </row>
    <row r="187" spans="1:12">
      <c r="A187" s="142" t="s">
        <v>51</v>
      </c>
      <c r="B187" s="143">
        <v>46098</v>
      </c>
      <c r="C187" s="142">
        <v>2386</v>
      </c>
      <c r="D187" s="142" t="s">
        <v>4839</v>
      </c>
      <c r="E187" s="144">
        <v>1665</v>
      </c>
      <c r="F187" s="145">
        <v>39920</v>
      </c>
      <c r="G187" s="146">
        <v>69194.67</v>
      </c>
      <c r="H187" s="146">
        <v>65402.27</v>
      </c>
      <c r="I187" s="146">
        <v>0</v>
      </c>
      <c r="J187" s="146">
        <v>0</v>
      </c>
      <c r="K187" s="146">
        <v>798.4</v>
      </c>
      <c r="L187" s="146">
        <v>2994</v>
      </c>
    </row>
    <row r="188" spans="1:12">
      <c r="A188" s="142" t="s">
        <v>51</v>
      </c>
      <c r="B188" s="143">
        <v>46098</v>
      </c>
      <c r="C188" s="142">
        <v>2387</v>
      </c>
      <c r="D188" s="142" t="s">
        <v>4839</v>
      </c>
      <c r="E188" s="144">
        <v>1666</v>
      </c>
      <c r="F188" s="145">
        <v>47110</v>
      </c>
      <c r="G188" s="146">
        <v>81657.33</v>
      </c>
      <c r="H188" s="146">
        <v>77181.88</v>
      </c>
      <c r="I188" s="146">
        <v>0</v>
      </c>
      <c r="J188" s="146">
        <v>0</v>
      </c>
      <c r="K188" s="146">
        <v>942.2</v>
      </c>
      <c r="L188" s="146">
        <v>3533.25</v>
      </c>
    </row>
    <row r="189" spans="1:12">
      <c r="A189" s="142" t="s">
        <v>51</v>
      </c>
      <c r="B189" s="143">
        <v>46098</v>
      </c>
      <c r="C189" s="142">
        <v>2388</v>
      </c>
      <c r="D189" s="142" t="s">
        <v>4839</v>
      </c>
      <c r="E189" s="144">
        <v>1668</v>
      </c>
      <c r="F189" s="145">
        <v>48240</v>
      </c>
      <c r="G189" s="146">
        <v>83616</v>
      </c>
      <c r="H189" s="146">
        <v>79033.2</v>
      </c>
      <c r="I189" s="146">
        <v>0</v>
      </c>
      <c r="J189" s="146">
        <v>0</v>
      </c>
      <c r="K189" s="146">
        <v>964.8</v>
      </c>
      <c r="L189" s="146">
        <v>3618</v>
      </c>
    </row>
    <row r="190" spans="1:12">
      <c r="A190" s="142" t="s">
        <v>51</v>
      </c>
      <c r="B190" s="143">
        <v>46098</v>
      </c>
      <c r="C190" s="142">
        <v>2389</v>
      </c>
      <c r="D190" s="142" t="s">
        <v>4839</v>
      </c>
      <c r="E190" s="144">
        <v>1670</v>
      </c>
      <c r="F190" s="145">
        <v>39370</v>
      </c>
      <c r="G190" s="146">
        <v>68241.33</v>
      </c>
      <c r="H190" s="146">
        <v>64501.18</v>
      </c>
      <c r="I190" s="146">
        <v>0</v>
      </c>
      <c r="J190" s="146">
        <v>0</v>
      </c>
      <c r="K190" s="146">
        <v>787.4</v>
      </c>
      <c r="L190" s="146">
        <v>2952.75</v>
      </c>
    </row>
    <row r="191" spans="1:12">
      <c r="A191" s="142" t="s">
        <v>51</v>
      </c>
      <c r="B191" s="143">
        <v>46099</v>
      </c>
      <c r="C191" s="142">
        <v>2390</v>
      </c>
      <c r="D191" s="142" t="s">
        <v>4839</v>
      </c>
      <c r="E191" s="144">
        <v>1674</v>
      </c>
      <c r="F191" s="145">
        <v>25420</v>
      </c>
      <c r="G191" s="146">
        <v>82472.009999999995</v>
      </c>
      <c r="H191" s="146">
        <v>82472.009999999995</v>
      </c>
      <c r="I191" s="146">
        <v>0</v>
      </c>
      <c r="J191" s="146">
        <v>0</v>
      </c>
      <c r="K191" s="146">
        <v>0</v>
      </c>
      <c r="L191" s="146">
        <v>0</v>
      </c>
    </row>
    <row r="192" spans="1:12">
      <c r="A192" s="142" t="s">
        <v>51</v>
      </c>
      <c r="B192" s="143">
        <v>46099</v>
      </c>
      <c r="C192" s="142">
        <v>2391</v>
      </c>
      <c r="D192" s="142" t="s">
        <v>4839</v>
      </c>
      <c r="E192" s="144">
        <v>1672</v>
      </c>
      <c r="F192" s="145">
        <v>17800</v>
      </c>
      <c r="G192" s="146">
        <v>57749.88</v>
      </c>
      <c r="H192" s="146">
        <v>57749.88</v>
      </c>
      <c r="I192" s="146">
        <v>0</v>
      </c>
      <c r="J192" s="146">
        <v>0</v>
      </c>
      <c r="K192" s="146">
        <v>0</v>
      </c>
      <c r="L192" s="146">
        <v>0</v>
      </c>
    </row>
    <row r="193" spans="1:12">
      <c r="A193" s="142" t="s">
        <v>51</v>
      </c>
      <c r="B193" s="143">
        <v>46099</v>
      </c>
      <c r="C193" s="142">
        <v>2392</v>
      </c>
      <c r="D193" s="142" t="s">
        <v>4839</v>
      </c>
      <c r="E193" s="144">
        <v>1673</v>
      </c>
      <c r="F193" s="145">
        <v>45750</v>
      </c>
      <c r="G193" s="146">
        <v>79300</v>
      </c>
      <c r="H193" s="146">
        <v>74953.75</v>
      </c>
      <c r="I193" s="146">
        <v>0</v>
      </c>
      <c r="J193" s="146">
        <v>0</v>
      </c>
      <c r="K193" s="146">
        <v>915</v>
      </c>
      <c r="L193" s="146">
        <v>3431.25</v>
      </c>
    </row>
    <row r="194" spans="1:12">
      <c r="A194" s="142" t="s">
        <v>51</v>
      </c>
      <c r="B194" s="143">
        <v>46100</v>
      </c>
      <c r="C194" s="142">
        <v>2393</v>
      </c>
      <c r="D194" s="142" t="s">
        <v>4839</v>
      </c>
      <c r="E194" s="144">
        <v>1675</v>
      </c>
      <c r="F194" s="145">
        <v>36380</v>
      </c>
      <c r="G194" s="146">
        <v>63058.67</v>
      </c>
      <c r="H194" s="146">
        <v>59602.57</v>
      </c>
      <c r="I194" s="146">
        <v>0</v>
      </c>
      <c r="J194" s="146">
        <v>0</v>
      </c>
      <c r="K194" s="146">
        <v>727.6</v>
      </c>
      <c r="L194" s="146">
        <v>2728.5</v>
      </c>
    </row>
    <row r="195" spans="1:12">
      <c r="A195" s="142" t="s">
        <v>51</v>
      </c>
      <c r="B195" s="143">
        <v>46100</v>
      </c>
      <c r="C195" s="142">
        <v>2394</v>
      </c>
      <c r="D195" s="142" t="s">
        <v>4839</v>
      </c>
      <c r="E195" s="144">
        <v>1676</v>
      </c>
      <c r="F195" s="145">
        <v>31940</v>
      </c>
      <c r="G195" s="146">
        <v>55362.67</v>
      </c>
      <c r="H195" s="146">
        <v>52328.37</v>
      </c>
      <c r="I195" s="146">
        <v>0</v>
      </c>
      <c r="J195" s="146">
        <v>0</v>
      </c>
      <c r="K195" s="146">
        <v>638.79999999999995</v>
      </c>
      <c r="L195" s="146">
        <v>2395.5</v>
      </c>
    </row>
    <row r="196" spans="1:12">
      <c r="A196" s="142" t="s">
        <v>51</v>
      </c>
      <c r="B196" s="143">
        <v>46100</v>
      </c>
      <c r="C196" s="142">
        <v>2395</v>
      </c>
      <c r="D196" s="142" t="s">
        <v>4839</v>
      </c>
      <c r="E196" s="144">
        <v>1677</v>
      </c>
      <c r="F196" s="145">
        <v>48490</v>
      </c>
      <c r="G196" s="146">
        <v>84049.33</v>
      </c>
      <c r="H196" s="146">
        <v>79442.78</v>
      </c>
      <c r="I196" s="146">
        <v>0</v>
      </c>
      <c r="J196" s="146">
        <v>0</v>
      </c>
      <c r="K196" s="146">
        <v>969.8</v>
      </c>
      <c r="L196" s="146">
        <v>3636.75</v>
      </c>
    </row>
    <row r="197" spans="1:12">
      <c r="A197" s="142" t="s">
        <v>51</v>
      </c>
      <c r="B197" s="143">
        <v>46100</v>
      </c>
      <c r="C197" s="142">
        <v>2399</v>
      </c>
      <c r="D197" s="142" t="s">
        <v>4839</v>
      </c>
      <c r="E197" s="144">
        <v>1678</v>
      </c>
      <c r="F197" s="145">
        <v>47450</v>
      </c>
      <c r="G197" s="146">
        <v>82246.67</v>
      </c>
      <c r="H197" s="146">
        <v>77738.92</v>
      </c>
      <c r="I197" s="146">
        <v>0</v>
      </c>
      <c r="J197" s="146">
        <v>0</v>
      </c>
      <c r="K197" s="146">
        <v>949</v>
      </c>
      <c r="L197" s="146">
        <v>3558.75</v>
      </c>
    </row>
    <row r="198" spans="1:12">
      <c r="A198" s="142" t="s">
        <v>51</v>
      </c>
      <c r="B198" s="143">
        <v>46101</v>
      </c>
      <c r="C198" s="142">
        <v>2400</v>
      </c>
      <c r="D198" s="142" t="s">
        <v>4839</v>
      </c>
      <c r="E198" s="144">
        <v>1679</v>
      </c>
      <c r="F198" s="145">
        <v>51160</v>
      </c>
      <c r="G198" s="146">
        <v>88677.33</v>
      </c>
      <c r="H198" s="146">
        <v>83817.13</v>
      </c>
      <c r="I198" s="146">
        <v>0</v>
      </c>
      <c r="J198" s="146">
        <v>0</v>
      </c>
      <c r="K198" s="146">
        <v>1023.2</v>
      </c>
      <c r="L198" s="146">
        <v>3837</v>
      </c>
    </row>
    <row r="199" spans="1:12">
      <c r="A199" s="142" t="s">
        <v>51</v>
      </c>
      <c r="B199" s="143">
        <v>46101</v>
      </c>
      <c r="C199" s="142">
        <v>2401</v>
      </c>
      <c r="D199" s="142" t="s">
        <v>4839</v>
      </c>
      <c r="E199" s="144">
        <v>1680</v>
      </c>
      <c r="F199" s="145">
        <v>50920</v>
      </c>
      <c r="G199" s="146">
        <v>88261.33</v>
      </c>
      <c r="H199" s="146">
        <v>83423.929999999993</v>
      </c>
      <c r="I199" s="146">
        <v>0</v>
      </c>
      <c r="J199" s="146">
        <v>0</v>
      </c>
      <c r="K199" s="146">
        <v>1018.4</v>
      </c>
      <c r="L199" s="146">
        <v>3819</v>
      </c>
    </row>
    <row r="200" spans="1:12">
      <c r="A200" s="142" t="s">
        <v>51</v>
      </c>
      <c r="B200" s="143">
        <v>46101</v>
      </c>
      <c r="C200" s="142">
        <v>2403</v>
      </c>
      <c r="D200" s="142" t="s">
        <v>4839</v>
      </c>
      <c r="E200" s="144">
        <v>1681</v>
      </c>
      <c r="F200" s="145">
        <v>48600</v>
      </c>
      <c r="G200" s="146">
        <v>84240</v>
      </c>
      <c r="H200" s="146">
        <v>79623</v>
      </c>
      <c r="I200" s="146">
        <v>0</v>
      </c>
      <c r="J200" s="146">
        <v>0</v>
      </c>
      <c r="K200" s="146">
        <v>972</v>
      </c>
      <c r="L200" s="146">
        <v>3645</v>
      </c>
    </row>
    <row r="201" spans="1:12">
      <c r="A201" s="142" t="s">
        <v>51</v>
      </c>
      <c r="B201" s="143">
        <v>46101</v>
      </c>
      <c r="C201" s="142">
        <v>2404</v>
      </c>
      <c r="D201" s="142" t="s">
        <v>4839</v>
      </c>
      <c r="E201" s="144">
        <v>1682</v>
      </c>
      <c r="F201" s="145">
        <v>47970</v>
      </c>
      <c r="G201" s="146">
        <v>83148</v>
      </c>
      <c r="H201" s="146">
        <v>78590.850000000006</v>
      </c>
      <c r="I201" s="146">
        <v>0</v>
      </c>
      <c r="J201" s="146">
        <v>0</v>
      </c>
      <c r="K201" s="146">
        <v>959.4</v>
      </c>
      <c r="L201" s="146">
        <v>3597.75</v>
      </c>
    </row>
    <row r="202" spans="1:12">
      <c r="A202" s="142" t="s">
        <v>51</v>
      </c>
      <c r="B202" s="143">
        <v>46101</v>
      </c>
      <c r="C202" s="142">
        <v>2405</v>
      </c>
      <c r="D202" s="142" t="s">
        <v>4839</v>
      </c>
      <c r="E202" s="144">
        <v>1683</v>
      </c>
      <c r="F202" s="145">
        <v>48640</v>
      </c>
      <c r="G202" s="146">
        <v>84309.33</v>
      </c>
      <c r="H202" s="146">
        <v>79688.53</v>
      </c>
      <c r="I202" s="146">
        <v>0</v>
      </c>
      <c r="J202" s="146">
        <v>0</v>
      </c>
      <c r="K202" s="146">
        <v>972.8</v>
      </c>
      <c r="L202" s="146">
        <v>3648</v>
      </c>
    </row>
    <row r="203" spans="1:12">
      <c r="A203" s="142" t="s">
        <v>51</v>
      </c>
      <c r="B203" s="143">
        <v>46101</v>
      </c>
      <c r="C203" s="142">
        <v>2406</v>
      </c>
      <c r="D203" s="142" t="s">
        <v>4839</v>
      </c>
      <c r="E203" s="144">
        <v>1684</v>
      </c>
      <c r="F203" s="145">
        <v>49910</v>
      </c>
      <c r="G203" s="146">
        <v>86510.67</v>
      </c>
      <c r="H203" s="146">
        <v>81769.22</v>
      </c>
      <c r="I203" s="146">
        <v>0</v>
      </c>
      <c r="J203" s="146">
        <v>0</v>
      </c>
      <c r="K203" s="146">
        <v>998.2</v>
      </c>
      <c r="L203" s="146">
        <v>3743.25</v>
      </c>
    </row>
    <row r="204" spans="1:12">
      <c r="A204" s="142" t="s">
        <v>51</v>
      </c>
      <c r="B204" s="143">
        <v>46104</v>
      </c>
      <c r="C204" s="142">
        <v>2409</v>
      </c>
      <c r="D204" s="142" t="s">
        <v>4839</v>
      </c>
      <c r="E204" s="144">
        <v>1685</v>
      </c>
      <c r="F204" s="145">
        <v>31390</v>
      </c>
      <c r="G204" s="146">
        <v>54409.33</v>
      </c>
      <c r="H204" s="146">
        <v>51427.28</v>
      </c>
      <c r="I204" s="146">
        <v>0</v>
      </c>
      <c r="J204" s="146">
        <v>0</v>
      </c>
      <c r="K204" s="146">
        <v>627.79999999999995</v>
      </c>
      <c r="L204" s="146">
        <v>2354.25</v>
      </c>
    </row>
    <row r="205" spans="1:12">
      <c r="A205" s="142" t="s">
        <v>51</v>
      </c>
      <c r="B205" s="143">
        <v>46111</v>
      </c>
      <c r="C205" s="142">
        <v>2415</v>
      </c>
      <c r="D205" s="142" t="s">
        <v>4865</v>
      </c>
      <c r="E205" s="144">
        <v>1687</v>
      </c>
      <c r="F205" s="145">
        <v>18808</v>
      </c>
      <c r="G205" s="146">
        <v>46149.25</v>
      </c>
      <c r="H205" s="146">
        <v>46149.25</v>
      </c>
      <c r="I205" s="146">
        <v>0</v>
      </c>
      <c r="J205" s="146">
        <v>0</v>
      </c>
      <c r="K205" s="146">
        <v>0</v>
      </c>
      <c r="L205" s="146">
        <v>0</v>
      </c>
    </row>
    <row r="206" spans="1:12">
      <c r="A206" s="142" t="s">
        <v>51</v>
      </c>
      <c r="B206" s="143">
        <v>46120</v>
      </c>
      <c r="C206" s="142">
        <v>2418</v>
      </c>
      <c r="D206" s="142" t="s">
        <v>4839</v>
      </c>
      <c r="E206" s="144">
        <v>1688</v>
      </c>
      <c r="F206" s="145">
        <v>4100</v>
      </c>
      <c r="G206" s="146">
        <v>11480</v>
      </c>
      <c r="H206" s="146">
        <v>11480</v>
      </c>
      <c r="I206" s="146">
        <v>0</v>
      </c>
      <c r="J206" s="146">
        <v>0</v>
      </c>
      <c r="K206" s="146">
        <v>0</v>
      </c>
      <c r="L206" s="146">
        <v>0</v>
      </c>
    </row>
    <row r="207" spans="1:12">
      <c r="A207" s="142" t="s">
        <v>51</v>
      </c>
      <c r="B207" s="143">
        <v>46125</v>
      </c>
      <c r="C207" s="142">
        <v>2421</v>
      </c>
      <c r="D207" s="142" t="s">
        <v>4865</v>
      </c>
      <c r="E207" s="144">
        <v>1691</v>
      </c>
      <c r="F207" s="145">
        <v>2492</v>
      </c>
      <c r="G207" s="146">
        <v>6659.04</v>
      </c>
      <c r="H207" s="146">
        <v>6659.04</v>
      </c>
      <c r="I207" s="146">
        <v>0</v>
      </c>
      <c r="J207" s="146">
        <v>0</v>
      </c>
      <c r="K207" s="146">
        <v>0</v>
      </c>
      <c r="L207" s="146">
        <v>0</v>
      </c>
    </row>
    <row r="208" spans="1:12">
      <c r="A208" s="142" t="s">
        <v>51</v>
      </c>
      <c r="B208" s="143">
        <v>46132</v>
      </c>
      <c r="C208" s="142">
        <v>2422</v>
      </c>
      <c r="D208" s="142" t="s">
        <v>4839</v>
      </c>
      <c r="E208" s="144">
        <v>1689</v>
      </c>
      <c r="F208" s="145">
        <v>48970</v>
      </c>
      <c r="G208" s="146">
        <v>81616.67</v>
      </c>
      <c r="H208" s="146">
        <v>67950.94</v>
      </c>
      <c r="I208" s="146">
        <v>0</v>
      </c>
      <c r="J208" s="146">
        <v>0</v>
      </c>
      <c r="K208" s="146">
        <v>2448.5</v>
      </c>
      <c r="L208" s="146">
        <v>11217.23</v>
      </c>
    </row>
    <row r="209" spans="1:12">
      <c r="A209" s="142" t="s">
        <v>51</v>
      </c>
      <c r="B209" s="143">
        <v>46132</v>
      </c>
      <c r="C209" s="142">
        <v>2424</v>
      </c>
      <c r="D209" s="142" t="s">
        <v>4839</v>
      </c>
      <c r="E209" s="144">
        <v>1690</v>
      </c>
      <c r="F209" s="145">
        <v>47122</v>
      </c>
      <c r="G209" s="146">
        <v>78536.67</v>
      </c>
      <c r="H209" s="146">
        <v>65386.64</v>
      </c>
      <c r="I209" s="146">
        <v>0</v>
      </c>
      <c r="J209" s="146">
        <v>0</v>
      </c>
      <c r="K209" s="146">
        <v>2356.1</v>
      </c>
      <c r="L209" s="146">
        <v>10793.92</v>
      </c>
    </row>
    <row r="210" spans="1:12">
      <c r="A210" s="142" t="s">
        <v>51</v>
      </c>
      <c r="B210" s="143">
        <v>46132</v>
      </c>
      <c r="C210" s="142">
        <v>2425</v>
      </c>
      <c r="D210" s="142" t="s">
        <v>4839</v>
      </c>
      <c r="E210" s="144">
        <v>1692</v>
      </c>
      <c r="F210" s="145">
        <v>11158</v>
      </c>
      <c r="G210" s="146">
        <v>18596.669999999998</v>
      </c>
      <c r="H210" s="146">
        <v>17666.830000000002</v>
      </c>
      <c r="I210" s="146">
        <v>0</v>
      </c>
      <c r="J210" s="146">
        <v>0</v>
      </c>
      <c r="K210" s="146">
        <v>260.35000000000002</v>
      </c>
      <c r="L210" s="146">
        <v>669.48</v>
      </c>
    </row>
    <row r="211" spans="1:12">
      <c r="A211" s="142" t="s">
        <v>51</v>
      </c>
      <c r="B211" s="143">
        <v>46132</v>
      </c>
      <c r="C211" s="142">
        <v>2426</v>
      </c>
      <c r="D211" s="142" t="s">
        <v>4839</v>
      </c>
      <c r="E211" s="144">
        <v>1692</v>
      </c>
      <c r="F211" s="145">
        <v>38257</v>
      </c>
      <c r="G211" s="146">
        <v>63761.67</v>
      </c>
      <c r="H211" s="146">
        <v>53085.54</v>
      </c>
      <c r="I211" s="146">
        <v>0</v>
      </c>
      <c r="J211" s="146">
        <v>0</v>
      </c>
      <c r="K211" s="146">
        <v>1912.85</v>
      </c>
      <c r="L211" s="146">
        <v>8763.2800000000007</v>
      </c>
    </row>
    <row r="212" spans="1:12">
      <c r="A212" s="142" t="s">
        <v>51</v>
      </c>
      <c r="B212" s="143">
        <v>46132</v>
      </c>
      <c r="C212" s="142">
        <v>2427</v>
      </c>
      <c r="D212" s="142" t="s">
        <v>4839</v>
      </c>
      <c r="E212" s="144">
        <v>1693</v>
      </c>
      <c r="F212" s="145">
        <v>47336</v>
      </c>
      <c r="G212" s="146">
        <v>78893.33</v>
      </c>
      <c r="H212" s="146">
        <v>74948.67</v>
      </c>
      <c r="I212" s="146">
        <v>0</v>
      </c>
      <c r="J212" s="146">
        <v>0</v>
      </c>
      <c r="K212" s="146">
        <v>1104.51</v>
      </c>
      <c r="L212" s="146">
        <v>2840.16</v>
      </c>
    </row>
    <row r="213" spans="1:12">
      <c r="A213" s="142" t="s">
        <v>51</v>
      </c>
      <c r="B213" s="143">
        <v>46132</v>
      </c>
      <c r="C213" s="142">
        <v>2428</v>
      </c>
      <c r="D213" s="142" t="s">
        <v>4839</v>
      </c>
      <c r="E213" s="144">
        <v>1695</v>
      </c>
      <c r="F213" s="145">
        <v>50266</v>
      </c>
      <c r="G213" s="146">
        <v>83776.67</v>
      </c>
      <c r="H213" s="146">
        <v>79587.83</v>
      </c>
      <c r="I213" s="146">
        <v>0</v>
      </c>
      <c r="J213" s="146">
        <v>0</v>
      </c>
      <c r="K213" s="146">
        <v>1172.8699999999999</v>
      </c>
      <c r="L213" s="146">
        <v>3015.96</v>
      </c>
    </row>
    <row r="214" spans="1:12">
      <c r="A214" s="142" t="s">
        <v>51</v>
      </c>
      <c r="B214" s="143">
        <v>46135</v>
      </c>
      <c r="C214" s="142">
        <v>2430</v>
      </c>
      <c r="D214" s="142" t="s">
        <v>4839</v>
      </c>
      <c r="E214" s="144">
        <v>1696</v>
      </c>
      <c r="F214" s="145">
        <v>45247</v>
      </c>
      <c r="G214" s="146">
        <v>75411.67</v>
      </c>
      <c r="H214" s="146">
        <v>71641.08</v>
      </c>
      <c r="I214" s="146">
        <v>0</v>
      </c>
      <c r="J214" s="146">
        <v>0</v>
      </c>
      <c r="K214" s="146">
        <v>754.12</v>
      </c>
      <c r="L214" s="146">
        <v>3016.47</v>
      </c>
    </row>
    <row r="215" spans="1:12">
      <c r="A215" s="142" t="s">
        <v>216</v>
      </c>
      <c r="B215" s="143">
        <v>46125</v>
      </c>
      <c r="C215" s="142">
        <v>2419</v>
      </c>
      <c r="D215" s="142" t="s">
        <v>4839</v>
      </c>
      <c r="E215" s="144">
        <v>2090</v>
      </c>
      <c r="F215" s="145">
        <v>39072</v>
      </c>
      <c r="G215" s="146">
        <v>66422.399999999994</v>
      </c>
      <c r="H215" s="146">
        <v>54220.08</v>
      </c>
      <c r="I215" s="146">
        <v>0</v>
      </c>
      <c r="J215" s="146">
        <v>0</v>
      </c>
      <c r="K215" s="146">
        <v>1953.6</v>
      </c>
      <c r="L215" s="146">
        <v>10248.719999999999</v>
      </c>
    </row>
    <row r="216" spans="1:12">
      <c r="A216" s="142" t="s">
        <v>216</v>
      </c>
      <c r="B216" s="143">
        <v>46125</v>
      </c>
      <c r="C216" s="142">
        <v>2420</v>
      </c>
      <c r="D216" s="142" t="s">
        <v>4839</v>
      </c>
      <c r="E216" s="144">
        <v>2091</v>
      </c>
      <c r="F216" s="145">
        <v>51579</v>
      </c>
      <c r="G216" s="146">
        <v>87684.3</v>
      </c>
      <c r="H216" s="146">
        <v>71571.19</v>
      </c>
      <c r="I216" s="146">
        <v>0</v>
      </c>
      <c r="J216" s="146">
        <v>0</v>
      </c>
      <c r="K216" s="146">
        <v>2578.9499999999998</v>
      </c>
      <c r="L216" s="146">
        <v>13534.16</v>
      </c>
    </row>
    <row r="217" spans="1:12">
      <c r="A217" s="142" t="s">
        <v>355</v>
      </c>
      <c r="B217" s="143">
        <v>46120</v>
      </c>
      <c r="C217" s="142">
        <v>2417</v>
      </c>
      <c r="D217" s="142" t="s">
        <v>4839</v>
      </c>
      <c r="E217" s="144">
        <v>127</v>
      </c>
      <c r="F217" s="145">
        <v>4100</v>
      </c>
      <c r="G217" s="146">
        <v>11480</v>
      </c>
      <c r="H217" s="146">
        <v>11480</v>
      </c>
      <c r="I217" s="146">
        <v>5010</v>
      </c>
      <c r="J217" s="146">
        <v>897.6</v>
      </c>
      <c r="K217" s="146">
        <v>0</v>
      </c>
      <c r="L217" s="146">
        <v>-5907.6</v>
      </c>
    </row>
    <row r="218" spans="1:12">
      <c r="A218" s="142" t="s">
        <v>355</v>
      </c>
      <c r="B218" s="143">
        <v>46134</v>
      </c>
      <c r="C218" s="142">
        <v>2429</v>
      </c>
      <c r="D218" s="142" t="s">
        <v>4839</v>
      </c>
      <c r="E218" s="144"/>
      <c r="F218" s="145">
        <v>12240</v>
      </c>
      <c r="G218" s="146">
        <v>0</v>
      </c>
      <c r="H218" s="146">
        <v>27783.58</v>
      </c>
      <c r="I218" s="146">
        <v>0</v>
      </c>
      <c r="J218" s="146">
        <v>0</v>
      </c>
      <c r="K218" s="146">
        <v>0</v>
      </c>
      <c r="L218" s="146">
        <v>-27783.58</v>
      </c>
    </row>
    <row r="219" spans="1:12">
      <c r="A219" s="142" t="s">
        <v>216</v>
      </c>
      <c r="B219" s="143">
        <v>46156</v>
      </c>
      <c r="C219" s="142">
        <v>2431</v>
      </c>
      <c r="D219" s="142" t="s">
        <v>4839</v>
      </c>
      <c r="E219" s="144">
        <v>2098</v>
      </c>
      <c r="F219" s="145">
        <v>37180</v>
      </c>
      <c r="G219" s="146">
        <v>64879.1</v>
      </c>
      <c r="H219" s="146">
        <v>62772.23</v>
      </c>
      <c r="I219" s="146">
        <v>0</v>
      </c>
      <c r="J219" s="146">
        <v>0</v>
      </c>
      <c r="K219" s="146">
        <v>433.77</v>
      </c>
      <c r="L219" s="146">
        <v>1673.1</v>
      </c>
    </row>
    <row r="220" spans="1:12">
      <c r="A220" s="142" t="s">
        <v>216</v>
      </c>
      <c r="B220" s="143">
        <v>46156</v>
      </c>
      <c r="C220" s="142">
        <v>2432</v>
      </c>
      <c r="D220" s="142" t="s">
        <v>4839</v>
      </c>
      <c r="E220" s="144">
        <v>2099</v>
      </c>
      <c r="F220" s="145">
        <v>50300</v>
      </c>
      <c r="G220" s="146">
        <v>87773.5</v>
      </c>
      <c r="H220" s="146">
        <v>84923.17</v>
      </c>
      <c r="I220" s="146">
        <v>0</v>
      </c>
      <c r="J220" s="146">
        <v>0</v>
      </c>
      <c r="K220" s="146">
        <v>586.83000000000004</v>
      </c>
      <c r="L220" s="146">
        <v>2263.5</v>
      </c>
    </row>
    <row r="221" spans="1:12">
      <c r="A221" s="142" t="s">
        <v>216</v>
      </c>
      <c r="B221" s="143">
        <v>46156</v>
      </c>
      <c r="C221" s="142">
        <v>2433</v>
      </c>
      <c r="D221" s="142" t="s">
        <v>4839</v>
      </c>
      <c r="E221" s="144">
        <v>2100</v>
      </c>
      <c r="F221" s="145">
        <v>49970</v>
      </c>
      <c r="G221" s="146">
        <v>87197.65</v>
      </c>
      <c r="H221" s="146">
        <v>84366.02</v>
      </c>
      <c r="I221" s="146">
        <v>0</v>
      </c>
      <c r="J221" s="146">
        <v>0</v>
      </c>
      <c r="K221" s="146">
        <v>582.98</v>
      </c>
      <c r="L221" s="146">
        <v>2248.65</v>
      </c>
    </row>
    <row r="222" spans="1:12">
      <c r="A222" s="142" t="s">
        <v>216</v>
      </c>
      <c r="B222" s="143">
        <v>46156</v>
      </c>
      <c r="C222" s="142">
        <v>2434</v>
      </c>
      <c r="D222" s="142" t="s">
        <v>4839</v>
      </c>
      <c r="E222" s="144">
        <v>2101</v>
      </c>
      <c r="F222" s="145">
        <v>38180</v>
      </c>
      <c r="G222" s="146">
        <v>66624.100000000006</v>
      </c>
      <c r="H222" s="146">
        <v>64460.57</v>
      </c>
      <c r="I222" s="146">
        <v>0</v>
      </c>
      <c r="J222" s="146">
        <v>0</v>
      </c>
      <c r="K222" s="146">
        <v>445.43</v>
      </c>
      <c r="L222" s="146">
        <v>1718.1</v>
      </c>
    </row>
    <row r="223" spans="1:12">
      <c r="A223" s="142" t="s">
        <v>216</v>
      </c>
      <c r="B223" s="143">
        <v>46156</v>
      </c>
      <c r="C223" s="142">
        <v>2435</v>
      </c>
      <c r="D223" s="142" t="s">
        <v>4839</v>
      </c>
      <c r="E223" s="144">
        <v>2102</v>
      </c>
      <c r="F223" s="145">
        <v>48630</v>
      </c>
      <c r="G223" s="146">
        <v>84859.35</v>
      </c>
      <c r="H223" s="146">
        <v>82103.649999999994</v>
      </c>
      <c r="I223" s="146">
        <v>0</v>
      </c>
      <c r="J223" s="146">
        <v>0</v>
      </c>
      <c r="K223" s="146">
        <v>567.35</v>
      </c>
      <c r="L223" s="146">
        <v>2188.35</v>
      </c>
    </row>
    <row r="224" spans="1:12">
      <c r="A224" s="142" t="s">
        <v>216</v>
      </c>
      <c r="B224" s="143">
        <v>46156</v>
      </c>
      <c r="C224" s="142">
        <v>2436</v>
      </c>
      <c r="D224" s="142" t="s">
        <v>4839</v>
      </c>
      <c r="E224" s="144">
        <v>2103</v>
      </c>
      <c r="F224" s="145">
        <v>49610</v>
      </c>
      <c r="G224" s="146">
        <v>86569.45</v>
      </c>
      <c r="H224" s="146">
        <v>83758.22</v>
      </c>
      <c r="I224" s="146">
        <v>0</v>
      </c>
      <c r="J224" s="146">
        <v>0</v>
      </c>
      <c r="K224" s="146">
        <v>578.78</v>
      </c>
      <c r="L224" s="146">
        <v>2232.4499999999998</v>
      </c>
    </row>
    <row r="225" spans="1:12">
      <c r="A225" s="142" t="s">
        <v>216</v>
      </c>
      <c r="B225" s="143">
        <v>46156</v>
      </c>
      <c r="C225" s="142">
        <v>2437</v>
      </c>
      <c r="D225" s="142" t="s">
        <v>4839</v>
      </c>
      <c r="E225" s="144">
        <v>2105</v>
      </c>
      <c r="F225" s="145">
        <v>38000</v>
      </c>
      <c r="G225" s="146">
        <v>66310</v>
      </c>
      <c r="H225" s="146">
        <v>64156.67</v>
      </c>
      <c r="I225" s="146">
        <v>0</v>
      </c>
      <c r="J225" s="146">
        <v>0</v>
      </c>
      <c r="K225" s="146">
        <v>443.33</v>
      </c>
      <c r="L225" s="146">
        <v>1710</v>
      </c>
    </row>
    <row r="226" spans="1:12">
      <c r="A226" s="142" t="s">
        <v>216</v>
      </c>
      <c r="B226" s="143">
        <v>46157</v>
      </c>
      <c r="C226" s="142">
        <v>2438</v>
      </c>
      <c r="D226" s="142" t="s">
        <v>4839</v>
      </c>
      <c r="E226" s="144">
        <v>2106</v>
      </c>
      <c r="F226" s="145">
        <v>37740</v>
      </c>
      <c r="G226" s="146">
        <v>65856.3</v>
      </c>
      <c r="H226" s="146">
        <v>63717.7</v>
      </c>
      <c r="I226" s="146">
        <v>0</v>
      </c>
      <c r="J226" s="146">
        <v>0</v>
      </c>
      <c r="K226" s="146">
        <v>440.3</v>
      </c>
      <c r="L226" s="146">
        <v>1698.3</v>
      </c>
    </row>
    <row r="227" spans="1:12">
      <c r="A227" s="142" t="s">
        <v>216</v>
      </c>
      <c r="B227" s="143">
        <v>46157</v>
      </c>
      <c r="C227" s="142">
        <v>2439</v>
      </c>
      <c r="D227" s="142" t="s">
        <v>4839</v>
      </c>
      <c r="E227" s="144">
        <v>2107</v>
      </c>
      <c r="F227" s="145">
        <v>38090</v>
      </c>
      <c r="G227" s="146">
        <v>66467.05</v>
      </c>
      <c r="H227" s="146">
        <v>64308.62</v>
      </c>
      <c r="I227" s="146">
        <v>0</v>
      </c>
      <c r="J227" s="146">
        <v>0</v>
      </c>
      <c r="K227" s="146">
        <v>444.38</v>
      </c>
      <c r="L227" s="146">
        <v>1714.05</v>
      </c>
    </row>
    <row r="228" spans="1:12">
      <c r="A228" s="142" t="s">
        <v>216</v>
      </c>
      <c r="B228" s="143">
        <v>46157</v>
      </c>
      <c r="C228" s="142">
        <v>2440</v>
      </c>
      <c r="D228" s="142" t="s">
        <v>4839</v>
      </c>
      <c r="E228" s="144">
        <v>2108</v>
      </c>
      <c r="F228" s="145">
        <v>37660</v>
      </c>
      <c r="G228" s="146">
        <v>65716.7</v>
      </c>
      <c r="H228" s="146">
        <v>63582.63</v>
      </c>
      <c r="I228" s="146">
        <v>0</v>
      </c>
      <c r="J228" s="146">
        <v>0</v>
      </c>
      <c r="K228" s="146">
        <v>439.37</v>
      </c>
      <c r="L228" s="146">
        <v>1694.7</v>
      </c>
    </row>
    <row r="229" spans="1:12">
      <c r="A229" s="142" t="s">
        <v>216</v>
      </c>
      <c r="B229" s="143">
        <v>46157</v>
      </c>
      <c r="C229" s="142">
        <v>2441</v>
      </c>
      <c r="D229" s="142" t="s">
        <v>4839</v>
      </c>
      <c r="E229" s="144">
        <v>2109</v>
      </c>
      <c r="F229" s="145">
        <v>49910</v>
      </c>
      <c r="G229" s="146">
        <v>87092.95</v>
      </c>
      <c r="H229" s="146">
        <v>84264.72</v>
      </c>
      <c r="I229" s="146">
        <v>0</v>
      </c>
      <c r="J229" s="146">
        <v>0</v>
      </c>
      <c r="K229" s="146">
        <v>582.28</v>
      </c>
      <c r="L229" s="146">
        <v>2245.9499999999998</v>
      </c>
    </row>
    <row r="230" spans="1:12">
      <c r="A230" s="142" t="s">
        <v>216</v>
      </c>
      <c r="B230" s="143">
        <v>46157</v>
      </c>
      <c r="C230" s="142">
        <v>2442</v>
      </c>
      <c r="D230" s="142" t="s">
        <v>4839</v>
      </c>
      <c r="E230" s="144">
        <v>2110</v>
      </c>
      <c r="F230" s="145">
        <v>48260</v>
      </c>
      <c r="G230" s="146">
        <v>84213.7</v>
      </c>
      <c r="H230" s="146">
        <v>81478.97</v>
      </c>
      <c r="I230" s="146">
        <v>0</v>
      </c>
      <c r="J230" s="146">
        <v>0</v>
      </c>
      <c r="K230" s="146">
        <v>563.03</v>
      </c>
      <c r="L230" s="146">
        <v>2171.6999999999998</v>
      </c>
    </row>
    <row r="231" spans="1:12">
      <c r="A231" s="142" t="s">
        <v>216</v>
      </c>
      <c r="B231" s="143">
        <v>46157</v>
      </c>
      <c r="C231" s="142">
        <v>2443</v>
      </c>
      <c r="D231" s="142" t="s">
        <v>4839</v>
      </c>
      <c r="E231" s="144">
        <v>2111</v>
      </c>
      <c r="F231" s="145">
        <v>50190</v>
      </c>
      <c r="G231" s="146">
        <v>87581.55</v>
      </c>
      <c r="H231" s="146">
        <v>84737.45</v>
      </c>
      <c r="I231" s="146">
        <v>0</v>
      </c>
      <c r="J231" s="146">
        <v>0</v>
      </c>
      <c r="K231" s="146">
        <v>585.54999999999995</v>
      </c>
      <c r="L231" s="146">
        <v>2258.5500000000002</v>
      </c>
    </row>
    <row r="232" spans="1:12">
      <c r="A232" s="142" t="s">
        <v>216</v>
      </c>
      <c r="B232" s="143">
        <v>46157</v>
      </c>
      <c r="C232" s="142">
        <v>2444</v>
      </c>
      <c r="D232" s="142" t="s">
        <v>4839</v>
      </c>
      <c r="E232" s="144">
        <v>2112</v>
      </c>
      <c r="F232" s="145">
        <v>50100</v>
      </c>
      <c r="G232" s="146">
        <v>87424.5</v>
      </c>
      <c r="H232" s="146">
        <v>84585.5</v>
      </c>
      <c r="I232" s="146">
        <v>0</v>
      </c>
      <c r="J232" s="146">
        <v>0</v>
      </c>
      <c r="K232" s="146">
        <v>584.5</v>
      </c>
      <c r="L232" s="146">
        <v>2254.5</v>
      </c>
    </row>
    <row r="233" spans="1:12">
      <c r="A233" s="142" t="s">
        <v>216</v>
      </c>
      <c r="B233" s="143">
        <v>46157</v>
      </c>
      <c r="C233" s="142">
        <v>2445</v>
      </c>
      <c r="D233" s="142" t="s">
        <v>4839</v>
      </c>
      <c r="E233" s="144">
        <v>2113</v>
      </c>
      <c r="F233" s="145">
        <v>49640</v>
      </c>
      <c r="G233" s="146">
        <v>86621.8</v>
      </c>
      <c r="H233" s="146">
        <v>83808.87</v>
      </c>
      <c r="I233" s="146">
        <v>0</v>
      </c>
      <c r="J233" s="146">
        <v>0</v>
      </c>
      <c r="K233" s="146">
        <v>579.13</v>
      </c>
      <c r="L233" s="146">
        <v>2233.8000000000002</v>
      </c>
    </row>
    <row r="234" spans="1:12">
      <c r="A234" s="142" t="s">
        <v>216</v>
      </c>
      <c r="B234" s="143">
        <v>46157</v>
      </c>
      <c r="C234" s="142">
        <v>2446</v>
      </c>
      <c r="D234" s="142" t="s">
        <v>4839</v>
      </c>
      <c r="E234" s="144">
        <v>2114</v>
      </c>
      <c r="F234" s="145">
        <v>49910</v>
      </c>
      <c r="G234" s="146">
        <v>87092.95</v>
      </c>
      <c r="H234" s="146">
        <v>84264.72</v>
      </c>
      <c r="I234" s="146">
        <v>0</v>
      </c>
      <c r="J234" s="146">
        <v>0</v>
      </c>
      <c r="K234" s="146">
        <v>582.28</v>
      </c>
      <c r="L234" s="146">
        <v>2245.9499999999998</v>
      </c>
    </row>
    <row r="235" spans="1:12">
      <c r="A235" s="142" t="s">
        <v>216</v>
      </c>
      <c r="B235" s="143">
        <v>46157</v>
      </c>
      <c r="C235" s="142">
        <v>2447</v>
      </c>
      <c r="D235" s="142" t="s">
        <v>4839</v>
      </c>
      <c r="E235" s="144">
        <v>2115</v>
      </c>
      <c r="F235" s="145">
        <v>49310</v>
      </c>
      <c r="G235" s="146">
        <v>86045.95</v>
      </c>
      <c r="H235" s="146">
        <v>83251.72</v>
      </c>
      <c r="I235" s="146">
        <v>0</v>
      </c>
      <c r="J235" s="146">
        <v>0</v>
      </c>
      <c r="K235" s="146">
        <v>575.28</v>
      </c>
      <c r="L235" s="146">
        <v>2218.9499999999998</v>
      </c>
    </row>
    <row r="236" spans="1:12">
      <c r="A236" s="142" t="s">
        <v>216</v>
      </c>
      <c r="B236" s="143">
        <v>46157</v>
      </c>
      <c r="C236" s="142">
        <v>2448</v>
      </c>
      <c r="D236" s="142" t="s">
        <v>4839</v>
      </c>
      <c r="E236" s="144">
        <v>2116</v>
      </c>
      <c r="F236" s="145">
        <v>49370</v>
      </c>
      <c r="G236" s="146">
        <v>86150.65</v>
      </c>
      <c r="H236" s="146">
        <v>83353.02</v>
      </c>
      <c r="I236" s="146">
        <v>0</v>
      </c>
      <c r="J236" s="146">
        <v>0</v>
      </c>
      <c r="K236" s="146">
        <v>575.98</v>
      </c>
      <c r="L236" s="146">
        <v>2221.65</v>
      </c>
    </row>
    <row r="237" spans="1:12">
      <c r="A237" s="142" t="s">
        <v>216</v>
      </c>
      <c r="B237" s="143">
        <v>46157</v>
      </c>
      <c r="C237" s="142">
        <v>2449</v>
      </c>
      <c r="D237" s="142" t="s">
        <v>4839</v>
      </c>
      <c r="E237" s="144">
        <v>2117</v>
      </c>
      <c r="F237" s="145">
        <v>49200</v>
      </c>
      <c r="G237" s="146">
        <v>85854</v>
      </c>
      <c r="H237" s="146">
        <v>83066</v>
      </c>
      <c r="I237" s="146">
        <v>0</v>
      </c>
      <c r="J237" s="146">
        <v>0</v>
      </c>
      <c r="K237" s="146">
        <v>574</v>
      </c>
      <c r="L237" s="146">
        <v>2214</v>
      </c>
    </row>
    <row r="238" spans="1:12">
      <c r="A238" s="142" t="s">
        <v>216</v>
      </c>
      <c r="B238" s="143">
        <v>46157</v>
      </c>
      <c r="C238" s="142">
        <v>2450</v>
      </c>
      <c r="D238" s="142" t="s">
        <v>4839</v>
      </c>
      <c r="E238" s="144">
        <v>2120</v>
      </c>
      <c r="F238" s="145">
        <v>49260</v>
      </c>
      <c r="G238" s="146">
        <v>85958.7</v>
      </c>
      <c r="H238" s="146">
        <v>83167.3</v>
      </c>
      <c r="I238" s="146">
        <v>0</v>
      </c>
      <c r="J238" s="146">
        <v>0</v>
      </c>
      <c r="K238" s="146">
        <v>574.70000000000005</v>
      </c>
      <c r="L238" s="146">
        <v>2216.6999999999998</v>
      </c>
    </row>
    <row r="239" spans="1:12">
      <c r="A239" s="142" t="s">
        <v>216</v>
      </c>
      <c r="B239" s="143">
        <v>46158</v>
      </c>
      <c r="C239" s="142">
        <v>2451</v>
      </c>
      <c r="D239" s="142" t="s">
        <v>4839</v>
      </c>
      <c r="E239" s="144">
        <v>2119</v>
      </c>
      <c r="F239" s="145">
        <v>50090</v>
      </c>
      <c r="G239" s="146">
        <v>87407.05</v>
      </c>
      <c r="H239" s="146">
        <v>84568.62</v>
      </c>
      <c r="I239" s="146">
        <v>0</v>
      </c>
      <c r="J239" s="146">
        <v>0</v>
      </c>
      <c r="K239" s="146">
        <v>584.38</v>
      </c>
      <c r="L239" s="146">
        <v>2254.0500000000002</v>
      </c>
    </row>
    <row r="240" spans="1:12">
      <c r="A240" s="142" t="s">
        <v>216</v>
      </c>
      <c r="B240" s="143">
        <v>46158</v>
      </c>
      <c r="C240" s="142">
        <v>2453</v>
      </c>
      <c r="D240" s="142" t="s">
        <v>4839</v>
      </c>
      <c r="E240" s="144">
        <v>2121</v>
      </c>
      <c r="F240" s="145">
        <v>49160</v>
      </c>
      <c r="G240" s="146">
        <v>85784.2</v>
      </c>
      <c r="H240" s="146">
        <v>82998.47</v>
      </c>
      <c r="I240" s="146">
        <v>0</v>
      </c>
      <c r="J240" s="146">
        <v>0</v>
      </c>
      <c r="K240" s="146">
        <v>573.53</v>
      </c>
      <c r="L240" s="146">
        <v>2212.1999999999998</v>
      </c>
    </row>
    <row r="241" spans="1:12">
      <c r="A241" s="142" t="s">
        <v>216</v>
      </c>
      <c r="B241" s="143">
        <v>46158</v>
      </c>
      <c r="C241" s="142">
        <v>2454</v>
      </c>
      <c r="D241" s="142" t="s">
        <v>4839</v>
      </c>
      <c r="E241" s="144">
        <v>2122</v>
      </c>
      <c r="F241" s="145">
        <v>48760</v>
      </c>
      <c r="G241" s="146">
        <v>85086.2</v>
      </c>
      <c r="H241" s="146">
        <v>82323.13</v>
      </c>
      <c r="I241" s="146">
        <v>0</v>
      </c>
      <c r="J241" s="146">
        <v>0</v>
      </c>
      <c r="K241" s="146">
        <v>568.87</v>
      </c>
      <c r="L241" s="146">
        <v>2194.1999999999998</v>
      </c>
    </row>
    <row r="242" spans="1:12">
      <c r="A242" s="142" t="s">
        <v>216</v>
      </c>
      <c r="B242" s="143">
        <v>46158</v>
      </c>
      <c r="C242" s="142">
        <v>2455</v>
      </c>
      <c r="D242" s="142" t="s">
        <v>4839</v>
      </c>
      <c r="E242" s="144">
        <v>2123</v>
      </c>
      <c r="F242" s="145">
        <v>48110</v>
      </c>
      <c r="G242" s="146">
        <v>83951.95</v>
      </c>
      <c r="H242" s="146">
        <v>81225.72</v>
      </c>
      <c r="I242" s="146">
        <v>0</v>
      </c>
      <c r="J242" s="146">
        <v>0</v>
      </c>
      <c r="K242" s="146">
        <v>561.28</v>
      </c>
      <c r="L242" s="146">
        <v>2164.9499999999998</v>
      </c>
    </row>
    <row r="243" spans="1:12">
      <c r="A243" s="142" t="s">
        <v>216</v>
      </c>
      <c r="B243" s="143">
        <v>46158</v>
      </c>
      <c r="C243" s="142">
        <v>2456</v>
      </c>
      <c r="D243" s="142" t="s">
        <v>4839</v>
      </c>
      <c r="E243" s="144">
        <v>2124</v>
      </c>
      <c r="F243" s="145">
        <v>50160</v>
      </c>
      <c r="G243" s="146">
        <v>87529.2</v>
      </c>
      <c r="H243" s="146">
        <v>84686.8</v>
      </c>
      <c r="I243" s="146">
        <v>0</v>
      </c>
      <c r="J243" s="146">
        <v>0</v>
      </c>
      <c r="K243" s="146">
        <v>585.20000000000005</v>
      </c>
      <c r="L243" s="146">
        <v>2257.1999999999998</v>
      </c>
    </row>
    <row r="244" spans="1:12">
      <c r="A244" s="142" t="s">
        <v>216</v>
      </c>
      <c r="B244" s="143">
        <v>46158</v>
      </c>
      <c r="C244" s="142">
        <v>2457</v>
      </c>
      <c r="D244" s="142" t="s">
        <v>4839</v>
      </c>
      <c r="E244" s="144">
        <v>2125</v>
      </c>
      <c r="F244" s="145">
        <v>47090</v>
      </c>
      <c r="G244" s="146">
        <v>82172.05</v>
      </c>
      <c r="H244" s="146">
        <v>79503.62</v>
      </c>
      <c r="I244" s="146">
        <v>0</v>
      </c>
      <c r="J244" s="146">
        <v>0</v>
      </c>
      <c r="K244" s="146">
        <v>549.38</v>
      </c>
      <c r="L244" s="146">
        <v>2119.0500000000002</v>
      </c>
    </row>
    <row r="245" spans="1:12">
      <c r="A245" s="142" t="s">
        <v>216</v>
      </c>
      <c r="B245" s="143">
        <v>46158</v>
      </c>
      <c r="C245" s="142">
        <v>2458</v>
      </c>
      <c r="D245" s="142" t="s">
        <v>4839</v>
      </c>
      <c r="E245" s="144">
        <v>2126</v>
      </c>
      <c r="F245" s="145">
        <v>49970</v>
      </c>
      <c r="G245" s="146">
        <v>87197.65</v>
      </c>
      <c r="H245" s="146">
        <v>84366.02</v>
      </c>
      <c r="I245" s="146">
        <v>0</v>
      </c>
      <c r="J245" s="146">
        <v>0</v>
      </c>
      <c r="K245" s="146">
        <v>582.98</v>
      </c>
      <c r="L245" s="146">
        <v>2248.65</v>
      </c>
    </row>
    <row r="246" spans="1:12">
      <c r="A246" s="142" t="s">
        <v>216</v>
      </c>
      <c r="B246" s="143">
        <v>46160</v>
      </c>
      <c r="C246" s="142">
        <v>2459</v>
      </c>
      <c r="D246" s="142" t="s">
        <v>4839</v>
      </c>
      <c r="E246" s="144">
        <v>2127</v>
      </c>
      <c r="F246" s="145">
        <v>49440</v>
      </c>
      <c r="G246" s="146">
        <v>86272.8</v>
      </c>
      <c r="H246" s="146">
        <v>83471.199999999997</v>
      </c>
      <c r="I246" s="146">
        <v>0</v>
      </c>
      <c r="J246" s="146">
        <v>0</v>
      </c>
      <c r="K246" s="146">
        <v>576.79999999999995</v>
      </c>
      <c r="L246" s="146">
        <v>2224.8000000000002</v>
      </c>
    </row>
    <row r="247" spans="1:12">
      <c r="A247" s="142" t="s">
        <v>216</v>
      </c>
      <c r="B247" s="143">
        <v>46160</v>
      </c>
      <c r="C247" s="142">
        <v>2460</v>
      </c>
      <c r="D247" s="142" t="s">
        <v>4839</v>
      </c>
      <c r="E247" s="144">
        <v>2128</v>
      </c>
      <c r="F247" s="145">
        <v>49240</v>
      </c>
      <c r="G247" s="146">
        <v>85923.8</v>
      </c>
      <c r="H247" s="146">
        <v>83133.53</v>
      </c>
      <c r="I247" s="146">
        <v>0</v>
      </c>
      <c r="J247" s="146">
        <v>0</v>
      </c>
      <c r="K247" s="146">
        <v>574.47</v>
      </c>
      <c r="L247" s="146">
        <v>2215.8000000000002</v>
      </c>
    </row>
    <row r="248" spans="1:12">
      <c r="A248" s="142" t="s">
        <v>216</v>
      </c>
      <c r="B248" s="143">
        <v>46160</v>
      </c>
      <c r="C248" s="142">
        <v>2461</v>
      </c>
      <c r="D248" s="142" t="s">
        <v>4839</v>
      </c>
      <c r="E248" s="144">
        <v>2129</v>
      </c>
      <c r="F248" s="145">
        <v>49370</v>
      </c>
      <c r="G248" s="146">
        <v>86150.65</v>
      </c>
      <c r="H248" s="146">
        <v>83353.02</v>
      </c>
      <c r="I248" s="146">
        <v>0</v>
      </c>
      <c r="J248" s="146">
        <v>0</v>
      </c>
      <c r="K248" s="146">
        <v>575.98</v>
      </c>
      <c r="L248" s="146">
        <v>2221.65</v>
      </c>
    </row>
    <row r="249" spans="1:12">
      <c r="A249" s="142" t="s">
        <v>216</v>
      </c>
      <c r="B249" s="143">
        <v>46160</v>
      </c>
      <c r="C249" s="142">
        <v>2462</v>
      </c>
      <c r="D249" s="142" t="s">
        <v>4839</v>
      </c>
      <c r="E249" s="144">
        <v>2130</v>
      </c>
      <c r="F249" s="145">
        <v>46970</v>
      </c>
      <c r="G249" s="146">
        <v>81962.649999999994</v>
      </c>
      <c r="H249" s="146">
        <v>79301.02</v>
      </c>
      <c r="I249" s="146">
        <v>0</v>
      </c>
      <c r="J249" s="146">
        <v>0</v>
      </c>
      <c r="K249" s="146">
        <v>547.98</v>
      </c>
      <c r="L249" s="146">
        <v>2113.65</v>
      </c>
    </row>
    <row r="250" spans="1:12">
      <c r="A250" s="142" t="s">
        <v>216</v>
      </c>
      <c r="B250" s="143">
        <v>46160</v>
      </c>
      <c r="C250" s="142">
        <v>2463</v>
      </c>
      <c r="D250" s="142" t="s">
        <v>4839</v>
      </c>
      <c r="E250" s="144">
        <v>2131</v>
      </c>
      <c r="F250" s="145">
        <v>49080</v>
      </c>
      <c r="G250" s="146">
        <v>85644.6</v>
      </c>
      <c r="H250" s="146">
        <v>82863.399999999994</v>
      </c>
      <c r="I250" s="146">
        <v>0</v>
      </c>
      <c r="J250" s="146">
        <v>0</v>
      </c>
      <c r="K250" s="146">
        <v>572.6</v>
      </c>
      <c r="L250" s="146">
        <v>2208.6</v>
      </c>
    </row>
    <row r="251" spans="1:12">
      <c r="A251" s="142" t="s">
        <v>216</v>
      </c>
      <c r="B251" s="143">
        <v>46160</v>
      </c>
      <c r="C251" s="142">
        <v>2464</v>
      </c>
      <c r="D251" s="142" t="s">
        <v>4839</v>
      </c>
      <c r="E251" s="144">
        <v>2132</v>
      </c>
      <c r="F251" s="145">
        <v>47990</v>
      </c>
      <c r="G251" s="146">
        <v>83742.55</v>
      </c>
      <c r="H251" s="146">
        <v>81023.12</v>
      </c>
      <c r="I251" s="146">
        <v>0</v>
      </c>
      <c r="J251" s="146">
        <v>0</v>
      </c>
      <c r="K251" s="146">
        <v>559.88</v>
      </c>
      <c r="L251" s="146">
        <v>2159.5500000000002</v>
      </c>
    </row>
    <row r="252" spans="1:12">
      <c r="A252" s="142" t="s">
        <v>216</v>
      </c>
      <c r="B252" s="143">
        <v>46160</v>
      </c>
      <c r="C252" s="142">
        <v>2465</v>
      </c>
      <c r="D252" s="142" t="s">
        <v>4839</v>
      </c>
      <c r="E252" s="144">
        <v>2133</v>
      </c>
      <c r="F252" s="145">
        <v>49210</v>
      </c>
      <c r="G252" s="146">
        <v>85871.45</v>
      </c>
      <c r="H252" s="146">
        <v>83082.880000000005</v>
      </c>
      <c r="I252" s="146">
        <v>0</v>
      </c>
      <c r="J252" s="146">
        <v>0</v>
      </c>
      <c r="K252" s="146">
        <v>574.12</v>
      </c>
      <c r="L252" s="146">
        <v>2214.4499999999998</v>
      </c>
    </row>
    <row r="253" spans="1:12">
      <c r="A253" s="142" t="s">
        <v>216</v>
      </c>
      <c r="B253" s="143">
        <v>46160</v>
      </c>
      <c r="C253" s="142">
        <v>2466</v>
      </c>
      <c r="D253" s="142" t="s">
        <v>4839</v>
      </c>
      <c r="E253" s="144">
        <v>2134</v>
      </c>
      <c r="F253" s="145">
        <v>48890</v>
      </c>
      <c r="G253" s="146">
        <v>85313.05</v>
      </c>
      <c r="H253" s="146">
        <v>82542.62</v>
      </c>
      <c r="I253" s="146">
        <v>0</v>
      </c>
      <c r="J253" s="146">
        <v>0</v>
      </c>
      <c r="K253" s="146">
        <v>570.38</v>
      </c>
      <c r="L253" s="146">
        <v>2200.0500000000002</v>
      </c>
    </row>
    <row r="254" spans="1:12">
      <c r="A254" s="142" t="s">
        <v>216</v>
      </c>
      <c r="B254" s="143">
        <v>46160</v>
      </c>
      <c r="C254" s="142">
        <v>2467</v>
      </c>
      <c r="D254" s="142" t="s">
        <v>4839</v>
      </c>
      <c r="E254" s="144">
        <v>2135</v>
      </c>
      <c r="F254" s="145">
        <v>49270</v>
      </c>
      <c r="G254" s="146">
        <v>85976.15</v>
      </c>
      <c r="H254" s="146">
        <v>83184.179999999993</v>
      </c>
      <c r="I254" s="146">
        <v>0</v>
      </c>
      <c r="J254" s="146">
        <v>0</v>
      </c>
      <c r="K254" s="146">
        <v>574.82000000000005</v>
      </c>
      <c r="L254" s="146">
        <v>2217.15</v>
      </c>
    </row>
    <row r="255" spans="1:12">
      <c r="A255" s="142" t="s">
        <v>216</v>
      </c>
      <c r="B255" s="143">
        <v>46160</v>
      </c>
      <c r="C255" s="142">
        <v>2468</v>
      </c>
      <c r="D255" s="142" t="s">
        <v>4839</v>
      </c>
      <c r="E255" s="144">
        <v>2136</v>
      </c>
      <c r="F255" s="145">
        <v>37600</v>
      </c>
      <c r="G255" s="146">
        <v>65612</v>
      </c>
      <c r="H255" s="146">
        <v>63481.33</v>
      </c>
      <c r="I255" s="146">
        <v>0</v>
      </c>
      <c r="J255" s="146">
        <v>0</v>
      </c>
      <c r="K255" s="146">
        <v>438.67</v>
      </c>
      <c r="L255" s="146">
        <v>1692</v>
      </c>
    </row>
    <row r="256" spans="1:12">
      <c r="A256" s="142" t="s">
        <v>216</v>
      </c>
      <c r="B256" s="143">
        <v>46161</v>
      </c>
      <c r="C256" s="142">
        <v>2469</v>
      </c>
      <c r="D256" s="142" t="s">
        <v>4839</v>
      </c>
      <c r="E256" s="144">
        <v>2137</v>
      </c>
      <c r="F256" s="145">
        <v>48410</v>
      </c>
      <c r="G256" s="146">
        <v>84475.45</v>
      </c>
      <c r="H256" s="146">
        <v>81732.22</v>
      </c>
      <c r="I256" s="146">
        <v>0</v>
      </c>
      <c r="J256" s="146">
        <v>0</v>
      </c>
      <c r="K256" s="146">
        <v>564.78</v>
      </c>
      <c r="L256" s="146">
        <v>2178.4499999999998</v>
      </c>
    </row>
    <row r="257" spans="1:12">
      <c r="A257" s="142" t="s">
        <v>216</v>
      </c>
      <c r="B257" s="143">
        <v>46161</v>
      </c>
      <c r="C257" s="142">
        <v>2470</v>
      </c>
      <c r="D257" s="142" t="s">
        <v>4839</v>
      </c>
      <c r="E257" s="144">
        <v>2138</v>
      </c>
      <c r="F257" s="145">
        <v>49500</v>
      </c>
      <c r="G257" s="146">
        <v>86377.5</v>
      </c>
      <c r="H257" s="146">
        <v>83572.5</v>
      </c>
      <c r="I257" s="146">
        <v>0</v>
      </c>
      <c r="J257" s="146">
        <v>0</v>
      </c>
      <c r="K257" s="146">
        <v>577.5</v>
      </c>
      <c r="L257" s="146">
        <v>2227.5</v>
      </c>
    </row>
    <row r="258" spans="1:12">
      <c r="A258" s="142" t="s">
        <v>216</v>
      </c>
      <c r="B258" s="143">
        <v>46161</v>
      </c>
      <c r="C258" s="142">
        <v>2471</v>
      </c>
      <c r="D258" s="142" t="s">
        <v>4839</v>
      </c>
      <c r="E258" s="144">
        <v>2139</v>
      </c>
      <c r="F258" s="145">
        <v>49890</v>
      </c>
      <c r="G258" s="146">
        <v>87058.05</v>
      </c>
      <c r="H258" s="146">
        <v>84230.95</v>
      </c>
      <c r="I258" s="146">
        <v>0</v>
      </c>
      <c r="J258" s="146">
        <v>0</v>
      </c>
      <c r="K258" s="146">
        <v>582.04999999999995</v>
      </c>
      <c r="L258" s="146">
        <v>2245.0500000000002</v>
      </c>
    </row>
    <row r="259" spans="1:12">
      <c r="A259" s="142" t="s">
        <v>216</v>
      </c>
      <c r="B259" s="143">
        <v>46161</v>
      </c>
      <c r="C259" s="142">
        <v>2472</v>
      </c>
      <c r="D259" s="142" t="s">
        <v>4839</v>
      </c>
      <c r="E259" s="144">
        <v>2140</v>
      </c>
      <c r="F259" s="145">
        <v>50050</v>
      </c>
      <c r="G259" s="146">
        <v>87337.25</v>
      </c>
      <c r="H259" s="146">
        <v>84501.08</v>
      </c>
      <c r="I259" s="146">
        <v>0</v>
      </c>
      <c r="J259" s="146">
        <v>0</v>
      </c>
      <c r="K259" s="146">
        <v>583.91999999999996</v>
      </c>
      <c r="L259" s="146">
        <v>2252.25</v>
      </c>
    </row>
    <row r="260" spans="1:12">
      <c r="A260" s="142" t="s">
        <v>216</v>
      </c>
      <c r="B260" s="143">
        <v>46161</v>
      </c>
      <c r="C260" s="142">
        <v>2473</v>
      </c>
      <c r="D260" s="142" t="s">
        <v>4839</v>
      </c>
      <c r="E260" s="144">
        <v>2141</v>
      </c>
      <c r="F260" s="145">
        <v>20300</v>
      </c>
      <c r="G260" s="146">
        <v>35423.5</v>
      </c>
      <c r="H260" s="146">
        <v>34273.17</v>
      </c>
      <c r="I260" s="146">
        <v>0</v>
      </c>
      <c r="J260" s="146">
        <v>0</v>
      </c>
      <c r="K260" s="146">
        <v>236.83</v>
      </c>
      <c r="L260" s="146">
        <v>913.5</v>
      </c>
    </row>
    <row r="261" spans="1:12">
      <c r="A261" t="s">
        <v>54</v>
      </c>
      <c r="B261"/>
      <c r="E261" s="134"/>
      <c r="G261" s="141">
        <f>SUBTOTAL(109,BD_FATURAMENTO[Valor Venda])</f>
        <v>18621237.02999999</v>
      </c>
      <c r="H261" s="141">
        <f>SUBTOTAL(109,BD_FATURAMENTO[Valor Compra])</f>
        <v>16930248.719999988</v>
      </c>
      <c r="I261" s="141"/>
      <c r="J261" s="141"/>
      <c r="K261" s="141"/>
      <c r="L261" s="141">
        <f>SUBTOTAL(109,BD_FATURAMENTO[Lucro Contrato])</f>
        <v>1403039.3699999996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COMPARATIVO ANUAL</vt:lpstr>
      <vt:lpstr>BD_LUCRO</vt:lpstr>
      <vt:lpstr>BD_DESP</vt:lpstr>
      <vt:lpstr>BD_REC_FIN</vt:lpstr>
      <vt:lpstr>BD_DESP_COMPL</vt:lpstr>
      <vt:lpstr>HIST. MENSAL</vt:lpstr>
      <vt:lpstr>BD_FATURAMENTO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murillo nunes</dc:creator>
  <dc:description/>
  <cp:lastModifiedBy>murilo</cp:lastModifiedBy>
  <cp:revision>3</cp:revision>
  <dcterms:created xsi:type="dcterms:W3CDTF">2026-03-24T18:55:04Z</dcterms:created>
  <dcterms:modified xsi:type="dcterms:W3CDTF">2026-06-08T13:29:19Z</dcterms:modified>
  <dc:language>en-US</dc:language>
</cp:coreProperties>
</file>